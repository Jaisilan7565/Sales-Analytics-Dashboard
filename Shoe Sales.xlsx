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h\Desktop\Infytrix\"/>
    </mc:Choice>
  </mc:AlternateContent>
  <xr:revisionPtr revIDLastSave="0" documentId="13_ncr:1_{449BFAE4-E273-4FEA-9DC8-08CE7DD08553}" xr6:coauthVersionLast="36" xr6:coauthVersionMax="36" xr10:uidLastSave="{00000000-0000-0000-0000-000000000000}"/>
  <bookViews>
    <workbookView xWindow="0" yWindow="0" windowWidth="17256" windowHeight="5268" xr2:uid="{F5609EBC-2126-4951-93EB-720406DB8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A2" i="1" l="1"/>
  <c r="B2" i="1" s="1"/>
  <c r="D2" i="1"/>
  <c r="E2" i="1"/>
  <c r="F2" i="1"/>
  <c r="G2" i="1" s="1"/>
  <c r="A3" i="1"/>
  <c r="B3" i="1" s="1"/>
  <c r="C3" i="1"/>
  <c r="D3" i="1"/>
  <c r="E3" i="1"/>
  <c r="F3" i="1"/>
  <c r="G3" i="1" s="1"/>
  <c r="A4" i="1"/>
  <c r="B4" i="1" s="1"/>
  <c r="C4" i="1"/>
  <c r="D4" i="1"/>
  <c r="E4" i="1"/>
  <c r="F4" i="1"/>
  <c r="G4" i="1" s="1"/>
  <c r="A5" i="1"/>
  <c r="B5" i="1" s="1"/>
  <c r="C5" i="1"/>
  <c r="D5" i="1"/>
  <c r="E5" i="1"/>
  <c r="F5" i="1"/>
  <c r="G5" i="1" s="1"/>
  <c r="A6" i="1"/>
  <c r="B6" i="1" s="1"/>
  <c r="C6" i="1"/>
  <c r="D6" i="1"/>
  <c r="E6" i="1"/>
  <c r="F6" i="1"/>
  <c r="G6" i="1" s="1"/>
  <c r="A7" i="1"/>
  <c r="B7" i="1" s="1"/>
  <c r="C7" i="1"/>
  <c r="D7" i="1"/>
  <c r="E7" i="1"/>
  <c r="F7" i="1"/>
  <c r="G7" i="1" s="1"/>
  <c r="A8" i="1"/>
  <c r="B8" i="1"/>
  <c r="C8" i="1"/>
  <c r="D8" i="1"/>
  <c r="E8" i="1"/>
  <c r="F8" i="1"/>
  <c r="G8" i="1" s="1"/>
  <c r="A9" i="1"/>
  <c r="B9" i="1" s="1"/>
  <c r="C9" i="1"/>
  <c r="D9" i="1"/>
  <c r="E9" i="1"/>
  <c r="F9" i="1"/>
  <c r="G9" i="1" s="1"/>
  <c r="A10" i="1"/>
  <c r="B10" i="1"/>
  <c r="C10" i="1"/>
  <c r="D10" i="1"/>
  <c r="E10" i="1"/>
  <c r="F10" i="1"/>
  <c r="G10" i="1" s="1"/>
  <c r="A11" i="1"/>
  <c r="B11" i="1" s="1"/>
  <c r="C11" i="1"/>
  <c r="D11" i="1"/>
  <c r="E11" i="1"/>
  <c r="F11" i="1"/>
  <c r="G11" i="1" s="1"/>
  <c r="A12" i="1"/>
  <c r="B12" i="1" s="1"/>
  <c r="C12" i="1"/>
  <c r="D12" i="1"/>
  <c r="E12" i="1"/>
  <c r="F12" i="1"/>
  <c r="G12" i="1"/>
  <c r="A13" i="1"/>
  <c r="B13" i="1" s="1"/>
  <c r="C13" i="1"/>
  <c r="D13" i="1"/>
  <c r="E13" i="1"/>
  <c r="F13" i="1"/>
  <c r="G13" i="1" s="1"/>
  <c r="A14" i="1"/>
  <c r="B14" i="1" s="1"/>
  <c r="C14" i="1"/>
  <c r="D14" i="1"/>
  <c r="E14" i="1"/>
  <c r="F14" i="1"/>
  <c r="G14" i="1" s="1"/>
  <c r="A15" i="1"/>
  <c r="B15" i="1" s="1"/>
  <c r="C15" i="1"/>
  <c r="D15" i="1"/>
  <c r="E15" i="1"/>
  <c r="F15" i="1"/>
  <c r="G15" i="1" s="1"/>
  <c r="A16" i="1"/>
  <c r="B16" i="1" s="1"/>
  <c r="C16" i="1"/>
  <c r="D16" i="1"/>
  <c r="E16" i="1"/>
  <c r="F16" i="1"/>
  <c r="G16" i="1" s="1"/>
  <c r="A17" i="1"/>
  <c r="B17" i="1"/>
  <c r="C17" i="1"/>
  <c r="D17" i="1"/>
  <c r="E17" i="1"/>
  <c r="F17" i="1"/>
  <c r="G17" i="1" s="1"/>
  <c r="A18" i="1"/>
  <c r="B18" i="1" s="1"/>
  <c r="C18" i="1"/>
  <c r="D18" i="1"/>
  <c r="E18" i="1"/>
  <c r="F18" i="1"/>
  <c r="G18" i="1" s="1"/>
  <c r="A19" i="1"/>
  <c r="B19" i="1" s="1"/>
  <c r="C19" i="1"/>
  <c r="D19" i="1"/>
  <c r="E19" i="1"/>
  <c r="F19" i="1"/>
  <c r="G19" i="1" s="1"/>
  <c r="A20" i="1"/>
  <c r="B20" i="1" s="1"/>
  <c r="C20" i="1"/>
  <c r="D20" i="1"/>
  <c r="E20" i="1"/>
  <c r="F20" i="1"/>
  <c r="G20" i="1" s="1"/>
  <c r="A21" i="1"/>
  <c r="B21" i="1" s="1"/>
  <c r="C21" i="1"/>
  <c r="D21" i="1"/>
  <c r="E21" i="1"/>
  <c r="F21" i="1"/>
  <c r="G21" i="1" s="1"/>
  <c r="A22" i="1"/>
  <c r="B22" i="1" s="1"/>
  <c r="C22" i="1"/>
  <c r="D22" i="1"/>
  <c r="E22" i="1"/>
  <c r="F22" i="1"/>
  <c r="G22" i="1" s="1"/>
  <c r="A23" i="1"/>
  <c r="B23" i="1"/>
  <c r="C23" i="1"/>
  <c r="D23" i="1"/>
  <c r="E23" i="1"/>
  <c r="F23" i="1"/>
  <c r="G23" i="1" s="1"/>
  <c r="A24" i="1"/>
  <c r="B24" i="1" s="1"/>
  <c r="C24" i="1"/>
  <c r="D24" i="1"/>
  <c r="E24" i="1"/>
  <c r="F24" i="1"/>
  <c r="G24" i="1" s="1"/>
  <c r="A25" i="1"/>
  <c r="B25" i="1" s="1"/>
  <c r="C25" i="1"/>
  <c r="D25" i="1"/>
  <c r="E25" i="1"/>
  <c r="F25" i="1"/>
  <c r="G25" i="1" s="1"/>
  <c r="A26" i="1"/>
  <c r="B26" i="1" s="1"/>
  <c r="C26" i="1"/>
  <c r="D26" i="1"/>
  <c r="E26" i="1"/>
  <c r="F26" i="1"/>
  <c r="G26" i="1" s="1"/>
  <c r="A27" i="1"/>
  <c r="B27" i="1" s="1"/>
  <c r="C27" i="1"/>
  <c r="D27" i="1"/>
  <c r="E27" i="1"/>
  <c r="F27" i="1"/>
  <c r="G27" i="1" s="1"/>
  <c r="A28" i="1"/>
  <c r="B28" i="1" s="1"/>
  <c r="C28" i="1"/>
  <c r="D28" i="1"/>
  <c r="E28" i="1"/>
  <c r="F28" i="1"/>
  <c r="G28" i="1" s="1"/>
  <c r="A29" i="1"/>
  <c r="B29" i="1" s="1"/>
  <c r="C29" i="1"/>
  <c r="D29" i="1"/>
  <c r="E29" i="1"/>
  <c r="F29" i="1"/>
  <c r="G29" i="1" s="1"/>
  <c r="A30" i="1"/>
  <c r="B30" i="1" s="1"/>
  <c r="C30" i="1"/>
  <c r="D30" i="1"/>
  <c r="E30" i="1"/>
  <c r="F30" i="1"/>
  <c r="G30" i="1" s="1"/>
  <c r="A31" i="1"/>
  <c r="B31" i="1" s="1"/>
  <c r="C31" i="1"/>
  <c r="D31" i="1"/>
  <c r="E31" i="1"/>
  <c r="F31" i="1"/>
  <c r="G31" i="1" s="1"/>
  <c r="A32" i="1"/>
  <c r="B32" i="1"/>
  <c r="C32" i="1"/>
  <c r="D32" i="1"/>
  <c r="E32" i="1"/>
  <c r="F32" i="1"/>
  <c r="G32" i="1" s="1"/>
  <c r="A33" i="1"/>
  <c r="B33" i="1" s="1"/>
  <c r="C33" i="1"/>
  <c r="D33" i="1"/>
  <c r="E33" i="1"/>
  <c r="F33" i="1"/>
  <c r="G33" i="1" s="1"/>
  <c r="A34" i="1"/>
  <c r="B34" i="1" s="1"/>
  <c r="C34" i="1"/>
  <c r="D34" i="1"/>
  <c r="E34" i="1"/>
  <c r="F34" i="1"/>
  <c r="G34" i="1" s="1"/>
  <c r="A35" i="1"/>
  <c r="B35" i="1" s="1"/>
  <c r="C35" i="1"/>
  <c r="D35" i="1"/>
  <c r="E35" i="1"/>
  <c r="F35" i="1"/>
  <c r="G35" i="1" s="1"/>
  <c r="A36" i="1"/>
  <c r="B36" i="1" s="1"/>
  <c r="C36" i="1"/>
  <c r="D36" i="1"/>
  <c r="E36" i="1"/>
  <c r="F36" i="1"/>
  <c r="G36" i="1" s="1"/>
  <c r="A37" i="1"/>
  <c r="B37" i="1" s="1"/>
  <c r="C37" i="1"/>
  <c r="D37" i="1"/>
  <c r="E37" i="1"/>
  <c r="F37" i="1"/>
  <c r="G37" i="1" s="1"/>
  <c r="A38" i="1"/>
  <c r="B38" i="1" s="1"/>
  <c r="C38" i="1"/>
  <c r="D38" i="1"/>
  <c r="E38" i="1"/>
  <c r="F38" i="1"/>
  <c r="G38" i="1" s="1"/>
  <c r="A39" i="1"/>
  <c r="B39" i="1" s="1"/>
  <c r="C39" i="1"/>
  <c r="D39" i="1"/>
  <c r="E39" i="1"/>
  <c r="F39" i="1"/>
  <c r="G39" i="1" s="1"/>
  <c r="A40" i="1"/>
  <c r="B40" i="1" s="1"/>
  <c r="C40" i="1"/>
  <c r="D40" i="1"/>
  <c r="E40" i="1"/>
  <c r="F40" i="1"/>
  <c r="G40" i="1" s="1"/>
  <c r="A41" i="1"/>
  <c r="B41" i="1" s="1"/>
  <c r="C41" i="1"/>
  <c r="D41" i="1"/>
  <c r="E41" i="1"/>
  <c r="F41" i="1"/>
  <c r="G41" i="1" s="1"/>
  <c r="A42" i="1"/>
  <c r="B42" i="1" s="1"/>
  <c r="C42" i="1"/>
  <c r="D42" i="1"/>
  <c r="E42" i="1"/>
  <c r="F42" i="1"/>
  <c r="G42" i="1" s="1"/>
  <c r="A43" i="1"/>
  <c r="B43" i="1" s="1"/>
  <c r="C43" i="1"/>
  <c r="D43" i="1"/>
  <c r="E43" i="1"/>
  <c r="F43" i="1"/>
  <c r="G43" i="1" s="1"/>
  <c r="A44" i="1"/>
  <c r="B44" i="1" s="1"/>
  <c r="C44" i="1"/>
  <c r="D44" i="1"/>
  <c r="E44" i="1"/>
  <c r="F44" i="1"/>
  <c r="G44" i="1"/>
  <c r="A45" i="1"/>
  <c r="B45" i="1" s="1"/>
  <c r="C45" i="1"/>
  <c r="D45" i="1"/>
  <c r="E45" i="1"/>
  <c r="F45" i="1"/>
  <c r="G45" i="1" s="1"/>
  <c r="A46" i="1"/>
  <c r="B46" i="1" s="1"/>
  <c r="C46" i="1"/>
  <c r="D46" i="1"/>
  <c r="E46" i="1"/>
  <c r="F46" i="1"/>
  <c r="G46" i="1" s="1"/>
  <c r="A47" i="1"/>
  <c r="B47" i="1"/>
  <c r="C47" i="1"/>
  <c r="D47" i="1"/>
  <c r="E47" i="1"/>
  <c r="F47" i="1"/>
  <c r="G47" i="1" s="1"/>
  <c r="A48" i="1"/>
  <c r="B48" i="1" s="1"/>
  <c r="C48" i="1"/>
  <c r="D48" i="1"/>
  <c r="E48" i="1"/>
  <c r="F48" i="1"/>
  <c r="G48" i="1" s="1"/>
  <c r="A49" i="1"/>
  <c r="B49" i="1" s="1"/>
  <c r="C49" i="1"/>
  <c r="D49" i="1"/>
  <c r="E49" i="1"/>
  <c r="F49" i="1"/>
  <c r="G49" i="1" s="1"/>
  <c r="A50" i="1"/>
  <c r="B50" i="1"/>
  <c r="C50" i="1"/>
  <c r="D50" i="1"/>
  <c r="E50" i="1"/>
  <c r="F50" i="1"/>
  <c r="G50" i="1" s="1"/>
  <c r="A51" i="1"/>
  <c r="B51" i="1" s="1"/>
  <c r="C51" i="1"/>
  <c r="D51" i="1"/>
  <c r="E51" i="1"/>
  <c r="F51" i="1"/>
  <c r="G51" i="1" s="1"/>
  <c r="A52" i="1"/>
  <c r="B52" i="1" s="1"/>
  <c r="C52" i="1"/>
  <c r="D52" i="1"/>
  <c r="E52" i="1"/>
  <c r="F52" i="1"/>
  <c r="G52" i="1" s="1"/>
  <c r="A53" i="1"/>
  <c r="B53" i="1" s="1"/>
  <c r="C53" i="1"/>
  <c r="D53" i="1"/>
  <c r="E53" i="1"/>
  <c r="F53" i="1"/>
  <c r="G53" i="1" s="1"/>
  <c r="A54" i="1"/>
  <c r="B54" i="1" s="1"/>
  <c r="C54" i="1"/>
  <c r="D54" i="1"/>
  <c r="E54" i="1"/>
  <c r="F54" i="1"/>
  <c r="G54" i="1" s="1"/>
  <c r="A55" i="1"/>
  <c r="B55" i="1"/>
  <c r="C55" i="1"/>
  <c r="D55" i="1"/>
  <c r="E55" i="1"/>
  <c r="F55" i="1"/>
  <c r="G55" i="1" s="1"/>
  <c r="A56" i="1"/>
  <c r="B56" i="1" s="1"/>
  <c r="C56" i="1"/>
  <c r="D56" i="1"/>
  <c r="E56" i="1"/>
  <c r="F56" i="1"/>
  <c r="G56" i="1" s="1"/>
  <c r="A57" i="1"/>
  <c r="B57" i="1" s="1"/>
  <c r="C57" i="1"/>
  <c r="D57" i="1"/>
  <c r="E57" i="1"/>
  <c r="F57" i="1"/>
  <c r="G57" i="1" s="1"/>
  <c r="A58" i="1"/>
  <c r="B58" i="1"/>
  <c r="C58" i="1"/>
  <c r="D58" i="1"/>
  <c r="E58" i="1"/>
  <c r="F58" i="1"/>
  <c r="G58" i="1" s="1"/>
  <c r="A59" i="1"/>
  <c r="B59" i="1" s="1"/>
  <c r="C59" i="1"/>
  <c r="D59" i="1"/>
  <c r="E59" i="1"/>
  <c r="F59" i="1"/>
  <c r="G59" i="1" s="1"/>
  <c r="A60" i="1"/>
  <c r="B60" i="1" s="1"/>
  <c r="C60" i="1"/>
  <c r="D60" i="1"/>
  <c r="E60" i="1"/>
  <c r="F60" i="1"/>
  <c r="G60" i="1" s="1"/>
  <c r="A61" i="1"/>
  <c r="B61" i="1" s="1"/>
  <c r="C61" i="1"/>
  <c r="D61" i="1"/>
  <c r="E61" i="1"/>
  <c r="F61" i="1"/>
  <c r="G61" i="1" s="1"/>
  <c r="A62" i="1"/>
  <c r="B62" i="1" s="1"/>
  <c r="C62" i="1"/>
  <c r="D62" i="1"/>
  <c r="E62" i="1"/>
  <c r="F62" i="1"/>
  <c r="G62" i="1" s="1"/>
  <c r="A63" i="1"/>
  <c r="B63" i="1" s="1"/>
  <c r="C63" i="1"/>
  <c r="D63" i="1"/>
  <c r="E63" i="1"/>
  <c r="F63" i="1"/>
  <c r="G63" i="1"/>
  <c r="A64" i="1"/>
  <c r="B64" i="1" s="1"/>
  <c r="C64" i="1"/>
  <c r="D64" i="1"/>
  <c r="E64" i="1"/>
  <c r="F64" i="1"/>
  <c r="G64" i="1" s="1"/>
  <c r="A65" i="1"/>
  <c r="B65" i="1" s="1"/>
  <c r="C65" i="1"/>
  <c r="D65" i="1"/>
  <c r="E65" i="1"/>
  <c r="F65" i="1"/>
  <c r="G65" i="1" s="1"/>
  <c r="A66" i="1"/>
  <c r="B66" i="1" s="1"/>
  <c r="C66" i="1"/>
  <c r="D66" i="1"/>
  <c r="E66" i="1"/>
  <c r="F66" i="1"/>
  <c r="G66" i="1" s="1"/>
  <c r="A67" i="1"/>
  <c r="B67" i="1" s="1"/>
  <c r="C67" i="1"/>
  <c r="D67" i="1"/>
  <c r="E67" i="1"/>
  <c r="F67" i="1"/>
  <c r="G67" i="1" s="1"/>
  <c r="A68" i="1"/>
  <c r="B68" i="1" s="1"/>
  <c r="C68" i="1"/>
  <c r="D68" i="1"/>
  <c r="E68" i="1"/>
  <c r="F68" i="1"/>
  <c r="G68" i="1" s="1"/>
  <c r="A69" i="1"/>
  <c r="B69" i="1" s="1"/>
  <c r="C69" i="1"/>
  <c r="D69" i="1"/>
  <c r="E69" i="1"/>
  <c r="F69" i="1"/>
  <c r="G69" i="1" s="1"/>
  <c r="A70" i="1"/>
  <c r="B70" i="1" s="1"/>
  <c r="C70" i="1"/>
  <c r="D70" i="1"/>
  <c r="E70" i="1"/>
  <c r="F70" i="1"/>
  <c r="G70" i="1" s="1"/>
  <c r="A71" i="1"/>
  <c r="B71" i="1" s="1"/>
  <c r="C71" i="1"/>
  <c r="D71" i="1"/>
  <c r="E71" i="1"/>
  <c r="F71" i="1"/>
  <c r="G71" i="1" s="1"/>
  <c r="A72" i="1"/>
  <c r="B72" i="1" s="1"/>
  <c r="C72" i="1"/>
  <c r="D72" i="1"/>
  <c r="E72" i="1"/>
  <c r="F72" i="1"/>
  <c r="G72" i="1" s="1"/>
  <c r="A73" i="1"/>
  <c r="B73" i="1" s="1"/>
  <c r="C73" i="1"/>
  <c r="D73" i="1"/>
  <c r="E73" i="1"/>
  <c r="F73" i="1"/>
  <c r="G73" i="1" s="1"/>
  <c r="A74" i="1"/>
  <c r="B74" i="1" s="1"/>
  <c r="C74" i="1"/>
  <c r="D74" i="1"/>
  <c r="E74" i="1"/>
  <c r="F74" i="1"/>
  <c r="G74" i="1" s="1"/>
  <c r="A75" i="1"/>
  <c r="B75" i="1" s="1"/>
  <c r="C75" i="1"/>
  <c r="D75" i="1"/>
  <c r="E75" i="1"/>
  <c r="F75" i="1"/>
  <c r="G75" i="1" s="1"/>
  <c r="A76" i="1"/>
  <c r="B76" i="1" s="1"/>
  <c r="C76" i="1"/>
  <c r="D76" i="1"/>
  <c r="E76" i="1"/>
  <c r="F76" i="1"/>
  <c r="G76" i="1" s="1"/>
  <c r="A77" i="1"/>
  <c r="B77" i="1" s="1"/>
  <c r="C77" i="1"/>
  <c r="D77" i="1"/>
  <c r="E77" i="1"/>
  <c r="F77" i="1"/>
  <c r="G77" i="1" s="1"/>
  <c r="A78" i="1"/>
  <c r="B78" i="1" s="1"/>
  <c r="C78" i="1"/>
  <c r="D78" i="1"/>
  <c r="E78" i="1"/>
  <c r="F78" i="1"/>
  <c r="G78" i="1" s="1"/>
  <c r="A79" i="1"/>
  <c r="B79" i="1" s="1"/>
  <c r="C79" i="1"/>
  <c r="D79" i="1"/>
  <c r="E79" i="1"/>
  <c r="F79" i="1"/>
  <c r="G79" i="1" s="1"/>
  <c r="A80" i="1"/>
  <c r="B80" i="1" s="1"/>
  <c r="C80" i="1"/>
  <c r="D80" i="1"/>
  <c r="E80" i="1"/>
  <c r="F80" i="1"/>
  <c r="G80" i="1" s="1"/>
  <c r="A81" i="1"/>
  <c r="B81" i="1" s="1"/>
  <c r="C81" i="1"/>
  <c r="D81" i="1"/>
  <c r="E81" i="1"/>
  <c r="F81" i="1"/>
  <c r="G81" i="1" s="1"/>
  <c r="A82" i="1"/>
  <c r="B82" i="1" s="1"/>
  <c r="C82" i="1"/>
  <c r="D82" i="1"/>
  <c r="E82" i="1"/>
  <c r="F82" i="1"/>
  <c r="G82" i="1" s="1"/>
  <c r="A83" i="1"/>
  <c r="B83" i="1" s="1"/>
  <c r="C83" i="1"/>
  <c r="D83" i="1"/>
  <c r="E83" i="1"/>
  <c r="F83" i="1"/>
  <c r="G83" i="1" s="1"/>
  <c r="A84" i="1"/>
  <c r="B84" i="1" s="1"/>
  <c r="C84" i="1"/>
  <c r="D84" i="1"/>
  <c r="E84" i="1"/>
  <c r="F84" i="1"/>
  <c r="G84" i="1" s="1"/>
  <c r="A85" i="1"/>
  <c r="B85" i="1"/>
  <c r="C85" i="1"/>
  <c r="D85" i="1"/>
  <c r="E85" i="1"/>
  <c r="F85" i="1"/>
  <c r="G85" i="1" s="1"/>
  <c r="A86" i="1"/>
  <c r="B86" i="1" s="1"/>
  <c r="C86" i="1"/>
  <c r="D86" i="1"/>
  <c r="E86" i="1"/>
  <c r="F86" i="1"/>
  <c r="G86" i="1" s="1"/>
  <c r="A87" i="1"/>
  <c r="B87" i="1" s="1"/>
  <c r="C87" i="1"/>
  <c r="D87" i="1"/>
  <c r="E87" i="1"/>
  <c r="F87" i="1"/>
  <c r="G87" i="1" s="1"/>
  <c r="A88" i="1"/>
  <c r="B88" i="1" s="1"/>
  <c r="C88" i="1"/>
  <c r="D88" i="1"/>
  <c r="E88" i="1"/>
  <c r="F88" i="1"/>
  <c r="G88" i="1" s="1"/>
  <c r="A89" i="1"/>
  <c r="B89" i="1" s="1"/>
  <c r="C89" i="1"/>
  <c r="D89" i="1"/>
  <c r="E89" i="1"/>
  <c r="F89" i="1"/>
  <c r="G89" i="1" s="1"/>
  <c r="A90" i="1"/>
  <c r="B90" i="1" s="1"/>
  <c r="C90" i="1"/>
  <c r="D90" i="1"/>
  <c r="E90" i="1"/>
  <c r="F90" i="1"/>
  <c r="G90" i="1" s="1"/>
  <c r="A91" i="1"/>
  <c r="B91" i="1" s="1"/>
  <c r="C91" i="1"/>
  <c r="D91" i="1"/>
  <c r="E91" i="1"/>
  <c r="F91" i="1"/>
  <c r="G91" i="1" s="1"/>
  <c r="A92" i="1"/>
  <c r="B92" i="1" s="1"/>
  <c r="C92" i="1"/>
  <c r="D92" i="1"/>
  <c r="E92" i="1"/>
  <c r="F92" i="1"/>
  <c r="G92" i="1" s="1"/>
  <c r="A93" i="1"/>
  <c r="B93" i="1" s="1"/>
  <c r="C93" i="1"/>
  <c r="D93" i="1"/>
  <c r="E93" i="1"/>
  <c r="F93" i="1"/>
  <c r="G93" i="1"/>
  <c r="A94" i="1"/>
  <c r="B94" i="1" s="1"/>
  <c r="C94" i="1"/>
  <c r="D94" i="1"/>
  <c r="E94" i="1"/>
  <c r="F94" i="1"/>
  <c r="G94" i="1" s="1"/>
  <c r="A95" i="1"/>
  <c r="B95" i="1"/>
  <c r="C95" i="1"/>
  <c r="D95" i="1"/>
  <c r="E95" i="1"/>
  <c r="F95" i="1"/>
  <c r="G95" i="1" s="1"/>
  <c r="A96" i="1"/>
  <c r="B96" i="1" s="1"/>
  <c r="C96" i="1"/>
  <c r="D96" i="1"/>
  <c r="E96" i="1"/>
  <c r="F96" i="1"/>
  <c r="G96" i="1" s="1"/>
  <c r="A97" i="1"/>
  <c r="B97" i="1" s="1"/>
  <c r="C97" i="1"/>
  <c r="D97" i="1"/>
  <c r="E97" i="1"/>
  <c r="F97" i="1"/>
  <c r="G97" i="1" s="1"/>
  <c r="A98" i="1"/>
  <c r="B98" i="1" s="1"/>
  <c r="C98" i="1"/>
  <c r="D98" i="1"/>
  <c r="E98" i="1"/>
  <c r="F98" i="1"/>
  <c r="G98" i="1" s="1"/>
  <c r="A99" i="1"/>
  <c r="B99" i="1" s="1"/>
  <c r="C99" i="1"/>
  <c r="D99" i="1"/>
  <c r="E99" i="1"/>
  <c r="F99" i="1"/>
  <c r="G99" i="1" s="1"/>
  <c r="A100" i="1"/>
  <c r="B100" i="1" s="1"/>
  <c r="C100" i="1"/>
  <c r="D100" i="1"/>
  <c r="E100" i="1"/>
  <c r="F100" i="1"/>
  <c r="G100" i="1" s="1"/>
  <c r="A101" i="1"/>
  <c r="B101" i="1" s="1"/>
  <c r="C101" i="1"/>
  <c r="D101" i="1"/>
  <c r="E101" i="1"/>
  <c r="F101" i="1"/>
  <c r="G101" i="1" s="1"/>
  <c r="A102" i="1"/>
  <c r="B102" i="1" s="1"/>
  <c r="C102" i="1"/>
  <c r="D102" i="1"/>
  <c r="E102" i="1"/>
  <c r="F102" i="1"/>
  <c r="G102" i="1" s="1"/>
  <c r="A103" i="1"/>
  <c r="B103" i="1" s="1"/>
  <c r="C103" i="1"/>
  <c r="D103" i="1"/>
  <c r="E103" i="1"/>
  <c r="F103" i="1"/>
  <c r="G103" i="1" s="1"/>
  <c r="A104" i="1"/>
  <c r="B104" i="1" s="1"/>
  <c r="C104" i="1"/>
  <c r="D104" i="1"/>
  <c r="E104" i="1"/>
  <c r="F104" i="1"/>
  <c r="G104" i="1"/>
  <c r="A105" i="1"/>
  <c r="B105" i="1" s="1"/>
  <c r="C105" i="1"/>
  <c r="D105" i="1"/>
  <c r="E105" i="1"/>
  <c r="F105" i="1"/>
  <c r="G105" i="1" s="1"/>
  <c r="A106" i="1"/>
  <c r="B106" i="1" s="1"/>
  <c r="C106" i="1"/>
  <c r="D106" i="1"/>
  <c r="E106" i="1"/>
  <c r="F106" i="1"/>
  <c r="G106" i="1" s="1"/>
  <c r="A107" i="1"/>
  <c r="B107" i="1" s="1"/>
  <c r="C107" i="1"/>
  <c r="D107" i="1"/>
  <c r="E107" i="1"/>
  <c r="F107" i="1"/>
  <c r="G107" i="1" s="1"/>
  <c r="A108" i="1"/>
  <c r="B108" i="1" s="1"/>
  <c r="C108" i="1"/>
  <c r="D108" i="1"/>
  <c r="E108" i="1"/>
  <c r="F108" i="1"/>
  <c r="G108" i="1" s="1"/>
  <c r="A109" i="1"/>
  <c r="B109" i="1" s="1"/>
  <c r="C109" i="1"/>
  <c r="D109" i="1"/>
  <c r="E109" i="1"/>
  <c r="F109" i="1"/>
  <c r="G109" i="1" s="1"/>
  <c r="A110" i="1"/>
  <c r="B110" i="1"/>
  <c r="C110" i="1"/>
  <c r="D110" i="1"/>
  <c r="E110" i="1"/>
  <c r="F110" i="1"/>
  <c r="G110" i="1" s="1"/>
  <c r="A111" i="1"/>
  <c r="B111" i="1" s="1"/>
  <c r="C111" i="1"/>
  <c r="D111" i="1"/>
  <c r="E111" i="1"/>
  <c r="F111" i="1"/>
  <c r="G111" i="1" s="1"/>
  <c r="A112" i="1"/>
  <c r="B112" i="1" s="1"/>
  <c r="C112" i="1"/>
  <c r="D112" i="1"/>
  <c r="E112" i="1"/>
  <c r="F112" i="1"/>
  <c r="G112" i="1" s="1"/>
  <c r="A113" i="1"/>
  <c r="B113" i="1" s="1"/>
  <c r="C113" i="1"/>
  <c r="D113" i="1"/>
  <c r="E113" i="1"/>
  <c r="F113" i="1"/>
  <c r="G113" i="1" s="1"/>
  <c r="A114" i="1"/>
  <c r="B114" i="1" s="1"/>
  <c r="C114" i="1"/>
  <c r="D114" i="1"/>
  <c r="E114" i="1"/>
  <c r="F114" i="1"/>
  <c r="G114" i="1"/>
  <c r="A115" i="1"/>
  <c r="B115" i="1" s="1"/>
  <c r="C115" i="1"/>
  <c r="D115" i="1"/>
  <c r="E115" i="1"/>
  <c r="F115" i="1"/>
  <c r="G115" i="1" s="1"/>
  <c r="A116" i="1"/>
  <c r="B116" i="1"/>
  <c r="C116" i="1"/>
  <c r="D116" i="1"/>
  <c r="E116" i="1"/>
  <c r="F116" i="1"/>
  <c r="G116" i="1" s="1"/>
  <c r="A117" i="1"/>
  <c r="B117" i="1" s="1"/>
  <c r="C117" i="1"/>
  <c r="D117" i="1"/>
  <c r="E117" i="1"/>
  <c r="F117" i="1"/>
  <c r="G117" i="1" s="1"/>
  <c r="A118" i="1"/>
  <c r="B118" i="1" s="1"/>
  <c r="C118" i="1"/>
  <c r="D118" i="1"/>
  <c r="E118" i="1"/>
  <c r="F118" i="1"/>
  <c r="G118" i="1" s="1"/>
  <c r="A119" i="1"/>
  <c r="B119" i="1"/>
  <c r="C119" i="1"/>
  <c r="D119" i="1"/>
  <c r="E119" i="1"/>
  <c r="F119" i="1"/>
  <c r="G119" i="1" s="1"/>
  <c r="A120" i="1"/>
  <c r="B120" i="1" s="1"/>
  <c r="C120" i="1"/>
  <c r="D120" i="1"/>
  <c r="E120" i="1"/>
  <c r="F120" i="1"/>
  <c r="G120" i="1" s="1"/>
  <c r="A121" i="1"/>
  <c r="B121" i="1" s="1"/>
  <c r="C121" i="1"/>
  <c r="D121" i="1"/>
  <c r="E121" i="1"/>
  <c r="F121" i="1"/>
  <c r="G121" i="1" s="1"/>
  <c r="A122" i="1"/>
  <c r="B122" i="1" s="1"/>
  <c r="C122" i="1"/>
  <c r="D122" i="1"/>
  <c r="E122" i="1"/>
  <c r="F122" i="1"/>
  <c r="G122" i="1" s="1"/>
  <c r="A123" i="1"/>
  <c r="B123" i="1" s="1"/>
  <c r="C123" i="1"/>
  <c r="D123" i="1"/>
  <c r="E123" i="1"/>
  <c r="F123" i="1"/>
  <c r="G123" i="1" s="1"/>
  <c r="A124" i="1"/>
  <c r="B124" i="1" s="1"/>
  <c r="C124" i="1"/>
  <c r="D124" i="1"/>
  <c r="E124" i="1"/>
  <c r="F124" i="1"/>
  <c r="G124" i="1" s="1"/>
  <c r="A125" i="1"/>
  <c r="B125" i="1" s="1"/>
  <c r="C125" i="1"/>
  <c r="D125" i="1"/>
  <c r="E125" i="1"/>
  <c r="F125" i="1"/>
  <c r="G125" i="1" s="1"/>
  <c r="A126" i="1"/>
  <c r="B126" i="1" s="1"/>
  <c r="C126" i="1"/>
  <c r="D126" i="1"/>
  <c r="E126" i="1"/>
  <c r="F126" i="1"/>
  <c r="G126" i="1" s="1"/>
  <c r="A127" i="1"/>
  <c r="B127" i="1" s="1"/>
  <c r="C127" i="1"/>
  <c r="D127" i="1"/>
  <c r="E127" i="1"/>
  <c r="F127" i="1"/>
  <c r="G127" i="1" s="1"/>
  <c r="A128" i="1"/>
  <c r="B128" i="1" s="1"/>
  <c r="C128" i="1"/>
  <c r="D128" i="1"/>
  <c r="E128" i="1"/>
  <c r="F128" i="1"/>
  <c r="G128" i="1" s="1"/>
  <c r="A129" i="1"/>
  <c r="B129" i="1" s="1"/>
  <c r="C129" i="1"/>
  <c r="D129" i="1"/>
  <c r="E129" i="1"/>
  <c r="F129" i="1"/>
  <c r="G129" i="1" s="1"/>
  <c r="A130" i="1"/>
  <c r="B130" i="1"/>
  <c r="C130" i="1"/>
  <c r="D130" i="1"/>
  <c r="E130" i="1"/>
  <c r="F130" i="1"/>
  <c r="G130" i="1" s="1"/>
  <c r="A131" i="1"/>
  <c r="B131" i="1" s="1"/>
  <c r="C131" i="1"/>
  <c r="D131" i="1"/>
  <c r="E131" i="1"/>
  <c r="F131" i="1"/>
  <c r="G131" i="1" s="1"/>
  <c r="A132" i="1"/>
  <c r="B132" i="1" s="1"/>
  <c r="C132" i="1"/>
  <c r="D132" i="1"/>
  <c r="E132" i="1"/>
  <c r="F132" i="1"/>
  <c r="G132" i="1" s="1"/>
  <c r="A133" i="1"/>
  <c r="B133" i="1"/>
  <c r="C133" i="1"/>
  <c r="D133" i="1"/>
  <c r="E133" i="1"/>
  <c r="F133" i="1"/>
  <c r="G133" i="1" s="1"/>
  <c r="A134" i="1"/>
  <c r="B134" i="1" s="1"/>
  <c r="C134" i="1"/>
  <c r="D134" i="1"/>
  <c r="E134" i="1"/>
  <c r="F134" i="1"/>
  <c r="G134" i="1" s="1"/>
  <c r="A135" i="1"/>
  <c r="B135" i="1" s="1"/>
  <c r="C135" i="1"/>
  <c r="D135" i="1"/>
  <c r="E135" i="1"/>
  <c r="F135" i="1"/>
  <c r="G135" i="1"/>
  <c r="A136" i="1"/>
  <c r="B136" i="1" s="1"/>
  <c r="C136" i="1"/>
  <c r="D136" i="1"/>
  <c r="E136" i="1"/>
  <c r="F136" i="1"/>
  <c r="G136" i="1" s="1"/>
  <c r="A137" i="1"/>
  <c r="B137" i="1" s="1"/>
  <c r="C137" i="1"/>
  <c r="D137" i="1"/>
  <c r="E137" i="1"/>
  <c r="F137" i="1"/>
  <c r="G137" i="1" s="1"/>
  <c r="A138" i="1"/>
  <c r="B138" i="1" s="1"/>
  <c r="C138" i="1"/>
  <c r="D138" i="1"/>
  <c r="E138" i="1"/>
  <c r="F138" i="1"/>
  <c r="G138" i="1" s="1"/>
  <c r="A139" i="1"/>
  <c r="B139" i="1" s="1"/>
  <c r="C139" i="1"/>
  <c r="D139" i="1"/>
  <c r="E139" i="1"/>
  <c r="F139" i="1"/>
  <c r="G139" i="1" s="1"/>
  <c r="A140" i="1"/>
  <c r="B140" i="1" s="1"/>
  <c r="C140" i="1"/>
  <c r="D140" i="1"/>
  <c r="E140" i="1"/>
  <c r="F140" i="1"/>
  <c r="G140" i="1" s="1"/>
  <c r="A141" i="1"/>
  <c r="B141" i="1" s="1"/>
  <c r="C141" i="1"/>
  <c r="D141" i="1"/>
  <c r="E141" i="1"/>
  <c r="F141" i="1"/>
  <c r="G141" i="1" s="1"/>
  <c r="A142" i="1"/>
  <c r="B142" i="1" s="1"/>
  <c r="C142" i="1"/>
  <c r="D142" i="1"/>
  <c r="E142" i="1"/>
  <c r="F142" i="1"/>
  <c r="G142" i="1" s="1"/>
  <c r="A143" i="1"/>
  <c r="B143" i="1" s="1"/>
  <c r="C143" i="1"/>
  <c r="D143" i="1"/>
  <c r="E143" i="1"/>
  <c r="F143" i="1"/>
  <c r="G143" i="1" s="1"/>
  <c r="A144" i="1"/>
  <c r="B144" i="1" s="1"/>
  <c r="C144" i="1"/>
  <c r="D144" i="1"/>
  <c r="E144" i="1"/>
  <c r="F144" i="1"/>
  <c r="G144" i="1" s="1"/>
  <c r="A145" i="1"/>
  <c r="B145" i="1" s="1"/>
  <c r="C145" i="1"/>
  <c r="D145" i="1"/>
  <c r="E145" i="1"/>
  <c r="F145" i="1"/>
  <c r="G145" i="1" s="1"/>
  <c r="A146" i="1"/>
  <c r="B146" i="1" s="1"/>
  <c r="C146" i="1"/>
  <c r="D146" i="1"/>
  <c r="E146" i="1"/>
  <c r="F146" i="1"/>
  <c r="G146" i="1"/>
  <c r="A147" i="1"/>
  <c r="B147" i="1" s="1"/>
  <c r="C147" i="1"/>
  <c r="D147" i="1"/>
  <c r="E147" i="1"/>
  <c r="F147" i="1"/>
  <c r="G147" i="1" s="1"/>
  <c r="A148" i="1"/>
  <c r="B148" i="1" s="1"/>
  <c r="C148" i="1"/>
  <c r="D148" i="1"/>
  <c r="E148" i="1"/>
  <c r="F148" i="1"/>
  <c r="G148" i="1" s="1"/>
  <c r="A149" i="1"/>
  <c r="B149" i="1" s="1"/>
  <c r="C149" i="1"/>
  <c r="D149" i="1"/>
  <c r="E149" i="1"/>
  <c r="F149" i="1"/>
  <c r="G149" i="1" s="1"/>
  <c r="A150" i="1"/>
  <c r="B150" i="1" s="1"/>
  <c r="C150" i="1"/>
  <c r="D150" i="1"/>
  <c r="E150" i="1"/>
  <c r="F150" i="1"/>
  <c r="G150" i="1" s="1"/>
  <c r="A151" i="1"/>
  <c r="B151" i="1" s="1"/>
  <c r="C151" i="1"/>
  <c r="D151" i="1"/>
  <c r="E151" i="1"/>
  <c r="F151" i="1"/>
  <c r="G151" i="1" s="1"/>
  <c r="A152" i="1"/>
  <c r="B152" i="1"/>
  <c r="C152" i="1"/>
  <c r="D152" i="1"/>
  <c r="E152" i="1"/>
  <c r="F152" i="1"/>
  <c r="G152" i="1" s="1"/>
  <c r="A153" i="1"/>
  <c r="B153" i="1" s="1"/>
  <c r="C153" i="1"/>
  <c r="D153" i="1"/>
  <c r="E153" i="1"/>
  <c r="F153" i="1"/>
  <c r="G153" i="1" s="1"/>
  <c r="A154" i="1"/>
  <c r="B154" i="1" s="1"/>
  <c r="C154" i="1"/>
  <c r="D154" i="1"/>
  <c r="E154" i="1"/>
  <c r="F154" i="1"/>
  <c r="G154" i="1" s="1"/>
  <c r="A155" i="1"/>
  <c r="B155" i="1" s="1"/>
  <c r="C155" i="1"/>
  <c r="D155" i="1"/>
  <c r="E155" i="1"/>
  <c r="F155" i="1"/>
  <c r="G155" i="1" s="1"/>
  <c r="A156" i="1"/>
  <c r="B156" i="1" s="1"/>
  <c r="C156" i="1"/>
  <c r="D156" i="1"/>
  <c r="E156" i="1"/>
  <c r="F156" i="1"/>
  <c r="G156" i="1" s="1"/>
  <c r="A157" i="1"/>
  <c r="B157" i="1"/>
  <c r="C157" i="1"/>
  <c r="D157" i="1"/>
  <c r="E157" i="1"/>
  <c r="F157" i="1"/>
  <c r="G157" i="1" s="1"/>
  <c r="A158" i="1"/>
  <c r="B158" i="1" s="1"/>
  <c r="C158" i="1"/>
  <c r="D158" i="1"/>
  <c r="E158" i="1"/>
  <c r="F158" i="1"/>
  <c r="G158" i="1" s="1"/>
  <c r="A159" i="1"/>
  <c r="B159" i="1" s="1"/>
  <c r="C159" i="1"/>
  <c r="D159" i="1"/>
  <c r="E159" i="1"/>
  <c r="F159" i="1"/>
  <c r="G159" i="1" s="1"/>
  <c r="A160" i="1"/>
  <c r="B160" i="1" s="1"/>
  <c r="C160" i="1"/>
  <c r="D160" i="1"/>
  <c r="E160" i="1"/>
  <c r="F160" i="1"/>
  <c r="G160" i="1" s="1"/>
  <c r="A161" i="1"/>
  <c r="B161" i="1"/>
  <c r="C161" i="1"/>
  <c r="D161" i="1"/>
  <c r="E161" i="1"/>
  <c r="F161" i="1"/>
  <c r="G161" i="1" s="1"/>
  <c r="A162" i="1"/>
  <c r="B162" i="1" s="1"/>
  <c r="C162" i="1"/>
  <c r="D162" i="1"/>
  <c r="E162" i="1"/>
  <c r="F162" i="1"/>
  <c r="G162" i="1" s="1"/>
  <c r="A163" i="1"/>
  <c r="B163" i="1"/>
  <c r="C163" i="1"/>
  <c r="D163" i="1"/>
  <c r="E163" i="1"/>
  <c r="F163" i="1"/>
  <c r="G163" i="1" s="1"/>
  <c r="A164" i="1"/>
  <c r="B164" i="1" s="1"/>
  <c r="C164" i="1"/>
  <c r="D164" i="1"/>
  <c r="E164" i="1"/>
  <c r="F164" i="1"/>
  <c r="G164" i="1" s="1"/>
  <c r="A165" i="1"/>
  <c r="B165" i="1" s="1"/>
  <c r="C165" i="1"/>
  <c r="D165" i="1"/>
  <c r="E165" i="1"/>
  <c r="F165" i="1"/>
  <c r="G165" i="1" s="1"/>
  <c r="A166" i="1"/>
  <c r="B166" i="1"/>
  <c r="C166" i="1"/>
  <c r="D166" i="1"/>
  <c r="E166" i="1"/>
  <c r="F166" i="1"/>
  <c r="G166" i="1" s="1"/>
  <c r="A167" i="1"/>
  <c r="B167" i="1" s="1"/>
  <c r="C167" i="1"/>
  <c r="D167" i="1"/>
  <c r="E167" i="1"/>
  <c r="F167" i="1"/>
  <c r="G167" i="1" s="1"/>
  <c r="A168" i="1"/>
  <c r="B168" i="1" s="1"/>
  <c r="C168" i="1"/>
  <c r="D168" i="1"/>
  <c r="E168" i="1"/>
  <c r="F168" i="1"/>
  <c r="G168" i="1" s="1"/>
  <c r="A169" i="1"/>
  <c r="B169" i="1" s="1"/>
  <c r="C169" i="1"/>
  <c r="D169" i="1"/>
  <c r="E169" i="1"/>
  <c r="F169" i="1"/>
  <c r="G169" i="1" s="1"/>
  <c r="A170" i="1"/>
  <c r="B170" i="1" s="1"/>
  <c r="C170" i="1"/>
  <c r="D170" i="1"/>
  <c r="E170" i="1"/>
  <c r="F170" i="1"/>
  <c r="G170" i="1" s="1"/>
  <c r="A171" i="1"/>
  <c r="B171" i="1" s="1"/>
  <c r="C171" i="1"/>
  <c r="D171" i="1"/>
  <c r="E171" i="1"/>
  <c r="F171" i="1"/>
  <c r="G171" i="1"/>
  <c r="A172" i="1"/>
  <c r="B172" i="1" s="1"/>
  <c r="C172" i="1"/>
  <c r="D172" i="1"/>
  <c r="E172" i="1"/>
  <c r="F172" i="1"/>
  <c r="G172" i="1" s="1"/>
  <c r="A173" i="1"/>
  <c r="B173" i="1" s="1"/>
  <c r="C173" i="1"/>
  <c r="D173" i="1"/>
  <c r="E173" i="1"/>
  <c r="F173" i="1"/>
  <c r="G173" i="1" s="1"/>
  <c r="A174" i="1"/>
  <c r="B174" i="1" s="1"/>
  <c r="C174" i="1"/>
  <c r="D174" i="1"/>
  <c r="E174" i="1"/>
  <c r="F174" i="1"/>
  <c r="G174" i="1" s="1"/>
  <c r="A175" i="1"/>
  <c r="B175" i="1" s="1"/>
  <c r="C175" i="1"/>
  <c r="D175" i="1"/>
  <c r="E175" i="1"/>
  <c r="F175" i="1"/>
  <c r="G175" i="1" s="1"/>
  <c r="A176" i="1"/>
  <c r="B176" i="1" s="1"/>
  <c r="C176" i="1"/>
  <c r="D176" i="1"/>
  <c r="E176" i="1"/>
  <c r="F176" i="1"/>
  <c r="G176" i="1" s="1"/>
  <c r="A177" i="1"/>
  <c r="B177" i="1" s="1"/>
  <c r="C177" i="1"/>
  <c r="D177" i="1"/>
  <c r="E177" i="1"/>
  <c r="F177" i="1"/>
  <c r="G177" i="1" s="1"/>
  <c r="A178" i="1"/>
  <c r="B178" i="1" s="1"/>
  <c r="C178" i="1"/>
  <c r="D178" i="1"/>
  <c r="E178" i="1"/>
  <c r="F178" i="1"/>
  <c r="G178" i="1" s="1"/>
  <c r="A179" i="1"/>
  <c r="B179" i="1"/>
  <c r="C179" i="1"/>
  <c r="D179" i="1"/>
  <c r="E179" i="1"/>
  <c r="F179" i="1"/>
  <c r="G179" i="1" s="1"/>
  <c r="A180" i="1"/>
  <c r="B180" i="1" s="1"/>
  <c r="C180" i="1"/>
  <c r="D180" i="1"/>
  <c r="E180" i="1"/>
  <c r="F180" i="1"/>
  <c r="G180" i="1" s="1"/>
  <c r="A181" i="1"/>
  <c r="B181" i="1"/>
  <c r="C181" i="1"/>
  <c r="D181" i="1"/>
  <c r="E181" i="1"/>
  <c r="F181" i="1"/>
  <c r="G181" i="1" s="1"/>
  <c r="A182" i="1"/>
  <c r="B182" i="1"/>
  <c r="C182" i="1"/>
  <c r="D182" i="1"/>
  <c r="E182" i="1"/>
  <c r="F182" i="1"/>
  <c r="G182" i="1" s="1"/>
  <c r="A183" i="1"/>
  <c r="B183" i="1" s="1"/>
  <c r="C183" i="1"/>
  <c r="D183" i="1"/>
  <c r="E183" i="1"/>
  <c r="F183" i="1"/>
  <c r="G183" i="1" s="1"/>
  <c r="A184" i="1"/>
  <c r="B184" i="1" s="1"/>
  <c r="C184" i="1"/>
  <c r="D184" i="1"/>
  <c r="E184" i="1"/>
  <c r="F184" i="1"/>
  <c r="G184" i="1" s="1"/>
  <c r="A185" i="1"/>
  <c r="B185" i="1" s="1"/>
  <c r="C185" i="1"/>
  <c r="D185" i="1"/>
  <c r="E185" i="1"/>
  <c r="F185" i="1"/>
  <c r="G185" i="1" s="1"/>
  <c r="A186" i="1"/>
  <c r="B186" i="1" s="1"/>
  <c r="C186" i="1"/>
  <c r="D186" i="1"/>
  <c r="E186" i="1"/>
  <c r="F186" i="1"/>
  <c r="G186" i="1" s="1"/>
  <c r="A187" i="1"/>
  <c r="B187" i="1" s="1"/>
  <c r="C187" i="1"/>
  <c r="D187" i="1"/>
  <c r="E187" i="1"/>
  <c r="F187" i="1"/>
  <c r="G187" i="1" s="1"/>
  <c r="A188" i="1"/>
  <c r="B188" i="1" s="1"/>
  <c r="C188" i="1"/>
  <c r="D188" i="1"/>
  <c r="E188" i="1"/>
  <c r="F188" i="1"/>
  <c r="G188" i="1" s="1"/>
  <c r="A189" i="1"/>
  <c r="B189" i="1" s="1"/>
  <c r="C189" i="1"/>
  <c r="D189" i="1"/>
  <c r="E189" i="1"/>
  <c r="F189" i="1"/>
  <c r="G189" i="1" s="1"/>
  <c r="A190" i="1"/>
  <c r="B190" i="1" s="1"/>
  <c r="C190" i="1"/>
  <c r="D190" i="1"/>
  <c r="E190" i="1"/>
  <c r="F190" i="1"/>
  <c r="G190" i="1" s="1"/>
  <c r="A191" i="1"/>
  <c r="B191" i="1" s="1"/>
  <c r="C191" i="1"/>
  <c r="D191" i="1"/>
  <c r="E191" i="1"/>
  <c r="F191" i="1"/>
  <c r="G191" i="1" s="1"/>
  <c r="A192" i="1"/>
  <c r="B192" i="1" s="1"/>
  <c r="C192" i="1"/>
  <c r="D192" i="1"/>
  <c r="E192" i="1"/>
  <c r="F192" i="1"/>
  <c r="G192" i="1" s="1"/>
  <c r="A193" i="1"/>
  <c r="B193" i="1" s="1"/>
  <c r="C193" i="1"/>
  <c r="D193" i="1"/>
  <c r="E193" i="1"/>
  <c r="F193" i="1"/>
  <c r="G193" i="1" s="1"/>
  <c r="A194" i="1"/>
  <c r="B194" i="1"/>
  <c r="C194" i="1"/>
  <c r="D194" i="1"/>
  <c r="E194" i="1"/>
  <c r="F194" i="1"/>
  <c r="G194" i="1" s="1"/>
  <c r="A195" i="1"/>
  <c r="B195" i="1" s="1"/>
  <c r="C195" i="1"/>
  <c r="D195" i="1"/>
  <c r="E195" i="1"/>
  <c r="F195" i="1"/>
  <c r="G195" i="1" s="1"/>
  <c r="A196" i="1"/>
  <c r="B196" i="1" s="1"/>
  <c r="C196" i="1"/>
  <c r="D196" i="1"/>
  <c r="E196" i="1"/>
  <c r="F196" i="1"/>
  <c r="G196" i="1" s="1"/>
  <c r="A197" i="1"/>
  <c r="B197" i="1" s="1"/>
  <c r="C197" i="1"/>
  <c r="D197" i="1"/>
  <c r="E197" i="1"/>
  <c r="F197" i="1"/>
  <c r="G197" i="1" s="1"/>
  <c r="A198" i="1"/>
  <c r="B198" i="1" s="1"/>
  <c r="C198" i="1"/>
  <c r="D198" i="1"/>
  <c r="E198" i="1"/>
  <c r="F198" i="1"/>
  <c r="G198" i="1"/>
  <c r="A199" i="1"/>
  <c r="B199" i="1" s="1"/>
  <c r="C199" i="1"/>
  <c r="D199" i="1"/>
  <c r="E199" i="1"/>
  <c r="F199" i="1"/>
  <c r="G199" i="1" s="1"/>
  <c r="A200" i="1"/>
  <c r="B200" i="1"/>
  <c r="C200" i="1"/>
  <c r="D200" i="1"/>
  <c r="E200" i="1"/>
  <c r="F200" i="1"/>
  <c r="G200" i="1" s="1"/>
  <c r="A201" i="1"/>
  <c r="B201" i="1" s="1"/>
  <c r="C201" i="1"/>
  <c r="D201" i="1"/>
  <c r="E201" i="1"/>
  <c r="F201" i="1"/>
  <c r="G201" i="1" s="1"/>
  <c r="A202" i="1"/>
  <c r="B202" i="1" s="1"/>
  <c r="C202" i="1"/>
  <c r="D202" i="1"/>
  <c r="E202" i="1"/>
  <c r="F202" i="1"/>
  <c r="G202" i="1" s="1"/>
  <c r="A203" i="1"/>
  <c r="B203" i="1"/>
  <c r="C203" i="1"/>
  <c r="D203" i="1"/>
  <c r="E203" i="1"/>
  <c r="F203" i="1"/>
  <c r="G203" i="1" s="1"/>
  <c r="A204" i="1"/>
  <c r="B204" i="1" s="1"/>
  <c r="C204" i="1"/>
  <c r="D204" i="1"/>
  <c r="E204" i="1"/>
  <c r="F204" i="1"/>
  <c r="G204" i="1" s="1"/>
  <c r="A205" i="1"/>
  <c r="B205" i="1" s="1"/>
  <c r="C205" i="1"/>
  <c r="D205" i="1"/>
  <c r="E205" i="1"/>
  <c r="F205" i="1"/>
  <c r="G205" i="1" s="1"/>
  <c r="A206" i="1"/>
  <c r="B206" i="1" s="1"/>
  <c r="C206" i="1"/>
  <c r="D206" i="1"/>
  <c r="E206" i="1"/>
  <c r="F206" i="1"/>
  <c r="G206" i="1" s="1"/>
  <c r="A207" i="1"/>
  <c r="B207" i="1" s="1"/>
  <c r="C207" i="1"/>
  <c r="D207" i="1"/>
  <c r="E207" i="1"/>
  <c r="F207" i="1"/>
  <c r="G207" i="1" s="1"/>
  <c r="A208" i="1"/>
  <c r="B208" i="1" s="1"/>
  <c r="C208" i="1"/>
  <c r="D208" i="1"/>
  <c r="E208" i="1"/>
  <c r="F208" i="1"/>
  <c r="G208" i="1" s="1"/>
  <c r="A209" i="1"/>
  <c r="B209" i="1" s="1"/>
  <c r="C209" i="1"/>
  <c r="D209" i="1"/>
  <c r="E209" i="1"/>
  <c r="F209" i="1"/>
  <c r="G209" i="1" s="1"/>
  <c r="A210" i="1"/>
  <c r="B210" i="1" s="1"/>
  <c r="C210" i="1"/>
  <c r="D210" i="1"/>
  <c r="E210" i="1"/>
  <c r="F210" i="1"/>
  <c r="G210" i="1" s="1"/>
  <c r="A211" i="1"/>
  <c r="B211" i="1" s="1"/>
  <c r="C211" i="1"/>
  <c r="D211" i="1"/>
  <c r="E211" i="1"/>
  <c r="F211" i="1"/>
  <c r="G211" i="1" s="1"/>
  <c r="A212" i="1"/>
  <c r="B212" i="1" s="1"/>
  <c r="C212" i="1"/>
  <c r="D212" i="1"/>
  <c r="E212" i="1"/>
  <c r="F212" i="1"/>
  <c r="G212" i="1" s="1"/>
  <c r="A213" i="1"/>
  <c r="B213" i="1" s="1"/>
  <c r="C213" i="1"/>
  <c r="D213" i="1"/>
  <c r="E213" i="1"/>
  <c r="F213" i="1"/>
  <c r="G213" i="1" s="1"/>
  <c r="A214" i="1"/>
  <c r="B214" i="1" s="1"/>
  <c r="C214" i="1"/>
  <c r="D214" i="1"/>
  <c r="E214" i="1"/>
  <c r="F214" i="1"/>
  <c r="G214" i="1" s="1"/>
  <c r="A215" i="1"/>
  <c r="B215" i="1" s="1"/>
  <c r="C215" i="1"/>
  <c r="D215" i="1"/>
  <c r="E215" i="1"/>
  <c r="F215" i="1"/>
  <c r="G215" i="1" s="1"/>
  <c r="A216" i="1"/>
  <c r="B216" i="1" s="1"/>
  <c r="C216" i="1"/>
  <c r="D216" i="1"/>
  <c r="E216" i="1"/>
  <c r="F216" i="1"/>
  <c r="G216" i="1"/>
  <c r="A217" i="1"/>
  <c r="B217" i="1" s="1"/>
  <c r="C217" i="1"/>
  <c r="D217" i="1"/>
  <c r="E217" i="1"/>
  <c r="F217" i="1"/>
  <c r="G217" i="1" s="1"/>
  <c r="A218" i="1"/>
  <c r="B218" i="1"/>
  <c r="C218" i="1"/>
  <c r="D218" i="1"/>
  <c r="E218" i="1"/>
  <c r="F218" i="1"/>
  <c r="G218" i="1" s="1"/>
  <c r="A219" i="1"/>
  <c r="B219" i="1" s="1"/>
  <c r="C219" i="1"/>
  <c r="D219" i="1"/>
  <c r="E219" i="1"/>
  <c r="F219" i="1"/>
  <c r="G219" i="1" s="1"/>
  <c r="A220" i="1"/>
  <c r="B220" i="1" s="1"/>
  <c r="C220" i="1"/>
  <c r="D220" i="1"/>
  <c r="E220" i="1"/>
  <c r="F220" i="1"/>
  <c r="G220" i="1" s="1"/>
  <c r="A221" i="1"/>
  <c r="B221" i="1" s="1"/>
  <c r="C221" i="1"/>
  <c r="D221" i="1"/>
  <c r="E221" i="1"/>
  <c r="F221" i="1"/>
  <c r="G221" i="1" s="1"/>
  <c r="A222" i="1"/>
  <c r="B222" i="1" s="1"/>
  <c r="C222" i="1"/>
  <c r="D222" i="1"/>
  <c r="E222" i="1"/>
  <c r="F222" i="1"/>
  <c r="G222" i="1" s="1"/>
  <c r="A223" i="1"/>
  <c r="B223" i="1" s="1"/>
  <c r="C223" i="1"/>
  <c r="D223" i="1"/>
  <c r="E223" i="1"/>
  <c r="F223" i="1"/>
  <c r="G223" i="1" s="1"/>
  <c r="A224" i="1"/>
  <c r="B224" i="1" s="1"/>
  <c r="C224" i="1"/>
  <c r="D224" i="1"/>
  <c r="E224" i="1"/>
  <c r="F224" i="1"/>
  <c r="G224" i="1"/>
  <c r="A225" i="1"/>
  <c r="B225" i="1" s="1"/>
  <c r="C225" i="1"/>
  <c r="D225" i="1"/>
  <c r="E225" i="1"/>
  <c r="F225" i="1"/>
  <c r="G225" i="1" s="1"/>
  <c r="A226" i="1"/>
  <c r="B226" i="1" s="1"/>
  <c r="C226" i="1"/>
  <c r="D226" i="1"/>
  <c r="E226" i="1"/>
  <c r="F226" i="1"/>
  <c r="G226" i="1" s="1"/>
  <c r="A227" i="1"/>
  <c r="B227" i="1" s="1"/>
  <c r="C227" i="1"/>
  <c r="D227" i="1"/>
  <c r="E227" i="1"/>
  <c r="F227" i="1"/>
  <c r="G227" i="1" s="1"/>
  <c r="A228" i="1"/>
  <c r="B228" i="1" s="1"/>
  <c r="C228" i="1"/>
  <c r="D228" i="1"/>
  <c r="E228" i="1"/>
  <c r="F228" i="1"/>
  <c r="G228" i="1" s="1"/>
  <c r="A229" i="1"/>
  <c r="B229" i="1" s="1"/>
  <c r="C229" i="1"/>
  <c r="D229" i="1"/>
  <c r="E229" i="1"/>
  <c r="F229" i="1"/>
  <c r="G229" i="1" s="1"/>
  <c r="A230" i="1"/>
  <c r="B230" i="1"/>
  <c r="C230" i="1"/>
  <c r="D230" i="1"/>
  <c r="E230" i="1"/>
  <c r="F230" i="1"/>
  <c r="G230" i="1" s="1"/>
  <c r="A231" i="1"/>
  <c r="B231" i="1" s="1"/>
  <c r="C231" i="1"/>
  <c r="D231" i="1"/>
  <c r="E231" i="1"/>
  <c r="F231" i="1"/>
  <c r="G231" i="1" s="1"/>
  <c r="A232" i="1"/>
  <c r="B232" i="1" s="1"/>
  <c r="C232" i="1"/>
  <c r="D232" i="1"/>
  <c r="E232" i="1"/>
  <c r="F232" i="1"/>
  <c r="G232" i="1" s="1"/>
  <c r="A233" i="1"/>
  <c r="B233" i="1" s="1"/>
  <c r="C233" i="1"/>
  <c r="D233" i="1"/>
  <c r="E233" i="1"/>
  <c r="F233" i="1"/>
  <c r="G233" i="1" s="1"/>
  <c r="A234" i="1"/>
  <c r="B234" i="1" s="1"/>
  <c r="C234" i="1"/>
  <c r="D234" i="1"/>
  <c r="E234" i="1"/>
  <c r="F234" i="1"/>
  <c r="G234" i="1" s="1"/>
  <c r="A235" i="1"/>
  <c r="B235" i="1" s="1"/>
  <c r="C235" i="1"/>
  <c r="D235" i="1"/>
  <c r="E235" i="1"/>
  <c r="F235" i="1"/>
  <c r="G235" i="1" s="1"/>
  <c r="A236" i="1"/>
  <c r="B236" i="1" s="1"/>
  <c r="C236" i="1"/>
  <c r="D236" i="1"/>
  <c r="E236" i="1"/>
  <c r="F236" i="1"/>
  <c r="G236" i="1" s="1"/>
  <c r="A237" i="1"/>
  <c r="B237" i="1" s="1"/>
  <c r="C237" i="1"/>
  <c r="D237" i="1"/>
  <c r="E237" i="1"/>
  <c r="F237" i="1"/>
  <c r="G237" i="1"/>
  <c r="A238" i="1"/>
  <c r="B238" i="1" s="1"/>
  <c r="C238" i="1"/>
  <c r="D238" i="1"/>
  <c r="E238" i="1"/>
  <c r="F238" i="1"/>
  <c r="G238" i="1" s="1"/>
  <c r="A239" i="1"/>
  <c r="B239" i="1" s="1"/>
  <c r="C239" i="1"/>
  <c r="D239" i="1"/>
  <c r="E239" i="1"/>
  <c r="F239" i="1"/>
  <c r="G239" i="1" s="1"/>
  <c r="A240" i="1"/>
  <c r="B240" i="1" s="1"/>
  <c r="C240" i="1"/>
  <c r="D240" i="1"/>
  <c r="E240" i="1"/>
  <c r="F240" i="1"/>
  <c r="G240" i="1" s="1"/>
  <c r="A241" i="1"/>
  <c r="B241" i="1" s="1"/>
  <c r="C241" i="1"/>
  <c r="D241" i="1"/>
  <c r="E241" i="1"/>
  <c r="F241" i="1"/>
  <c r="G241" i="1" s="1"/>
  <c r="A242" i="1"/>
  <c r="B242" i="1" s="1"/>
  <c r="C242" i="1"/>
  <c r="D242" i="1"/>
  <c r="E242" i="1"/>
  <c r="F242" i="1"/>
  <c r="G242" i="1" s="1"/>
  <c r="A243" i="1"/>
  <c r="B243" i="1" s="1"/>
  <c r="C243" i="1"/>
  <c r="D243" i="1"/>
  <c r="E243" i="1"/>
  <c r="F243" i="1"/>
  <c r="G243" i="1" s="1"/>
  <c r="A244" i="1"/>
  <c r="B244" i="1" s="1"/>
  <c r="C244" i="1"/>
  <c r="D244" i="1"/>
  <c r="E244" i="1"/>
  <c r="F244" i="1"/>
  <c r="G244" i="1" s="1"/>
  <c r="A245" i="1"/>
  <c r="B245" i="1"/>
  <c r="C245" i="1"/>
  <c r="D245" i="1"/>
  <c r="E245" i="1"/>
  <c r="F245" i="1"/>
  <c r="G245" i="1" s="1"/>
  <c r="A246" i="1"/>
  <c r="B246" i="1" s="1"/>
  <c r="C246" i="1"/>
  <c r="D246" i="1"/>
  <c r="E246" i="1"/>
  <c r="F246" i="1"/>
  <c r="G246" i="1" s="1"/>
  <c r="A247" i="1"/>
  <c r="B247" i="1"/>
  <c r="C247" i="1"/>
  <c r="D247" i="1"/>
  <c r="E247" i="1"/>
  <c r="F247" i="1"/>
  <c r="G247" i="1" s="1"/>
  <c r="A248" i="1"/>
  <c r="B248" i="1" s="1"/>
  <c r="C248" i="1"/>
  <c r="D248" i="1"/>
  <c r="E248" i="1"/>
  <c r="F248" i="1"/>
  <c r="G248" i="1" s="1"/>
  <c r="A249" i="1"/>
  <c r="B249" i="1" s="1"/>
  <c r="C249" i="1"/>
  <c r="D249" i="1"/>
  <c r="E249" i="1"/>
  <c r="F249" i="1"/>
  <c r="G249" i="1" s="1"/>
  <c r="A250" i="1"/>
  <c r="B250" i="1"/>
  <c r="C250" i="1"/>
  <c r="D250" i="1"/>
  <c r="E250" i="1"/>
  <c r="F250" i="1"/>
  <c r="G250" i="1" s="1"/>
  <c r="A251" i="1"/>
  <c r="B251" i="1" s="1"/>
  <c r="C251" i="1"/>
  <c r="D251" i="1"/>
  <c r="E251" i="1"/>
  <c r="F251" i="1"/>
  <c r="G251" i="1" s="1"/>
  <c r="A252" i="1"/>
  <c r="B252" i="1" s="1"/>
  <c r="C252" i="1"/>
  <c r="D252" i="1"/>
  <c r="E252" i="1"/>
  <c r="F252" i="1"/>
  <c r="G252" i="1" s="1"/>
  <c r="A253" i="1"/>
  <c r="B253" i="1" s="1"/>
  <c r="C253" i="1"/>
  <c r="D253" i="1"/>
  <c r="E253" i="1"/>
  <c r="F253" i="1"/>
  <c r="G253" i="1" s="1"/>
  <c r="A254" i="1"/>
  <c r="B254" i="1" s="1"/>
  <c r="C254" i="1"/>
  <c r="D254" i="1"/>
  <c r="E254" i="1"/>
  <c r="F254" i="1"/>
  <c r="G254" i="1" s="1"/>
  <c r="A255" i="1"/>
  <c r="B255" i="1" s="1"/>
  <c r="C255" i="1"/>
  <c r="D255" i="1"/>
  <c r="E255" i="1"/>
  <c r="F255" i="1"/>
  <c r="G255" i="1" s="1"/>
  <c r="A256" i="1"/>
  <c r="B256" i="1" s="1"/>
  <c r="C256" i="1"/>
  <c r="D256" i="1"/>
  <c r="E256" i="1"/>
  <c r="F256" i="1"/>
  <c r="G256" i="1" s="1"/>
  <c r="A257" i="1"/>
  <c r="B257" i="1" s="1"/>
  <c r="C257" i="1"/>
  <c r="D257" i="1"/>
  <c r="E257" i="1"/>
  <c r="F257" i="1"/>
  <c r="G257" i="1" s="1"/>
  <c r="A258" i="1"/>
  <c r="B258" i="1" s="1"/>
  <c r="C258" i="1"/>
  <c r="D258" i="1"/>
  <c r="E258" i="1"/>
  <c r="F258" i="1"/>
  <c r="G258" i="1" s="1"/>
  <c r="A259" i="1"/>
  <c r="B259" i="1" s="1"/>
  <c r="C259" i="1"/>
  <c r="D259" i="1"/>
  <c r="E259" i="1"/>
  <c r="F259" i="1"/>
  <c r="G259" i="1" s="1"/>
  <c r="A260" i="1"/>
  <c r="B260" i="1" s="1"/>
  <c r="C260" i="1"/>
  <c r="D260" i="1"/>
  <c r="E260" i="1"/>
  <c r="F260" i="1"/>
  <c r="G260" i="1" s="1"/>
  <c r="A261" i="1"/>
  <c r="B261" i="1" s="1"/>
  <c r="C261" i="1"/>
  <c r="D261" i="1"/>
  <c r="E261" i="1"/>
  <c r="F261" i="1"/>
  <c r="G261" i="1" s="1"/>
  <c r="A262" i="1"/>
  <c r="B262" i="1" s="1"/>
  <c r="C262" i="1"/>
  <c r="D262" i="1"/>
  <c r="E262" i="1"/>
  <c r="F262" i="1"/>
  <c r="G262" i="1" s="1"/>
  <c r="A263" i="1"/>
  <c r="B263" i="1"/>
  <c r="C263" i="1"/>
  <c r="D263" i="1"/>
  <c r="E263" i="1"/>
  <c r="F263" i="1"/>
  <c r="G263" i="1" s="1"/>
  <c r="A264" i="1"/>
  <c r="B264" i="1" s="1"/>
  <c r="C264" i="1"/>
  <c r="D264" i="1"/>
  <c r="E264" i="1"/>
  <c r="F264" i="1"/>
  <c r="G264" i="1"/>
  <c r="A265" i="1"/>
  <c r="B265" i="1"/>
  <c r="C265" i="1"/>
  <c r="D265" i="1"/>
  <c r="E265" i="1"/>
  <c r="F265" i="1"/>
  <c r="G265" i="1" s="1"/>
  <c r="A266" i="1"/>
  <c r="B266" i="1" s="1"/>
  <c r="C266" i="1"/>
  <c r="D266" i="1"/>
  <c r="E266" i="1"/>
  <c r="F266" i="1"/>
  <c r="G266" i="1"/>
  <c r="A267" i="1"/>
  <c r="B267" i="1" s="1"/>
  <c r="C267" i="1"/>
  <c r="D267" i="1"/>
  <c r="E267" i="1"/>
  <c r="F267" i="1"/>
  <c r="G267" i="1" s="1"/>
  <c r="A268" i="1"/>
  <c r="B268" i="1" s="1"/>
  <c r="C268" i="1"/>
  <c r="D268" i="1"/>
  <c r="E268" i="1"/>
  <c r="F268" i="1"/>
  <c r="G268" i="1" s="1"/>
  <c r="A269" i="1"/>
  <c r="B269" i="1"/>
  <c r="C269" i="1"/>
  <c r="D269" i="1"/>
  <c r="E269" i="1"/>
  <c r="F269" i="1"/>
  <c r="G269" i="1" s="1"/>
  <c r="A270" i="1"/>
  <c r="B270" i="1" s="1"/>
  <c r="C270" i="1"/>
  <c r="D270" i="1"/>
  <c r="E270" i="1"/>
  <c r="F270" i="1"/>
  <c r="G270" i="1" s="1"/>
  <c r="A271" i="1"/>
  <c r="B271" i="1"/>
  <c r="C271" i="1"/>
  <c r="D271" i="1"/>
  <c r="E271" i="1"/>
  <c r="F271" i="1"/>
  <c r="G271" i="1" s="1"/>
  <c r="A272" i="1"/>
  <c r="B272" i="1" s="1"/>
  <c r="C272" i="1"/>
  <c r="D272" i="1"/>
  <c r="E272" i="1"/>
  <c r="F272" i="1"/>
  <c r="G272" i="1"/>
  <c r="A273" i="1"/>
  <c r="B273" i="1" s="1"/>
  <c r="C273" i="1"/>
  <c r="D273" i="1"/>
  <c r="E273" i="1"/>
  <c r="F273" i="1"/>
  <c r="G273" i="1" s="1"/>
  <c r="A274" i="1"/>
  <c r="B274" i="1" s="1"/>
  <c r="C274" i="1"/>
  <c r="D274" i="1"/>
  <c r="E274" i="1"/>
  <c r="F274" i="1"/>
  <c r="G274" i="1" s="1"/>
  <c r="A275" i="1"/>
  <c r="B275" i="1" s="1"/>
  <c r="C275" i="1"/>
  <c r="D275" i="1"/>
  <c r="E275" i="1"/>
  <c r="F275" i="1"/>
  <c r="G275" i="1" s="1"/>
  <c r="A276" i="1"/>
  <c r="B276" i="1" s="1"/>
  <c r="C276" i="1"/>
  <c r="D276" i="1"/>
  <c r="E276" i="1"/>
  <c r="F276" i="1"/>
  <c r="G276" i="1" s="1"/>
  <c r="A277" i="1"/>
  <c r="B277" i="1" s="1"/>
  <c r="C277" i="1"/>
  <c r="D277" i="1"/>
  <c r="E277" i="1"/>
  <c r="F277" i="1"/>
  <c r="G277" i="1" s="1"/>
  <c r="A278" i="1"/>
  <c r="B278" i="1" s="1"/>
  <c r="C278" i="1"/>
  <c r="D278" i="1"/>
  <c r="E278" i="1"/>
  <c r="F278" i="1"/>
  <c r="G278" i="1" s="1"/>
  <c r="A279" i="1"/>
  <c r="B279" i="1" s="1"/>
  <c r="C279" i="1"/>
  <c r="D279" i="1"/>
  <c r="E279" i="1"/>
  <c r="F279" i="1"/>
  <c r="G279" i="1" s="1"/>
  <c r="A280" i="1"/>
  <c r="B280" i="1" s="1"/>
  <c r="C280" i="1"/>
  <c r="D280" i="1"/>
  <c r="E280" i="1"/>
  <c r="F280" i="1"/>
  <c r="G280" i="1" s="1"/>
  <c r="A281" i="1"/>
  <c r="B281" i="1" s="1"/>
  <c r="C281" i="1"/>
  <c r="D281" i="1"/>
  <c r="E281" i="1"/>
  <c r="F281" i="1"/>
  <c r="G281" i="1" s="1"/>
  <c r="A282" i="1"/>
  <c r="B282" i="1" s="1"/>
  <c r="C282" i="1"/>
  <c r="D282" i="1"/>
  <c r="E282" i="1"/>
  <c r="F282" i="1"/>
  <c r="G282" i="1"/>
  <c r="A283" i="1"/>
  <c r="B283" i="1" s="1"/>
  <c r="C283" i="1"/>
  <c r="D283" i="1"/>
  <c r="E283" i="1"/>
  <c r="F283" i="1"/>
  <c r="G283" i="1" s="1"/>
  <c r="A284" i="1"/>
  <c r="B284" i="1"/>
  <c r="C284" i="1"/>
  <c r="D284" i="1"/>
  <c r="E284" i="1"/>
  <c r="F284" i="1"/>
  <c r="G284" i="1"/>
  <c r="A285" i="1"/>
  <c r="B285" i="1" s="1"/>
  <c r="C285" i="1"/>
  <c r="D285" i="1"/>
  <c r="E285" i="1"/>
  <c r="F285" i="1"/>
  <c r="G285" i="1" s="1"/>
  <c r="A286" i="1"/>
  <c r="B286" i="1"/>
  <c r="C286" i="1"/>
  <c r="D286" i="1"/>
  <c r="E286" i="1"/>
  <c r="F286" i="1"/>
  <c r="G286" i="1" s="1"/>
  <c r="A287" i="1"/>
  <c r="B287" i="1" s="1"/>
  <c r="C287" i="1"/>
  <c r="D287" i="1"/>
  <c r="E287" i="1"/>
  <c r="F287" i="1"/>
  <c r="G287" i="1" s="1"/>
  <c r="A288" i="1"/>
  <c r="B288" i="1" s="1"/>
  <c r="C288" i="1"/>
  <c r="D288" i="1"/>
  <c r="E288" i="1"/>
  <c r="F288" i="1"/>
  <c r="G288" i="1" s="1"/>
  <c r="A289" i="1"/>
  <c r="B289" i="1" s="1"/>
  <c r="C289" i="1"/>
  <c r="D289" i="1"/>
  <c r="E289" i="1"/>
  <c r="F289" i="1"/>
  <c r="G289" i="1" s="1"/>
  <c r="A290" i="1"/>
  <c r="B290" i="1" s="1"/>
  <c r="C290" i="1"/>
  <c r="D290" i="1"/>
  <c r="E290" i="1"/>
  <c r="F290" i="1"/>
  <c r="G290" i="1" s="1"/>
  <c r="A291" i="1"/>
  <c r="B291" i="1" s="1"/>
  <c r="C291" i="1"/>
  <c r="D291" i="1"/>
  <c r="E291" i="1"/>
  <c r="F291" i="1"/>
  <c r="G291" i="1" s="1"/>
  <c r="A292" i="1"/>
  <c r="B292" i="1" s="1"/>
  <c r="C292" i="1"/>
  <c r="D292" i="1"/>
  <c r="E292" i="1"/>
  <c r="F292" i="1"/>
  <c r="G292" i="1" s="1"/>
  <c r="A293" i="1"/>
  <c r="B293" i="1" s="1"/>
  <c r="C293" i="1"/>
  <c r="D293" i="1"/>
  <c r="E293" i="1"/>
  <c r="F293" i="1"/>
  <c r="G293" i="1" s="1"/>
  <c r="A294" i="1"/>
  <c r="B294" i="1" s="1"/>
  <c r="C294" i="1"/>
  <c r="D294" i="1"/>
  <c r="E294" i="1"/>
  <c r="F294" i="1"/>
  <c r="G294" i="1" s="1"/>
  <c r="A295" i="1"/>
  <c r="B295" i="1" s="1"/>
  <c r="C295" i="1"/>
  <c r="D295" i="1"/>
  <c r="E295" i="1"/>
  <c r="F295" i="1"/>
  <c r="G295" i="1" s="1"/>
  <c r="A296" i="1"/>
  <c r="B296" i="1" s="1"/>
  <c r="C296" i="1"/>
  <c r="D296" i="1"/>
  <c r="E296" i="1"/>
  <c r="F296" i="1"/>
  <c r="G296" i="1"/>
  <c r="A297" i="1"/>
  <c r="B297" i="1" s="1"/>
  <c r="C297" i="1"/>
  <c r="D297" i="1"/>
  <c r="E297" i="1"/>
  <c r="F297" i="1"/>
  <c r="G297" i="1" s="1"/>
  <c r="A298" i="1"/>
  <c r="B298" i="1" s="1"/>
  <c r="C298" i="1"/>
  <c r="D298" i="1"/>
  <c r="E298" i="1"/>
  <c r="F298" i="1"/>
  <c r="G298" i="1" s="1"/>
  <c r="A299" i="1"/>
  <c r="B299" i="1"/>
  <c r="C299" i="1"/>
  <c r="D299" i="1"/>
  <c r="E299" i="1"/>
  <c r="F299" i="1"/>
  <c r="G299" i="1" s="1"/>
  <c r="A300" i="1"/>
  <c r="B300" i="1" s="1"/>
  <c r="C300" i="1"/>
  <c r="D300" i="1"/>
  <c r="E300" i="1"/>
  <c r="F300" i="1"/>
  <c r="G300" i="1" s="1"/>
  <c r="A301" i="1"/>
  <c r="B301" i="1"/>
  <c r="C301" i="1"/>
  <c r="D301" i="1"/>
  <c r="E301" i="1"/>
  <c r="F301" i="1"/>
  <c r="G301" i="1" s="1"/>
  <c r="A302" i="1"/>
  <c r="B302" i="1" s="1"/>
  <c r="C302" i="1"/>
  <c r="D302" i="1"/>
  <c r="E302" i="1"/>
  <c r="F302" i="1"/>
  <c r="G302" i="1" s="1"/>
  <c r="A303" i="1"/>
  <c r="B303" i="1" s="1"/>
  <c r="C303" i="1"/>
  <c r="D303" i="1"/>
  <c r="E303" i="1"/>
  <c r="F303" i="1"/>
  <c r="G303" i="1" s="1"/>
  <c r="A304" i="1"/>
  <c r="B304" i="1" s="1"/>
  <c r="C304" i="1"/>
  <c r="D304" i="1"/>
  <c r="E304" i="1"/>
  <c r="F304" i="1"/>
  <c r="G304" i="1" s="1"/>
  <c r="A305" i="1"/>
  <c r="B305" i="1" s="1"/>
  <c r="C305" i="1"/>
  <c r="D305" i="1"/>
  <c r="E305" i="1"/>
  <c r="F305" i="1"/>
  <c r="G305" i="1" s="1"/>
  <c r="A306" i="1"/>
  <c r="B306" i="1" s="1"/>
  <c r="C306" i="1"/>
  <c r="D306" i="1"/>
  <c r="E306" i="1"/>
  <c r="F306" i="1"/>
  <c r="G306" i="1" s="1"/>
  <c r="A307" i="1"/>
  <c r="B307" i="1" s="1"/>
  <c r="C307" i="1"/>
  <c r="D307" i="1"/>
  <c r="E307" i="1"/>
  <c r="F307" i="1"/>
  <c r="G307" i="1" s="1"/>
  <c r="A308" i="1"/>
  <c r="B308" i="1" s="1"/>
  <c r="C308" i="1"/>
  <c r="D308" i="1"/>
  <c r="E308" i="1"/>
  <c r="F308" i="1"/>
  <c r="G308" i="1" s="1"/>
  <c r="A309" i="1"/>
  <c r="B309" i="1" s="1"/>
  <c r="C309" i="1"/>
  <c r="D309" i="1"/>
  <c r="E309" i="1"/>
  <c r="F309" i="1"/>
  <c r="G309" i="1" s="1"/>
  <c r="A310" i="1"/>
  <c r="B310" i="1" s="1"/>
  <c r="C310" i="1"/>
  <c r="D310" i="1"/>
  <c r="E310" i="1"/>
  <c r="F310" i="1"/>
  <c r="G310" i="1" s="1"/>
  <c r="A311" i="1"/>
  <c r="B311" i="1" s="1"/>
  <c r="C311" i="1"/>
  <c r="D311" i="1"/>
  <c r="E311" i="1"/>
  <c r="F311" i="1"/>
  <c r="G311" i="1" s="1"/>
  <c r="A312" i="1"/>
  <c r="B312" i="1" s="1"/>
  <c r="C312" i="1"/>
  <c r="D312" i="1"/>
  <c r="E312" i="1"/>
  <c r="F312" i="1"/>
  <c r="G312" i="1"/>
  <c r="A313" i="1"/>
  <c r="B313" i="1" s="1"/>
  <c r="C313" i="1"/>
  <c r="D313" i="1"/>
  <c r="E313" i="1"/>
  <c r="F313" i="1"/>
  <c r="G313" i="1" s="1"/>
  <c r="A314" i="1"/>
  <c r="B314" i="1" s="1"/>
  <c r="C314" i="1"/>
  <c r="D314" i="1"/>
  <c r="E314" i="1"/>
  <c r="F314" i="1"/>
  <c r="G314" i="1" s="1"/>
  <c r="A315" i="1"/>
  <c r="B315" i="1" s="1"/>
  <c r="C315" i="1"/>
  <c r="D315" i="1"/>
  <c r="E315" i="1"/>
  <c r="F315" i="1"/>
  <c r="G315" i="1" s="1"/>
  <c r="A316" i="1"/>
  <c r="B316" i="1" s="1"/>
  <c r="C316" i="1"/>
  <c r="D316" i="1"/>
  <c r="E316" i="1"/>
  <c r="F316" i="1"/>
  <c r="G316" i="1" s="1"/>
  <c r="A317" i="1"/>
  <c r="B317" i="1" s="1"/>
  <c r="C317" i="1"/>
  <c r="D317" i="1"/>
  <c r="E317" i="1"/>
  <c r="F317" i="1"/>
  <c r="G317" i="1" s="1"/>
  <c r="A318" i="1"/>
  <c r="B318" i="1" s="1"/>
  <c r="C318" i="1"/>
  <c r="D318" i="1"/>
  <c r="E318" i="1"/>
  <c r="F318" i="1"/>
  <c r="G318" i="1"/>
  <c r="A319" i="1"/>
  <c r="B319" i="1" s="1"/>
  <c r="C319" i="1"/>
  <c r="D319" i="1"/>
  <c r="E319" i="1"/>
  <c r="F319" i="1"/>
  <c r="G319" i="1" s="1"/>
  <c r="A320" i="1"/>
  <c r="B320" i="1" s="1"/>
  <c r="C320" i="1"/>
  <c r="D320" i="1"/>
  <c r="E320" i="1"/>
  <c r="F320" i="1"/>
  <c r="G320" i="1" s="1"/>
  <c r="A321" i="1"/>
  <c r="B321" i="1" s="1"/>
  <c r="C321" i="1"/>
  <c r="D321" i="1"/>
  <c r="E321" i="1"/>
  <c r="F321" i="1"/>
  <c r="G321" i="1" s="1"/>
  <c r="A322" i="1"/>
  <c r="B322" i="1" s="1"/>
  <c r="C322" i="1"/>
  <c r="D322" i="1"/>
  <c r="E322" i="1"/>
  <c r="F322" i="1"/>
  <c r="G322" i="1" s="1"/>
  <c r="A323" i="1"/>
  <c r="B323" i="1" s="1"/>
  <c r="C323" i="1"/>
  <c r="D323" i="1"/>
  <c r="E323" i="1"/>
  <c r="F323" i="1"/>
  <c r="G323" i="1" s="1"/>
  <c r="A324" i="1"/>
  <c r="B324" i="1" s="1"/>
  <c r="C324" i="1"/>
  <c r="D324" i="1"/>
  <c r="E324" i="1"/>
  <c r="F324" i="1"/>
  <c r="G324" i="1" s="1"/>
  <c r="A325" i="1"/>
  <c r="B325" i="1"/>
  <c r="C325" i="1"/>
  <c r="D325" i="1"/>
  <c r="E325" i="1"/>
  <c r="F325" i="1"/>
  <c r="G325" i="1" s="1"/>
  <c r="A326" i="1"/>
  <c r="B326" i="1" s="1"/>
  <c r="C326" i="1"/>
  <c r="D326" i="1"/>
  <c r="E326" i="1"/>
  <c r="F326" i="1"/>
  <c r="G326" i="1" s="1"/>
  <c r="A327" i="1"/>
  <c r="B327" i="1" s="1"/>
  <c r="C327" i="1"/>
  <c r="D327" i="1"/>
  <c r="E327" i="1"/>
  <c r="F327" i="1"/>
  <c r="G327" i="1" s="1"/>
  <c r="A328" i="1"/>
  <c r="B328" i="1" s="1"/>
  <c r="C328" i="1"/>
  <c r="D328" i="1"/>
  <c r="E328" i="1"/>
  <c r="F328" i="1"/>
  <c r="G328" i="1" s="1"/>
  <c r="A329" i="1"/>
  <c r="B329" i="1" s="1"/>
  <c r="C329" i="1"/>
  <c r="D329" i="1"/>
  <c r="E329" i="1"/>
  <c r="F329" i="1"/>
  <c r="G329" i="1" s="1"/>
  <c r="A330" i="1"/>
  <c r="B330" i="1" s="1"/>
  <c r="C330" i="1"/>
  <c r="D330" i="1"/>
  <c r="E330" i="1"/>
  <c r="F330" i="1"/>
  <c r="G330" i="1" s="1"/>
  <c r="A331" i="1"/>
  <c r="B331" i="1" s="1"/>
  <c r="C331" i="1"/>
  <c r="D331" i="1"/>
  <c r="E331" i="1"/>
  <c r="F331" i="1"/>
  <c r="G331" i="1" s="1"/>
  <c r="A332" i="1"/>
  <c r="B332" i="1"/>
  <c r="C332" i="1"/>
  <c r="D332" i="1"/>
  <c r="E332" i="1"/>
  <c r="F332" i="1"/>
  <c r="G332" i="1" s="1"/>
  <c r="A333" i="1"/>
  <c r="B333" i="1" s="1"/>
  <c r="C333" i="1"/>
  <c r="D333" i="1"/>
  <c r="E333" i="1"/>
  <c r="F333" i="1"/>
  <c r="G333" i="1" s="1"/>
  <c r="A334" i="1"/>
  <c r="B334" i="1"/>
  <c r="C334" i="1"/>
  <c r="D334" i="1"/>
  <c r="E334" i="1"/>
  <c r="F334" i="1"/>
  <c r="G334" i="1" s="1"/>
  <c r="A335" i="1"/>
  <c r="B335" i="1" s="1"/>
  <c r="C335" i="1"/>
  <c r="D335" i="1"/>
  <c r="E335" i="1"/>
  <c r="F335" i="1"/>
  <c r="G335" i="1" s="1"/>
  <c r="A336" i="1"/>
  <c r="B336" i="1" s="1"/>
  <c r="C336" i="1"/>
  <c r="D336" i="1"/>
  <c r="E336" i="1"/>
  <c r="F336" i="1"/>
  <c r="G336" i="1" s="1"/>
  <c r="A337" i="1"/>
  <c r="B337" i="1" s="1"/>
  <c r="C337" i="1"/>
  <c r="D337" i="1"/>
  <c r="E337" i="1"/>
  <c r="F337" i="1"/>
  <c r="G337" i="1" s="1"/>
  <c r="A338" i="1"/>
  <c r="B338" i="1"/>
  <c r="C338" i="1"/>
  <c r="D338" i="1"/>
  <c r="E338" i="1"/>
  <c r="F338" i="1"/>
  <c r="G338" i="1" s="1"/>
  <c r="A339" i="1"/>
  <c r="B339" i="1" s="1"/>
  <c r="C339" i="1"/>
  <c r="D339" i="1"/>
  <c r="E339" i="1"/>
  <c r="F339" i="1"/>
  <c r="G339" i="1" s="1"/>
  <c r="A340" i="1"/>
  <c r="B340" i="1" s="1"/>
  <c r="C340" i="1"/>
  <c r="D340" i="1"/>
  <c r="E340" i="1"/>
  <c r="F340" i="1"/>
  <c r="G340" i="1" s="1"/>
  <c r="A341" i="1"/>
  <c r="B341" i="1" s="1"/>
  <c r="C341" i="1"/>
  <c r="D341" i="1"/>
  <c r="E341" i="1"/>
  <c r="F341" i="1"/>
  <c r="G341" i="1" s="1"/>
  <c r="A342" i="1"/>
  <c r="B342" i="1" s="1"/>
  <c r="C342" i="1"/>
  <c r="D342" i="1"/>
  <c r="E342" i="1"/>
  <c r="F342" i="1"/>
  <c r="G342" i="1" s="1"/>
  <c r="A343" i="1"/>
  <c r="B343" i="1" s="1"/>
  <c r="C343" i="1"/>
  <c r="D343" i="1"/>
  <c r="E343" i="1"/>
  <c r="F343" i="1"/>
  <c r="G343" i="1" s="1"/>
  <c r="A344" i="1"/>
  <c r="B344" i="1" s="1"/>
  <c r="C344" i="1"/>
  <c r="D344" i="1"/>
  <c r="E344" i="1"/>
  <c r="F344" i="1"/>
  <c r="G344" i="1" s="1"/>
  <c r="A345" i="1"/>
  <c r="B345" i="1" s="1"/>
  <c r="C345" i="1"/>
  <c r="D345" i="1"/>
  <c r="E345" i="1"/>
  <c r="F345" i="1"/>
  <c r="G345" i="1" s="1"/>
  <c r="A346" i="1"/>
  <c r="B346" i="1"/>
  <c r="C346" i="1"/>
  <c r="D346" i="1"/>
  <c r="E346" i="1"/>
  <c r="F346" i="1"/>
  <c r="G346" i="1" s="1"/>
  <c r="A347" i="1"/>
  <c r="B347" i="1" s="1"/>
  <c r="C347" i="1"/>
  <c r="D347" i="1"/>
  <c r="E347" i="1"/>
  <c r="F347" i="1"/>
  <c r="G347" i="1" s="1"/>
  <c r="A348" i="1"/>
  <c r="B348" i="1" s="1"/>
  <c r="C348" i="1"/>
  <c r="D348" i="1"/>
  <c r="E348" i="1"/>
  <c r="F348" i="1"/>
  <c r="G348" i="1" s="1"/>
  <c r="A349" i="1"/>
  <c r="B349" i="1" s="1"/>
  <c r="C349" i="1"/>
  <c r="D349" i="1"/>
  <c r="E349" i="1"/>
  <c r="F349" i="1"/>
  <c r="G349" i="1" s="1"/>
  <c r="A350" i="1"/>
  <c r="B350" i="1" s="1"/>
  <c r="C350" i="1"/>
  <c r="D350" i="1"/>
  <c r="E350" i="1"/>
  <c r="F350" i="1"/>
  <c r="G350" i="1" s="1"/>
  <c r="A351" i="1"/>
  <c r="B351" i="1" s="1"/>
  <c r="C351" i="1"/>
  <c r="D351" i="1"/>
  <c r="E351" i="1"/>
  <c r="F351" i="1"/>
  <c r="G351" i="1"/>
  <c r="A352" i="1"/>
  <c r="B352" i="1" s="1"/>
  <c r="C352" i="1"/>
  <c r="D352" i="1"/>
  <c r="E352" i="1"/>
  <c r="F352" i="1"/>
  <c r="G352" i="1" s="1"/>
  <c r="A353" i="1"/>
  <c r="B353" i="1" s="1"/>
  <c r="C353" i="1"/>
  <c r="D353" i="1"/>
  <c r="E353" i="1"/>
  <c r="F353" i="1"/>
  <c r="G353" i="1" s="1"/>
  <c r="A354" i="1"/>
  <c r="B354" i="1" s="1"/>
  <c r="C354" i="1"/>
  <c r="D354" i="1"/>
  <c r="E354" i="1"/>
  <c r="F354" i="1"/>
  <c r="G354" i="1" s="1"/>
  <c r="A355" i="1"/>
  <c r="B355" i="1" s="1"/>
  <c r="C355" i="1"/>
  <c r="D355" i="1"/>
  <c r="E355" i="1"/>
  <c r="F355" i="1"/>
  <c r="G355" i="1" s="1"/>
  <c r="A356" i="1"/>
  <c r="B356" i="1" s="1"/>
  <c r="C356" i="1"/>
  <c r="D356" i="1"/>
  <c r="E356" i="1"/>
  <c r="F356" i="1"/>
  <c r="G356" i="1" s="1"/>
  <c r="A357" i="1"/>
  <c r="B357" i="1" s="1"/>
  <c r="C357" i="1"/>
  <c r="D357" i="1"/>
  <c r="E357" i="1"/>
  <c r="F357" i="1"/>
  <c r="G357" i="1" s="1"/>
  <c r="A358" i="1"/>
  <c r="B358" i="1" s="1"/>
  <c r="C358" i="1"/>
  <c r="D358" i="1"/>
  <c r="E358" i="1"/>
  <c r="F358" i="1"/>
  <c r="G358" i="1" s="1"/>
  <c r="A359" i="1"/>
  <c r="B359" i="1" s="1"/>
  <c r="C359" i="1"/>
  <c r="D359" i="1"/>
  <c r="E359" i="1"/>
  <c r="F359" i="1"/>
  <c r="G359" i="1" s="1"/>
  <c r="A360" i="1"/>
  <c r="B360" i="1" s="1"/>
  <c r="C360" i="1"/>
  <c r="D360" i="1"/>
  <c r="E360" i="1"/>
  <c r="F360" i="1"/>
  <c r="G360" i="1" s="1"/>
  <c r="A361" i="1"/>
  <c r="B361" i="1" s="1"/>
  <c r="C361" i="1"/>
  <c r="D361" i="1"/>
  <c r="E361" i="1"/>
  <c r="F361" i="1"/>
  <c r="G361" i="1" s="1"/>
  <c r="A362" i="1"/>
  <c r="B362" i="1" s="1"/>
  <c r="C362" i="1"/>
  <c r="D362" i="1"/>
  <c r="E362" i="1"/>
  <c r="F362" i="1"/>
  <c r="G362" i="1" s="1"/>
  <c r="A363" i="1"/>
  <c r="B363" i="1" s="1"/>
  <c r="C363" i="1"/>
  <c r="D363" i="1"/>
  <c r="E363" i="1"/>
  <c r="F363" i="1"/>
  <c r="G363" i="1" s="1"/>
  <c r="A364" i="1"/>
  <c r="B364" i="1" s="1"/>
  <c r="C364" i="1"/>
  <c r="D364" i="1"/>
  <c r="E364" i="1"/>
  <c r="F364" i="1"/>
  <c r="G364" i="1" s="1"/>
  <c r="A365" i="1"/>
  <c r="B365" i="1" s="1"/>
  <c r="C365" i="1"/>
  <c r="D365" i="1"/>
  <c r="E365" i="1"/>
  <c r="F365" i="1"/>
  <c r="G365" i="1" s="1"/>
  <c r="A366" i="1"/>
  <c r="B366" i="1" s="1"/>
  <c r="C366" i="1"/>
  <c r="D366" i="1"/>
  <c r="E366" i="1"/>
  <c r="F366" i="1"/>
  <c r="G366" i="1" s="1"/>
  <c r="A367" i="1"/>
  <c r="B367" i="1" s="1"/>
  <c r="C367" i="1"/>
  <c r="D367" i="1"/>
  <c r="E367" i="1"/>
  <c r="F367" i="1"/>
  <c r="G367" i="1" s="1"/>
  <c r="A368" i="1"/>
  <c r="B368" i="1" s="1"/>
  <c r="C368" i="1"/>
  <c r="D368" i="1"/>
  <c r="E368" i="1"/>
  <c r="F368" i="1"/>
  <c r="G368" i="1" s="1"/>
  <c r="A369" i="1"/>
  <c r="B369" i="1" s="1"/>
  <c r="C369" i="1"/>
  <c r="D369" i="1"/>
  <c r="E369" i="1"/>
  <c r="F369" i="1"/>
  <c r="G369" i="1" s="1"/>
  <c r="A370" i="1"/>
  <c r="B370" i="1" s="1"/>
  <c r="C370" i="1"/>
  <c r="D370" i="1"/>
  <c r="E370" i="1"/>
  <c r="F370" i="1"/>
  <c r="G370" i="1" s="1"/>
  <c r="A371" i="1"/>
  <c r="B371" i="1" s="1"/>
  <c r="C371" i="1"/>
  <c r="D371" i="1"/>
  <c r="E371" i="1"/>
  <c r="F371" i="1"/>
  <c r="G371" i="1" s="1"/>
  <c r="A372" i="1"/>
  <c r="B372" i="1" s="1"/>
  <c r="C372" i="1"/>
  <c r="D372" i="1"/>
  <c r="E372" i="1"/>
  <c r="F372" i="1"/>
  <c r="G372" i="1" s="1"/>
  <c r="A373" i="1"/>
  <c r="B373" i="1" s="1"/>
  <c r="C373" i="1"/>
  <c r="D373" i="1"/>
  <c r="E373" i="1"/>
  <c r="F373" i="1"/>
  <c r="G373" i="1" s="1"/>
  <c r="A374" i="1"/>
  <c r="B374" i="1" s="1"/>
  <c r="C374" i="1"/>
  <c r="D374" i="1"/>
  <c r="E374" i="1"/>
  <c r="F374" i="1"/>
  <c r="G374" i="1" s="1"/>
  <c r="A375" i="1"/>
  <c r="B375" i="1" s="1"/>
  <c r="C375" i="1"/>
  <c r="D375" i="1"/>
  <c r="E375" i="1"/>
  <c r="F375" i="1"/>
  <c r="G375" i="1" s="1"/>
  <c r="A376" i="1"/>
  <c r="B376" i="1" s="1"/>
  <c r="C376" i="1"/>
  <c r="D376" i="1"/>
  <c r="E376" i="1"/>
  <c r="F376" i="1"/>
  <c r="G376" i="1" s="1"/>
  <c r="A377" i="1"/>
  <c r="B377" i="1" s="1"/>
  <c r="C377" i="1"/>
  <c r="D377" i="1"/>
  <c r="E377" i="1"/>
  <c r="F377" i="1"/>
  <c r="G377" i="1" s="1"/>
  <c r="A378" i="1"/>
  <c r="B378" i="1" s="1"/>
  <c r="C378" i="1"/>
  <c r="D378" i="1"/>
  <c r="E378" i="1"/>
  <c r="F378" i="1"/>
  <c r="G378" i="1" s="1"/>
  <c r="A379" i="1"/>
  <c r="B379" i="1"/>
  <c r="C379" i="1"/>
  <c r="D379" i="1"/>
  <c r="E379" i="1"/>
  <c r="F379" i="1"/>
  <c r="G379" i="1" s="1"/>
  <c r="A380" i="1"/>
  <c r="B380" i="1" s="1"/>
  <c r="C380" i="1"/>
  <c r="D380" i="1"/>
  <c r="E380" i="1"/>
  <c r="F380" i="1"/>
  <c r="G380" i="1" s="1"/>
  <c r="A381" i="1"/>
  <c r="B381" i="1" s="1"/>
  <c r="C381" i="1"/>
  <c r="D381" i="1"/>
  <c r="E381" i="1"/>
  <c r="F381" i="1"/>
  <c r="G381" i="1" s="1"/>
  <c r="A382" i="1"/>
  <c r="B382" i="1" s="1"/>
  <c r="C382" i="1"/>
  <c r="D382" i="1"/>
  <c r="E382" i="1"/>
  <c r="F382" i="1"/>
  <c r="G382" i="1" s="1"/>
  <c r="A383" i="1"/>
  <c r="B383" i="1"/>
  <c r="C383" i="1"/>
  <c r="D383" i="1"/>
  <c r="E383" i="1"/>
  <c r="F383" i="1"/>
  <c r="G383" i="1" s="1"/>
  <c r="A384" i="1"/>
  <c r="B384" i="1" s="1"/>
  <c r="C384" i="1"/>
  <c r="D384" i="1"/>
  <c r="E384" i="1"/>
  <c r="F384" i="1"/>
  <c r="G384" i="1" s="1"/>
  <c r="A385" i="1"/>
  <c r="B385" i="1" s="1"/>
  <c r="C385" i="1"/>
  <c r="D385" i="1"/>
  <c r="E385" i="1"/>
  <c r="F385" i="1"/>
  <c r="G385" i="1" s="1"/>
  <c r="A386" i="1"/>
  <c r="B386" i="1" s="1"/>
  <c r="C386" i="1"/>
  <c r="D386" i="1"/>
  <c r="E386" i="1"/>
  <c r="F386" i="1"/>
  <c r="G386" i="1" s="1"/>
  <c r="A387" i="1"/>
  <c r="B387" i="1" s="1"/>
  <c r="C387" i="1"/>
  <c r="D387" i="1"/>
  <c r="E387" i="1"/>
  <c r="F387" i="1"/>
  <c r="G387" i="1" s="1"/>
  <c r="A388" i="1"/>
  <c r="B388" i="1" s="1"/>
  <c r="C388" i="1"/>
  <c r="D388" i="1"/>
  <c r="E388" i="1"/>
  <c r="F388" i="1"/>
  <c r="G388" i="1" s="1"/>
  <c r="A389" i="1"/>
  <c r="B389" i="1" s="1"/>
  <c r="C389" i="1"/>
  <c r="D389" i="1"/>
  <c r="E389" i="1"/>
  <c r="F389" i="1"/>
  <c r="G389" i="1" s="1"/>
  <c r="A390" i="1"/>
  <c r="B390" i="1" s="1"/>
  <c r="C390" i="1"/>
  <c r="D390" i="1"/>
  <c r="E390" i="1"/>
  <c r="F390" i="1"/>
  <c r="G390" i="1" s="1"/>
  <c r="A391" i="1"/>
  <c r="B391" i="1" s="1"/>
  <c r="C391" i="1"/>
  <c r="D391" i="1"/>
  <c r="E391" i="1"/>
  <c r="F391" i="1"/>
  <c r="G391" i="1" s="1"/>
  <c r="A392" i="1"/>
  <c r="B392" i="1" s="1"/>
  <c r="C392" i="1"/>
  <c r="D392" i="1"/>
  <c r="E392" i="1"/>
  <c r="F392" i="1"/>
  <c r="G392" i="1" s="1"/>
  <c r="A393" i="1"/>
  <c r="B393" i="1" s="1"/>
  <c r="C393" i="1"/>
  <c r="D393" i="1"/>
  <c r="E393" i="1"/>
  <c r="F393" i="1"/>
  <c r="G393" i="1" s="1"/>
  <c r="A394" i="1"/>
  <c r="B394" i="1"/>
  <c r="C394" i="1"/>
  <c r="D394" i="1"/>
  <c r="E394" i="1"/>
  <c r="F394" i="1"/>
  <c r="G394" i="1"/>
  <c r="A395" i="1"/>
  <c r="B395" i="1" s="1"/>
  <c r="C395" i="1"/>
  <c r="D395" i="1"/>
  <c r="E395" i="1"/>
  <c r="F395" i="1"/>
  <c r="G395" i="1"/>
  <c r="A396" i="1"/>
  <c r="B396" i="1" s="1"/>
  <c r="C396" i="1"/>
  <c r="D396" i="1"/>
  <c r="E396" i="1"/>
  <c r="F396" i="1"/>
  <c r="G396" i="1" s="1"/>
  <c r="A397" i="1"/>
  <c r="B397" i="1" s="1"/>
  <c r="C397" i="1"/>
  <c r="D397" i="1"/>
  <c r="E397" i="1"/>
  <c r="F397" i="1"/>
  <c r="G397" i="1" s="1"/>
  <c r="A398" i="1"/>
  <c r="B398" i="1" s="1"/>
  <c r="C398" i="1"/>
  <c r="D398" i="1"/>
  <c r="E398" i="1"/>
  <c r="F398" i="1"/>
  <c r="G398" i="1" s="1"/>
  <c r="A399" i="1"/>
  <c r="B399" i="1" s="1"/>
  <c r="C399" i="1"/>
  <c r="D399" i="1"/>
  <c r="E399" i="1"/>
  <c r="F399" i="1"/>
  <c r="G399" i="1" s="1"/>
  <c r="A400" i="1"/>
  <c r="B400" i="1" s="1"/>
  <c r="C400" i="1"/>
  <c r="D400" i="1"/>
  <c r="E400" i="1"/>
  <c r="F400" i="1"/>
  <c r="G400" i="1" s="1"/>
  <c r="A401" i="1"/>
  <c r="B401" i="1" s="1"/>
  <c r="C401" i="1"/>
  <c r="D401" i="1"/>
  <c r="E401" i="1"/>
  <c r="F401" i="1"/>
  <c r="G401" i="1" s="1"/>
  <c r="A402" i="1"/>
  <c r="B402" i="1" s="1"/>
  <c r="C402" i="1"/>
  <c r="D402" i="1"/>
  <c r="E402" i="1"/>
  <c r="F402" i="1"/>
  <c r="G402" i="1" s="1"/>
  <c r="A403" i="1"/>
  <c r="B403" i="1"/>
  <c r="C403" i="1"/>
  <c r="D403" i="1"/>
  <c r="E403" i="1"/>
  <c r="F403" i="1"/>
  <c r="G403" i="1" s="1"/>
  <c r="A404" i="1"/>
  <c r="B404" i="1" s="1"/>
  <c r="C404" i="1"/>
  <c r="D404" i="1"/>
  <c r="E404" i="1"/>
  <c r="F404" i="1"/>
  <c r="G404" i="1" s="1"/>
  <c r="A405" i="1"/>
  <c r="B405" i="1" s="1"/>
  <c r="C405" i="1"/>
  <c r="D405" i="1"/>
  <c r="E405" i="1"/>
  <c r="F405" i="1"/>
  <c r="G405" i="1" s="1"/>
  <c r="A406" i="1"/>
  <c r="B406" i="1"/>
  <c r="C406" i="1"/>
  <c r="D406" i="1"/>
  <c r="E406" i="1"/>
  <c r="F406" i="1"/>
  <c r="G406" i="1" s="1"/>
  <c r="A407" i="1"/>
  <c r="B407" i="1" s="1"/>
  <c r="C407" i="1"/>
  <c r="D407" i="1"/>
  <c r="E407" i="1"/>
  <c r="F407" i="1"/>
  <c r="G407" i="1" s="1"/>
  <c r="A408" i="1"/>
  <c r="B408" i="1" s="1"/>
  <c r="C408" i="1"/>
  <c r="D408" i="1"/>
  <c r="E408" i="1"/>
  <c r="F408" i="1"/>
  <c r="G408" i="1" s="1"/>
  <c r="A409" i="1"/>
  <c r="B409" i="1" s="1"/>
  <c r="C409" i="1"/>
  <c r="D409" i="1"/>
  <c r="E409" i="1"/>
  <c r="F409" i="1"/>
  <c r="G409" i="1" s="1"/>
  <c r="A410" i="1"/>
  <c r="B410" i="1" s="1"/>
  <c r="C410" i="1"/>
  <c r="D410" i="1"/>
  <c r="E410" i="1"/>
  <c r="F410" i="1"/>
  <c r="G410" i="1" s="1"/>
  <c r="A411" i="1"/>
  <c r="B411" i="1" s="1"/>
  <c r="C411" i="1"/>
  <c r="D411" i="1"/>
  <c r="E411" i="1"/>
  <c r="F411" i="1"/>
  <c r="G411" i="1" s="1"/>
  <c r="A412" i="1"/>
  <c r="B412" i="1" s="1"/>
  <c r="C412" i="1"/>
  <c r="D412" i="1"/>
  <c r="E412" i="1"/>
  <c r="F412" i="1"/>
  <c r="G412" i="1" s="1"/>
  <c r="A413" i="1"/>
  <c r="B413" i="1" s="1"/>
  <c r="C413" i="1"/>
  <c r="D413" i="1"/>
  <c r="E413" i="1"/>
  <c r="F413" i="1"/>
  <c r="G413" i="1" s="1"/>
  <c r="A414" i="1"/>
  <c r="B414" i="1" s="1"/>
  <c r="C414" i="1"/>
  <c r="D414" i="1"/>
  <c r="E414" i="1"/>
  <c r="F414" i="1"/>
  <c r="G414" i="1" s="1"/>
  <c r="A415" i="1"/>
  <c r="B415" i="1" s="1"/>
  <c r="C415" i="1"/>
  <c r="D415" i="1"/>
  <c r="E415" i="1"/>
  <c r="F415" i="1"/>
  <c r="G415" i="1" s="1"/>
  <c r="A416" i="1"/>
  <c r="B416" i="1" s="1"/>
  <c r="C416" i="1"/>
  <c r="D416" i="1"/>
  <c r="E416" i="1"/>
  <c r="F416" i="1"/>
  <c r="G416" i="1" s="1"/>
  <c r="A417" i="1"/>
  <c r="B417" i="1" s="1"/>
  <c r="C417" i="1"/>
  <c r="D417" i="1"/>
  <c r="E417" i="1"/>
  <c r="F417" i="1"/>
  <c r="G417" i="1" s="1"/>
  <c r="A418" i="1"/>
  <c r="B418" i="1" s="1"/>
  <c r="C418" i="1"/>
  <c r="D418" i="1"/>
  <c r="E418" i="1"/>
  <c r="F418" i="1"/>
  <c r="G418" i="1" s="1"/>
  <c r="A419" i="1"/>
  <c r="B419" i="1" s="1"/>
  <c r="C419" i="1"/>
  <c r="D419" i="1"/>
  <c r="E419" i="1"/>
  <c r="F419" i="1"/>
  <c r="G419" i="1" s="1"/>
  <c r="A420" i="1"/>
  <c r="B420" i="1" s="1"/>
  <c r="C420" i="1"/>
  <c r="D420" i="1"/>
  <c r="E420" i="1"/>
  <c r="F420" i="1"/>
  <c r="G420" i="1" s="1"/>
  <c r="A421" i="1"/>
  <c r="B421" i="1" s="1"/>
  <c r="C421" i="1"/>
  <c r="D421" i="1"/>
  <c r="E421" i="1"/>
  <c r="F421" i="1"/>
  <c r="G421" i="1" s="1"/>
  <c r="A422" i="1"/>
  <c r="B422" i="1" s="1"/>
  <c r="C422" i="1"/>
  <c r="D422" i="1"/>
  <c r="E422" i="1"/>
  <c r="F422" i="1"/>
  <c r="G422" i="1" s="1"/>
  <c r="A423" i="1"/>
  <c r="B423" i="1" s="1"/>
  <c r="C423" i="1"/>
  <c r="D423" i="1"/>
  <c r="E423" i="1"/>
  <c r="F423" i="1"/>
  <c r="G423" i="1" s="1"/>
  <c r="A424" i="1"/>
  <c r="B424" i="1" s="1"/>
  <c r="C424" i="1"/>
  <c r="D424" i="1"/>
  <c r="E424" i="1"/>
  <c r="F424" i="1"/>
  <c r="G424" i="1" s="1"/>
  <c r="A425" i="1"/>
  <c r="B425" i="1" s="1"/>
  <c r="C425" i="1"/>
  <c r="D425" i="1"/>
  <c r="E425" i="1"/>
  <c r="F425" i="1"/>
  <c r="G425" i="1" s="1"/>
  <c r="A426" i="1"/>
  <c r="B426" i="1" s="1"/>
  <c r="C426" i="1"/>
  <c r="D426" i="1"/>
  <c r="E426" i="1"/>
  <c r="F426" i="1"/>
  <c r="G426" i="1" s="1"/>
  <c r="A427" i="1"/>
  <c r="B427" i="1" s="1"/>
  <c r="C427" i="1"/>
  <c r="D427" i="1"/>
  <c r="E427" i="1"/>
  <c r="F427" i="1"/>
  <c r="G427" i="1" s="1"/>
  <c r="A428" i="1"/>
  <c r="B428" i="1" s="1"/>
  <c r="C428" i="1"/>
  <c r="D428" i="1"/>
  <c r="E428" i="1"/>
  <c r="F428" i="1"/>
  <c r="G428" i="1" s="1"/>
  <c r="A429" i="1"/>
  <c r="B429" i="1" s="1"/>
  <c r="C429" i="1"/>
  <c r="D429" i="1"/>
  <c r="E429" i="1"/>
  <c r="F429" i="1"/>
  <c r="G429" i="1" s="1"/>
  <c r="A430" i="1"/>
  <c r="B430" i="1" s="1"/>
  <c r="C430" i="1"/>
  <c r="D430" i="1"/>
  <c r="E430" i="1"/>
  <c r="F430" i="1"/>
  <c r="G430" i="1" s="1"/>
  <c r="A431" i="1"/>
  <c r="B431" i="1"/>
  <c r="C431" i="1"/>
  <c r="D431" i="1"/>
  <c r="E431" i="1"/>
  <c r="F431" i="1"/>
  <c r="G431" i="1" s="1"/>
  <c r="A432" i="1"/>
  <c r="B432" i="1" s="1"/>
  <c r="C432" i="1"/>
  <c r="D432" i="1"/>
  <c r="E432" i="1"/>
  <c r="F432" i="1"/>
  <c r="G432" i="1" s="1"/>
  <c r="A433" i="1"/>
  <c r="B433" i="1" s="1"/>
  <c r="C433" i="1"/>
  <c r="D433" i="1"/>
  <c r="E433" i="1"/>
  <c r="F433" i="1"/>
  <c r="G433" i="1" s="1"/>
  <c r="A434" i="1"/>
  <c r="B434" i="1" s="1"/>
  <c r="C434" i="1"/>
  <c r="D434" i="1"/>
  <c r="E434" i="1"/>
  <c r="F434" i="1"/>
  <c r="G434" i="1" s="1"/>
  <c r="A435" i="1"/>
  <c r="B435" i="1" s="1"/>
  <c r="C435" i="1"/>
  <c r="D435" i="1"/>
  <c r="E435" i="1"/>
  <c r="F435" i="1"/>
  <c r="G435" i="1" s="1"/>
  <c r="A436" i="1"/>
  <c r="B436" i="1" s="1"/>
  <c r="C436" i="1"/>
  <c r="D436" i="1"/>
  <c r="E436" i="1"/>
  <c r="F436" i="1"/>
  <c r="G436" i="1" s="1"/>
  <c r="A437" i="1"/>
  <c r="B437" i="1" s="1"/>
  <c r="C437" i="1"/>
  <c r="D437" i="1"/>
  <c r="E437" i="1"/>
  <c r="F437" i="1"/>
  <c r="G437" i="1" s="1"/>
  <c r="A438" i="1"/>
  <c r="B438" i="1" s="1"/>
  <c r="C438" i="1"/>
  <c r="D438" i="1"/>
  <c r="E438" i="1"/>
  <c r="F438" i="1"/>
  <c r="G438" i="1" s="1"/>
  <c r="A439" i="1"/>
  <c r="B439" i="1" s="1"/>
  <c r="C439" i="1"/>
  <c r="D439" i="1"/>
  <c r="E439" i="1"/>
  <c r="F439" i="1"/>
  <c r="G439" i="1" s="1"/>
  <c r="A440" i="1"/>
  <c r="B440" i="1" s="1"/>
  <c r="C440" i="1"/>
  <c r="D440" i="1"/>
  <c r="E440" i="1"/>
  <c r="F440" i="1"/>
  <c r="G440" i="1" s="1"/>
  <c r="A441" i="1"/>
  <c r="B441" i="1" s="1"/>
  <c r="C441" i="1"/>
  <c r="D441" i="1"/>
  <c r="E441" i="1"/>
  <c r="F441" i="1"/>
  <c r="G441" i="1" s="1"/>
  <c r="A442" i="1"/>
  <c r="B442" i="1" s="1"/>
  <c r="C442" i="1"/>
  <c r="D442" i="1"/>
  <c r="E442" i="1"/>
  <c r="F442" i="1"/>
  <c r="G442" i="1"/>
  <c r="A443" i="1"/>
  <c r="B443" i="1" s="1"/>
  <c r="C443" i="1"/>
  <c r="D443" i="1"/>
  <c r="E443" i="1"/>
  <c r="F443" i="1"/>
  <c r="G443" i="1" s="1"/>
  <c r="A444" i="1"/>
  <c r="B444" i="1" s="1"/>
  <c r="C444" i="1"/>
  <c r="D444" i="1"/>
  <c r="E444" i="1"/>
  <c r="F444" i="1"/>
  <c r="G444" i="1" s="1"/>
  <c r="A445" i="1"/>
  <c r="B445" i="1" s="1"/>
  <c r="C445" i="1"/>
  <c r="D445" i="1"/>
  <c r="E445" i="1"/>
  <c r="F445" i="1"/>
  <c r="G445" i="1" s="1"/>
  <c r="A446" i="1"/>
  <c r="B446" i="1" s="1"/>
  <c r="C446" i="1"/>
  <c r="D446" i="1"/>
  <c r="E446" i="1"/>
  <c r="F446" i="1"/>
  <c r="G446" i="1" s="1"/>
  <c r="A447" i="1"/>
  <c r="B447" i="1" s="1"/>
  <c r="C447" i="1"/>
  <c r="D447" i="1"/>
  <c r="E447" i="1"/>
  <c r="F447" i="1"/>
  <c r="G447" i="1" s="1"/>
  <c r="A448" i="1"/>
  <c r="B448" i="1" s="1"/>
  <c r="C448" i="1"/>
  <c r="D448" i="1"/>
  <c r="E448" i="1"/>
  <c r="F448" i="1"/>
  <c r="G448" i="1" s="1"/>
  <c r="A449" i="1"/>
  <c r="B449" i="1" s="1"/>
  <c r="C449" i="1"/>
  <c r="D449" i="1"/>
  <c r="E449" i="1"/>
  <c r="F449" i="1"/>
  <c r="G449" i="1" s="1"/>
  <c r="A450" i="1"/>
  <c r="B450" i="1" s="1"/>
  <c r="C450" i="1"/>
  <c r="D450" i="1"/>
  <c r="E450" i="1"/>
  <c r="F450" i="1"/>
  <c r="G450" i="1" s="1"/>
  <c r="A451" i="1"/>
  <c r="B451" i="1" s="1"/>
  <c r="C451" i="1"/>
  <c r="D451" i="1"/>
  <c r="E451" i="1"/>
  <c r="F451" i="1"/>
  <c r="G451" i="1" s="1"/>
  <c r="A452" i="1"/>
  <c r="B452" i="1" s="1"/>
  <c r="C452" i="1"/>
  <c r="D452" i="1"/>
  <c r="E452" i="1"/>
  <c r="F452" i="1"/>
  <c r="G452" i="1" s="1"/>
  <c r="A453" i="1"/>
  <c r="B453" i="1" s="1"/>
  <c r="C453" i="1"/>
  <c r="D453" i="1"/>
  <c r="E453" i="1"/>
  <c r="F453" i="1"/>
  <c r="G453" i="1" s="1"/>
  <c r="A454" i="1"/>
  <c r="B454" i="1" s="1"/>
  <c r="C454" i="1"/>
  <c r="D454" i="1"/>
  <c r="E454" i="1"/>
  <c r="F454" i="1"/>
  <c r="G454" i="1" s="1"/>
  <c r="A455" i="1"/>
  <c r="B455" i="1" s="1"/>
  <c r="C455" i="1"/>
  <c r="D455" i="1"/>
  <c r="E455" i="1"/>
  <c r="F455" i="1"/>
  <c r="G455" i="1" s="1"/>
  <c r="A456" i="1"/>
  <c r="B456" i="1" s="1"/>
  <c r="C456" i="1"/>
  <c r="D456" i="1"/>
  <c r="E456" i="1"/>
  <c r="F456" i="1"/>
  <c r="G456" i="1" s="1"/>
  <c r="A457" i="1"/>
  <c r="B457" i="1" s="1"/>
  <c r="C457" i="1"/>
  <c r="D457" i="1"/>
  <c r="E457" i="1"/>
  <c r="F457" i="1"/>
  <c r="G457" i="1" s="1"/>
  <c r="A458" i="1"/>
  <c r="B458" i="1" s="1"/>
  <c r="C458" i="1"/>
  <c r="D458" i="1"/>
  <c r="E458" i="1"/>
  <c r="F458" i="1"/>
  <c r="G458" i="1" s="1"/>
  <c r="A459" i="1"/>
  <c r="B459" i="1" s="1"/>
  <c r="C459" i="1"/>
  <c r="D459" i="1"/>
  <c r="E459" i="1"/>
  <c r="F459" i="1"/>
  <c r="G459" i="1" s="1"/>
  <c r="A460" i="1"/>
  <c r="B460" i="1" s="1"/>
  <c r="C460" i="1"/>
  <c r="D460" i="1"/>
  <c r="E460" i="1"/>
  <c r="F460" i="1"/>
  <c r="G460" i="1" s="1"/>
  <c r="A461" i="1"/>
  <c r="B461" i="1" s="1"/>
  <c r="C461" i="1"/>
  <c r="D461" i="1"/>
  <c r="E461" i="1"/>
  <c r="F461" i="1"/>
  <c r="G461" i="1" s="1"/>
  <c r="A462" i="1"/>
  <c r="B462" i="1" s="1"/>
  <c r="C462" i="1"/>
  <c r="D462" i="1"/>
  <c r="E462" i="1"/>
  <c r="F462" i="1"/>
  <c r="G462" i="1" s="1"/>
  <c r="A463" i="1"/>
  <c r="B463" i="1" s="1"/>
  <c r="C463" i="1"/>
  <c r="D463" i="1"/>
  <c r="E463" i="1"/>
  <c r="F463" i="1"/>
  <c r="G463" i="1" s="1"/>
  <c r="A464" i="1"/>
  <c r="B464" i="1" s="1"/>
  <c r="C464" i="1"/>
  <c r="D464" i="1"/>
  <c r="E464" i="1"/>
  <c r="F464" i="1"/>
  <c r="G464" i="1" s="1"/>
  <c r="A465" i="1"/>
  <c r="B465" i="1" s="1"/>
  <c r="C465" i="1"/>
  <c r="D465" i="1"/>
  <c r="E465" i="1"/>
  <c r="F465" i="1"/>
  <c r="G465" i="1" s="1"/>
  <c r="A466" i="1"/>
  <c r="B466" i="1" s="1"/>
  <c r="C466" i="1"/>
  <c r="D466" i="1"/>
  <c r="E466" i="1"/>
  <c r="F466" i="1"/>
  <c r="G466" i="1" s="1"/>
  <c r="A467" i="1"/>
  <c r="B467" i="1" s="1"/>
  <c r="C467" i="1"/>
  <c r="D467" i="1"/>
  <c r="E467" i="1"/>
  <c r="F467" i="1"/>
  <c r="G467" i="1" s="1"/>
  <c r="A468" i="1"/>
  <c r="B468" i="1" s="1"/>
  <c r="C468" i="1"/>
  <c r="D468" i="1"/>
  <c r="E468" i="1"/>
  <c r="F468" i="1"/>
  <c r="G468" i="1" s="1"/>
  <c r="A469" i="1"/>
  <c r="B469" i="1" s="1"/>
  <c r="C469" i="1"/>
  <c r="D469" i="1"/>
  <c r="E469" i="1"/>
  <c r="F469" i="1"/>
  <c r="G469" i="1" s="1"/>
  <c r="A470" i="1"/>
  <c r="B470" i="1" s="1"/>
  <c r="C470" i="1"/>
  <c r="D470" i="1"/>
  <c r="E470" i="1"/>
  <c r="F470" i="1"/>
  <c r="G470" i="1"/>
  <c r="A471" i="1"/>
  <c r="B471" i="1" s="1"/>
  <c r="C471" i="1"/>
  <c r="D471" i="1"/>
  <c r="E471" i="1"/>
  <c r="F471" i="1"/>
  <c r="G471" i="1" s="1"/>
  <c r="A472" i="1"/>
  <c r="B472" i="1" s="1"/>
  <c r="C472" i="1"/>
  <c r="D472" i="1"/>
  <c r="E472" i="1"/>
  <c r="F472" i="1"/>
  <c r="G472" i="1" s="1"/>
  <c r="A473" i="1"/>
  <c r="B473" i="1" s="1"/>
  <c r="C473" i="1"/>
  <c r="D473" i="1"/>
  <c r="E473" i="1"/>
  <c r="F473" i="1"/>
  <c r="G473" i="1" s="1"/>
  <c r="A474" i="1"/>
  <c r="B474" i="1" s="1"/>
  <c r="C474" i="1"/>
  <c r="D474" i="1"/>
  <c r="E474" i="1"/>
  <c r="F474" i="1"/>
  <c r="G474" i="1" s="1"/>
  <c r="A475" i="1"/>
  <c r="B475" i="1"/>
  <c r="C475" i="1"/>
  <c r="D475" i="1"/>
  <c r="E475" i="1"/>
  <c r="F475" i="1"/>
  <c r="G475" i="1" s="1"/>
  <c r="A476" i="1"/>
  <c r="B476" i="1" s="1"/>
  <c r="C476" i="1"/>
  <c r="D476" i="1"/>
  <c r="E476" i="1"/>
  <c r="F476" i="1"/>
  <c r="G476" i="1" s="1"/>
  <c r="A477" i="1"/>
  <c r="B477" i="1" s="1"/>
  <c r="C477" i="1"/>
  <c r="D477" i="1"/>
  <c r="E477" i="1"/>
  <c r="F477" i="1"/>
  <c r="G477" i="1" s="1"/>
  <c r="A478" i="1"/>
  <c r="B478" i="1" s="1"/>
  <c r="C478" i="1"/>
  <c r="D478" i="1"/>
  <c r="E478" i="1"/>
  <c r="F478" i="1"/>
  <c r="G478" i="1" s="1"/>
  <c r="A479" i="1"/>
  <c r="B479" i="1" s="1"/>
  <c r="C479" i="1"/>
  <c r="D479" i="1"/>
  <c r="E479" i="1"/>
  <c r="F479" i="1"/>
  <c r="G479" i="1" s="1"/>
  <c r="A480" i="1"/>
  <c r="B480" i="1" s="1"/>
  <c r="C480" i="1"/>
  <c r="D480" i="1"/>
  <c r="E480" i="1"/>
  <c r="F480" i="1"/>
  <c r="G480" i="1" s="1"/>
  <c r="A481" i="1"/>
  <c r="B481" i="1" s="1"/>
  <c r="C481" i="1"/>
  <c r="D481" i="1"/>
  <c r="E481" i="1"/>
  <c r="F481" i="1"/>
  <c r="G481" i="1" s="1"/>
  <c r="A482" i="1"/>
  <c r="B482" i="1" s="1"/>
  <c r="C482" i="1"/>
  <c r="D482" i="1"/>
  <c r="E482" i="1"/>
  <c r="F482" i="1"/>
  <c r="G482" i="1" s="1"/>
  <c r="A483" i="1"/>
  <c r="B483" i="1" s="1"/>
  <c r="C483" i="1"/>
  <c r="D483" i="1"/>
  <c r="E483" i="1"/>
  <c r="F483" i="1"/>
  <c r="G483" i="1" s="1"/>
  <c r="A484" i="1"/>
  <c r="B484" i="1" s="1"/>
  <c r="C484" i="1"/>
  <c r="D484" i="1"/>
  <c r="E484" i="1"/>
  <c r="F484" i="1"/>
  <c r="G484" i="1" s="1"/>
  <c r="A485" i="1"/>
  <c r="B485" i="1" s="1"/>
  <c r="C485" i="1"/>
  <c r="D485" i="1"/>
  <c r="E485" i="1"/>
  <c r="F485" i="1"/>
  <c r="G485" i="1" s="1"/>
  <c r="A486" i="1"/>
  <c r="B486" i="1" s="1"/>
  <c r="C486" i="1"/>
  <c r="D486" i="1"/>
  <c r="E486" i="1"/>
  <c r="F486" i="1"/>
  <c r="G486" i="1" s="1"/>
  <c r="A487" i="1"/>
  <c r="B487" i="1" s="1"/>
  <c r="C487" i="1"/>
  <c r="D487" i="1"/>
  <c r="E487" i="1"/>
  <c r="F487" i="1"/>
  <c r="G487" i="1" s="1"/>
  <c r="A488" i="1"/>
  <c r="B488" i="1" s="1"/>
  <c r="C488" i="1"/>
  <c r="D488" i="1"/>
  <c r="E488" i="1"/>
  <c r="F488" i="1"/>
  <c r="G488" i="1" s="1"/>
  <c r="A489" i="1"/>
  <c r="B489" i="1" s="1"/>
  <c r="C489" i="1"/>
  <c r="D489" i="1"/>
  <c r="E489" i="1"/>
  <c r="F489" i="1"/>
  <c r="G489" i="1" s="1"/>
  <c r="A490" i="1"/>
  <c r="B490" i="1"/>
  <c r="C490" i="1"/>
  <c r="D490" i="1"/>
  <c r="E490" i="1"/>
  <c r="F490" i="1"/>
  <c r="G490" i="1" s="1"/>
  <c r="A491" i="1"/>
  <c r="B491" i="1"/>
  <c r="C491" i="1"/>
  <c r="D491" i="1"/>
  <c r="E491" i="1"/>
  <c r="F491" i="1"/>
  <c r="G491" i="1"/>
  <c r="A492" i="1"/>
  <c r="B492" i="1" s="1"/>
  <c r="C492" i="1"/>
  <c r="D492" i="1"/>
  <c r="E492" i="1"/>
  <c r="F492" i="1"/>
  <c r="G492" i="1" s="1"/>
  <c r="A493" i="1"/>
  <c r="B493" i="1" s="1"/>
  <c r="C493" i="1"/>
  <c r="D493" i="1"/>
  <c r="E493" i="1"/>
  <c r="F493" i="1"/>
  <c r="G493" i="1" s="1"/>
  <c r="A494" i="1"/>
  <c r="B494" i="1" s="1"/>
  <c r="C494" i="1"/>
  <c r="D494" i="1"/>
  <c r="E494" i="1"/>
  <c r="F494" i="1"/>
  <c r="G494" i="1" s="1"/>
  <c r="A495" i="1"/>
  <c r="B495" i="1" s="1"/>
  <c r="C495" i="1"/>
  <c r="D495" i="1"/>
  <c r="E495" i="1"/>
  <c r="F495" i="1"/>
  <c r="G495" i="1" s="1"/>
  <c r="A496" i="1"/>
  <c r="B496" i="1" s="1"/>
  <c r="C496" i="1"/>
  <c r="D496" i="1"/>
  <c r="E496" i="1"/>
  <c r="F496" i="1"/>
  <c r="G496" i="1" s="1"/>
  <c r="A497" i="1"/>
  <c r="B497" i="1" s="1"/>
  <c r="C497" i="1"/>
  <c r="D497" i="1"/>
  <c r="E497" i="1"/>
  <c r="F497" i="1"/>
  <c r="G497" i="1" s="1"/>
  <c r="A498" i="1"/>
  <c r="B498" i="1" s="1"/>
  <c r="C498" i="1"/>
  <c r="D498" i="1"/>
  <c r="E498" i="1"/>
  <c r="F498" i="1"/>
  <c r="G498" i="1" s="1"/>
  <c r="A499" i="1"/>
  <c r="B499" i="1" s="1"/>
  <c r="C499" i="1"/>
  <c r="D499" i="1"/>
  <c r="E499" i="1"/>
  <c r="F499" i="1"/>
  <c r="G499" i="1" s="1"/>
  <c r="A500" i="1"/>
  <c r="B500" i="1" s="1"/>
  <c r="C500" i="1"/>
  <c r="D500" i="1"/>
  <c r="E500" i="1"/>
  <c r="F500" i="1"/>
  <c r="G500" i="1" s="1"/>
  <c r="A501" i="1"/>
  <c r="B501" i="1" s="1"/>
  <c r="C501" i="1"/>
  <c r="D501" i="1"/>
  <c r="E501" i="1"/>
  <c r="F501" i="1"/>
  <c r="G501" i="1" s="1"/>
  <c r="A502" i="1"/>
  <c r="B502" i="1" s="1"/>
  <c r="C502" i="1"/>
  <c r="D502" i="1"/>
  <c r="E502" i="1"/>
  <c r="F502" i="1"/>
  <c r="G502" i="1" s="1"/>
  <c r="A503" i="1"/>
  <c r="B503" i="1" s="1"/>
  <c r="C503" i="1"/>
  <c r="D503" i="1"/>
  <c r="E503" i="1"/>
  <c r="F503" i="1"/>
  <c r="G503" i="1" s="1"/>
  <c r="A504" i="1"/>
  <c r="B504" i="1" s="1"/>
  <c r="C504" i="1"/>
  <c r="D504" i="1"/>
  <c r="E504" i="1"/>
  <c r="F504" i="1"/>
  <c r="G504" i="1" s="1"/>
  <c r="A505" i="1"/>
  <c r="B505" i="1" s="1"/>
  <c r="C505" i="1"/>
  <c r="D505" i="1"/>
  <c r="E505" i="1"/>
  <c r="F505" i="1"/>
  <c r="G505" i="1" s="1"/>
  <c r="A506" i="1"/>
  <c r="B506" i="1" s="1"/>
  <c r="C506" i="1"/>
  <c r="D506" i="1"/>
  <c r="E506" i="1"/>
  <c r="F506" i="1"/>
  <c r="G506" i="1"/>
  <c r="A507" i="1"/>
  <c r="B507" i="1" s="1"/>
  <c r="C507" i="1"/>
  <c r="D507" i="1"/>
  <c r="E507" i="1"/>
  <c r="F507" i="1"/>
  <c r="G507" i="1" s="1"/>
  <c r="A508" i="1"/>
  <c r="B508" i="1" s="1"/>
  <c r="C508" i="1"/>
  <c r="D508" i="1"/>
  <c r="E508" i="1"/>
  <c r="F508" i="1"/>
  <c r="G508" i="1" s="1"/>
  <c r="A509" i="1"/>
  <c r="B509" i="1" s="1"/>
  <c r="C509" i="1"/>
  <c r="D509" i="1"/>
  <c r="E509" i="1"/>
  <c r="F509" i="1"/>
  <c r="G509" i="1" s="1"/>
  <c r="A510" i="1"/>
  <c r="B510" i="1" s="1"/>
  <c r="C510" i="1"/>
  <c r="D510" i="1"/>
  <c r="E510" i="1"/>
  <c r="F510" i="1"/>
  <c r="G510" i="1" s="1"/>
  <c r="A511" i="1"/>
  <c r="B511" i="1" s="1"/>
  <c r="C511" i="1"/>
  <c r="D511" i="1"/>
  <c r="E511" i="1"/>
  <c r="F511" i="1"/>
  <c r="G511" i="1" s="1"/>
  <c r="A512" i="1"/>
  <c r="B512" i="1" s="1"/>
  <c r="C512" i="1"/>
  <c r="D512" i="1"/>
  <c r="E512" i="1"/>
  <c r="F512" i="1"/>
  <c r="G512" i="1" s="1"/>
  <c r="A513" i="1"/>
  <c r="B513" i="1" s="1"/>
  <c r="C513" i="1"/>
  <c r="D513" i="1"/>
  <c r="E513" i="1"/>
  <c r="F513" i="1"/>
  <c r="G513" i="1" s="1"/>
  <c r="A514" i="1"/>
  <c r="B514" i="1"/>
  <c r="C514" i="1"/>
  <c r="D514" i="1"/>
  <c r="E514" i="1"/>
  <c r="F514" i="1"/>
  <c r="G514" i="1" s="1"/>
  <c r="A515" i="1"/>
  <c r="B515" i="1" s="1"/>
  <c r="C515" i="1"/>
  <c r="D515" i="1"/>
  <c r="E515" i="1"/>
  <c r="F515" i="1"/>
  <c r="G515" i="1" s="1"/>
  <c r="A516" i="1"/>
  <c r="B516" i="1"/>
  <c r="C516" i="1"/>
  <c r="D516" i="1"/>
  <c r="E516" i="1"/>
  <c r="F516" i="1"/>
  <c r="G516" i="1" s="1"/>
  <c r="A517" i="1"/>
  <c r="B517" i="1"/>
  <c r="C517" i="1"/>
  <c r="D517" i="1"/>
  <c r="E517" i="1"/>
  <c r="F517" i="1"/>
  <c r="G517" i="1" s="1"/>
  <c r="A518" i="1"/>
  <c r="B518" i="1"/>
  <c r="C518" i="1"/>
  <c r="D518" i="1"/>
  <c r="E518" i="1"/>
  <c r="F518" i="1"/>
  <c r="G518" i="1"/>
  <c r="A519" i="1"/>
  <c r="B519" i="1" s="1"/>
  <c r="C519" i="1"/>
  <c r="D519" i="1"/>
  <c r="E519" i="1"/>
  <c r="F519" i="1"/>
  <c r="G519" i="1"/>
  <c r="A520" i="1"/>
  <c r="B520" i="1" s="1"/>
  <c r="C520" i="1"/>
  <c r="D520" i="1"/>
  <c r="E520" i="1"/>
  <c r="F520" i="1"/>
  <c r="G520" i="1" s="1"/>
  <c r="A521" i="1"/>
  <c r="B521" i="1" s="1"/>
  <c r="C521" i="1"/>
  <c r="D521" i="1"/>
  <c r="E521" i="1"/>
  <c r="F521" i="1"/>
  <c r="G521" i="1" s="1"/>
  <c r="A522" i="1"/>
  <c r="B522" i="1" s="1"/>
  <c r="C522" i="1"/>
  <c r="D522" i="1"/>
  <c r="E522" i="1"/>
  <c r="F522" i="1"/>
  <c r="G522" i="1" s="1"/>
  <c r="A523" i="1"/>
  <c r="B523" i="1"/>
  <c r="C523" i="1"/>
  <c r="D523" i="1"/>
  <c r="E523" i="1"/>
  <c r="F523" i="1"/>
  <c r="G523" i="1" s="1"/>
  <c r="A524" i="1"/>
  <c r="B524" i="1"/>
  <c r="C524" i="1"/>
  <c r="D524" i="1"/>
  <c r="E524" i="1"/>
  <c r="F524" i="1"/>
  <c r="G524" i="1" s="1"/>
  <c r="A525" i="1"/>
  <c r="B525" i="1" s="1"/>
  <c r="C525" i="1"/>
  <c r="D525" i="1"/>
  <c r="E525" i="1"/>
  <c r="F525" i="1"/>
  <c r="G525" i="1"/>
  <c r="A526" i="1"/>
  <c r="B526" i="1" s="1"/>
  <c r="C526" i="1"/>
  <c r="D526" i="1"/>
  <c r="E526" i="1"/>
  <c r="F526" i="1"/>
  <c r="G526" i="1" s="1"/>
  <c r="A527" i="1"/>
  <c r="B527" i="1" s="1"/>
  <c r="C527" i="1"/>
  <c r="D527" i="1"/>
  <c r="E527" i="1"/>
  <c r="F527" i="1"/>
  <c r="G527" i="1"/>
  <c r="A528" i="1"/>
  <c r="B528" i="1" s="1"/>
  <c r="C528" i="1"/>
  <c r="D528" i="1"/>
  <c r="E528" i="1"/>
  <c r="F528" i="1"/>
  <c r="G528" i="1" s="1"/>
  <c r="A529" i="1"/>
  <c r="B529" i="1" s="1"/>
  <c r="C529" i="1"/>
  <c r="D529" i="1"/>
  <c r="E529" i="1"/>
  <c r="F529" i="1"/>
  <c r="G529" i="1" s="1"/>
  <c r="A530" i="1"/>
  <c r="B530" i="1" s="1"/>
  <c r="C530" i="1"/>
  <c r="D530" i="1"/>
  <c r="E530" i="1"/>
  <c r="F530" i="1"/>
  <c r="G530" i="1" s="1"/>
  <c r="A531" i="1"/>
  <c r="B531" i="1" s="1"/>
  <c r="C531" i="1"/>
  <c r="D531" i="1"/>
  <c r="E531" i="1"/>
  <c r="F531" i="1"/>
  <c r="G531" i="1"/>
  <c r="A532" i="1"/>
  <c r="B532" i="1" s="1"/>
  <c r="C532" i="1"/>
  <c r="D532" i="1"/>
  <c r="E532" i="1"/>
  <c r="F532" i="1"/>
  <c r="G532" i="1" s="1"/>
  <c r="A533" i="1"/>
  <c r="B533" i="1" s="1"/>
  <c r="C533" i="1"/>
  <c r="D533" i="1"/>
  <c r="E533" i="1"/>
  <c r="F533" i="1"/>
  <c r="G533" i="1" s="1"/>
  <c r="A534" i="1"/>
  <c r="B534" i="1" s="1"/>
  <c r="C534" i="1"/>
  <c r="D534" i="1"/>
  <c r="E534" i="1"/>
  <c r="F534" i="1"/>
  <c r="G534" i="1" s="1"/>
  <c r="A535" i="1"/>
  <c r="B535" i="1"/>
  <c r="C535" i="1"/>
  <c r="D535" i="1"/>
  <c r="E535" i="1"/>
  <c r="F535" i="1"/>
  <c r="G535" i="1" s="1"/>
  <c r="A536" i="1"/>
  <c r="B536" i="1" s="1"/>
  <c r="C536" i="1"/>
  <c r="D536" i="1"/>
  <c r="E536" i="1"/>
  <c r="F536" i="1"/>
  <c r="G536" i="1" s="1"/>
  <c r="A537" i="1"/>
  <c r="B537" i="1" s="1"/>
  <c r="C537" i="1"/>
  <c r="D537" i="1"/>
  <c r="E537" i="1"/>
  <c r="F537" i="1"/>
  <c r="G537" i="1" s="1"/>
  <c r="A538" i="1"/>
  <c r="B538" i="1" s="1"/>
  <c r="C538" i="1"/>
  <c r="D538" i="1"/>
  <c r="E538" i="1"/>
  <c r="F538" i="1"/>
  <c r="G538" i="1" s="1"/>
  <c r="A539" i="1"/>
  <c r="B539" i="1" s="1"/>
  <c r="C539" i="1"/>
  <c r="D539" i="1"/>
  <c r="E539" i="1"/>
  <c r="F539" i="1"/>
  <c r="G539" i="1" s="1"/>
  <c r="A540" i="1"/>
  <c r="B540" i="1" s="1"/>
  <c r="C540" i="1"/>
  <c r="D540" i="1"/>
  <c r="E540" i="1"/>
  <c r="F540" i="1"/>
  <c r="G540" i="1" s="1"/>
  <c r="A541" i="1"/>
  <c r="B541" i="1" s="1"/>
  <c r="C541" i="1"/>
  <c r="D541" i="1"/>
  <c r="E541" i="1"/>
  <c r="F541" i="1"/>
  <c r="G541" i="1" s="1"/>
  <c r="A542" i="1"/>
  <c r="B542" i="1" s="1"/>
  <c r="C542" i="1"/>
  <c r="D542" i="1"/>
  <c r="E542" i="1"/>
  <c r="F542" i="1"/>
  <c r="G542" i="1" s="1"/>
  <c r="A543" i="1"/>
  <c r="B543" i="1" s="1"/>
  <c r="C543" i="1"/>
  <c r="D543" i="1"/>
  <c r="E543" i="1"/>
  <c r="F543" i="1"/>
  <c r="G543" i="1" s="1"/>
  <c r="A544" i="1"/>
  <c r="B544" i="1" s="1"/>
  <c r="C544" i="1"/>
  <c r="D544" i="1"/>
  <c r="E544" i="1"/>
  <c r="F544" i="1"/>
  <c r="G544" i="1" s="1"/>
  <c r="A545" i="1"/>
  <c r="B545" i="1" s="1"/>
  <c r="C545" i="1"/>
  <c r="D545" i="1"/>
  <c r="E545" i="1"/>
  <c r="F545" i="1"/>
  <c r="G545" i="1" s="1"/>
  <c r="A546" i="1"/>
  <c r="B546" i="1" s="1"/>
  <c r="C546" i="1"/>
  <c r="D546" i="1"/>
  <c r="E546" i="1"/>
  <c r="F546" i="1"/>
  <c r="G546" i="1" s="1"/>
  <c r="A547" i="1"/>
  <c r="B547" i="1" s="1"/>
  <c r="C547" i="1"/>
  <c r="D547" i="1"/>
  <c r="E547" i="1"/>
  <c r="F547" i="1"/>
  <c r="G547" i="1" s="1"/>
  <c r="A548" i="1"/>
  <c r="B548" i="1" s="1"/>
  <c r="C548" i="1"/>
  <c r="D548" i="1"/>
  <c r="E548" i="1"/>
  <c r="F548" i="1"/>
  <c r="G548" i="1" s="1"/>
  <c r="A549" i="1"/>
  <c r="B549" i="1" s="1"/>
  <c r="C549" i="1"/>
  <c r="D549" i="1"/>
  <c r="E549" i="1"/>
  <c r="F549" i="1"/>
  <c r="G549" i="1" s="1"/>
  <c r="A550" i="1"/>
  <c r="B550" i="1"/>
  <c r="C550" i="1"/>
  <c r="D550" i="1"/>
  <c r="E550" i="1"/>
  <c r="F550" i="1"/>
  <c r="G550" i="1" s="1"/>
  <c r="A551" i="1"/>
  <c r="B551" i="1" s="1"/>
  <c r="C551" i="1"/>
  <c r="D551" i="1"/>
  <c r="E551" i="1"/>
  <c r="F551" i="1"/>
  <c r="G551" i="1" s="1"/>
  <c r="A552" i="1"/>
  <c r="B552" i="1"/>
  <c r="C552" i="1"/>
  <c r="D552" i="1"/>
  <c r="E552" i="1"/>
  <c r="F552" i="1"/>
  <c r="G552" i="1" s="1"/>
  <c r="A553" i="1"/>
  <c r="B553" i="1"/>
  <c r="C553" i="1"/>
  <c r="D553" i="1"/>
  <c r="E553" i="1"/>
  <c r="F553" i="1"/>
  <c r="G553" i="1" s="1"/>
  <c r="A554" i="1"/>
  <c r="B554" i="1"/>
  <c r="C554" i="1"/>
  <c r="D554" i="1"/>
  <c r="E554" i="1"/>
  <c r="F554" i="1"/>
  <c r="G554" i="1" s="1"/>
  <c r="A555" i="1"/>
  <c r="B555" i="1" s="1"/>
  <c r="C555" i="1"/>
  <c r="D555" i="1"/>
  <c r="E555" i="1"/>
  <c r="F555" i="1"/>
  <c r="G555" i="1" s="1"/>
  <c r="A556" i="1"/>
  <c r="B556" i="1" s="1"/>
  <c r="C556" i="1"/>
  <c r="D556" i="1"/>
  <c r="E556" i="1"/>
  <c r="F556" i="1"/>
  <c r="G556" i="1" s="1"/>
  <c r="A557" i="1"/>
  <c r="B557" i="1" s="1"/>
  <c r="C557" i="1"/>
  <c r="D557" i="1"/>
  <c r="E557" i="1"/>
  <c r="F557" i="1"/>
  <c r="G557" i="1" s="1"/>
  <c r="A558" i="1"/>
  <c r="B558" i="1" s="1"/>
  <c r="C558" i="1"/>
  <c r="D558" i="1"/>
  <c r="E558" i="1"/>
  <c r="F558" i="1"/>
  <c r="G558" i="1" s="1"/>
  <c r="A559" i="1"/>
  <c r="B559" i="1" s="1"/>
  <c r="C559" i="1"/>
  <c r="D559" i="1"/>
  <c r="E559" i="1"/>
  <c r="F559" i="1"/>
  <c r="G559" i="1" s="1"/>
  <c r="A560" i="1"/>
  <c r="B560" i="1" s="1"/>
  <c r="C560" i="1"/>
  <c r="D560" i="1"/>
  <c r="E560" i="1"/>
  <c r="F560" i="1"/>
  <c r="G560" i="1" s="1"/>
  <c r="A561" i="1"/>
  <c r="B561" i="1" s="1"/>
  <c r="C561" i="1"/>
  <c r="D561" i="1"/>
  <c r="E561" i="1"/>
  <c r="F561" i="1"/>
  <c r="G561" i="1"/>
  <c r="A562" i="1"/>
  <c r="B562" i="1" s="1"/>
  <c r="C562" i="1"/>
  <c r="D562" i="1"/>
  <c r="E562" i="1"/>
  <c r="F562" i="1"/>
  <c r="G562" i="1" s="1"/>
  <c r="A563" i="1"/>
  <c r="B563" i="1" s="1"/>
  <c r="C563" i="1"/>
  <c r="D563" i="1"/>
  <c r="E563" i="1"/>
  <c r="F563" i="1"/>
  <c r="G563" i="1" s="1"/>
  <c r="A564" i="1"/>
  <c r="B564" i="1" s="1"/>
  <c r="C564" i="1"/>
  <c r="D564" i="1"/>
  <c r="E564" i="1"/>
  <c r="F564" i="1"/>
  <c r="G564" i="1" s="1"/>
  <c r="A565" i="1"/>
  <c r="B565" i="1" s="1"/>
  <c r="C565" i="1"/>
  <c r="D565" i="1"/>
  <c r="E565" i="1"/>
  <c r="F565" i="1"/>
  <c r="G565" i="1" s="1"/>
  <c r="A566" i="1"/>
  <c r="B566" i="1"/>
  <c r="C566" i="1"/>
  <c r="D566" i="1"/>
  <c r="E566" i="1"/>
  <c r="F566" i="1"/>
  <c r="G566" i="1" s="1"/>
  <c r="A567" i="1"/>
  <c r="B567" i="1" s="1"/>
  <c r="C567" i="1"/>
  <c r="D567" i="1"/>
  <c r="E567" i="1"/>
  <c r="F567" i="1"/>
  <c r="G567" i="1" s="1"/>
  <c r="A568" i="1"/>
  <c r="B568" i="1" s="1"/>
  <c r="C568" i="1"/>
  <c r="D568" i="1"/>
  <c r="E568" i="1"/>
  <c r="F568" i="1"/>
  <c r="G568" i="1" s="1"/>
  <c r="A569" i="1"/>
  <c r="B569" i="1" s="1"/>
  <c r="C569" i="1"/>
  <c r="D569" i="1"/>
  <c r="E569" i="1"/>
  <c r="F569" i="1"/>
  <c r="G569" i="1" s="1"/>
  <c r="A570" i="1"/>
  <c r="B570" i="1" s="1"/>
  <c r="C570" i="1"/>
  <c r="D570" i="1"/>
  <c r="E570" i="1"/>
  <c r="F570" i="1"/>
  <c r="G570" i="1" s="1"/>
  <c r="A571" i="1"/>
  <c r="B571" i="1" s="1"/>
  <c r="C571" i="1"/>
  <c r="D571" i="1"/>
  <c r="E571" i="1"/>
  <c r="F571" i="1"/>
  <c r="G571" i="1" s="1"/>
  <c r="A572" i="1"/>
  <c r="B572" i="1" s="1"/>
  <c r="C572" i="1"/>
  <c r="D572" i="1"/>
  <c r="E572" i="1"/>
  <c r="F572" i="1"/>
  <c r="G572" i="1" s="1"/>
  <c r="A573" i="1"/>
  <c r="B573" i="1" s="1"/>
  <c r="C573" i="1"/>
  <c r="D573" i="1"/>
  <c r="E573" i="1"/>
  <c r="F573" i="1"/>
  <c r="G573" i="1" s="1"/>
  <c r="A574" i="1"/>
  <c r="B574" i="1" s="1"/>
  <c r="C574" i="1"/>
  <c r="D574" i="1"/>
  <c r="E574" i="1"/>
  <c r="F574" i="1"/>
  <c r="G574" i="1" s="1"/>
  <c r="A575" i="1"/>
  <c r="B575" i="1" s="1"/>
  <c r="C575" i="1"/>
  <c r="D575" i="1"/>
  <c r="E575" i="1"/>
  <c r="F575" i="1"/>
  <c r="G575" i="1" s="1"/>
  <c r="A576" i="1"/>
  <c r="B576" i="1" s="1"/>
  <c r="C576" i="1"/>
  <c r="D576" i="1"/>
  <c r="E576" i="1"/>
  <c r="F576" i="1"/>
  <c r="G576" i="1" s="1"/>
  <c r="A577" i="1"/>
  <c r="B577" i="1"/>
  <c r="C577" i="1"/>
  <c r="D577" i="1"/>
  <c r="E577" i="1"/>
  <c r="F577" i="1"/>
  <c r="G577" i="1"/>
  <c r="A578" i="1"/>
  <c r="B578" i="1" s="1"/>
  <c r="C578" i="1"/>
  <c r="D578" i="1"/>
  <c r="E578" i="1"/>
  <c r="F578" i="1"/>
  <c r="G578" i="1" s="1"/>
  <c r="A579" i="1"/>
  <c r="B579" i="1" s="1"/>
  <c r="C579" i="1"/>
  <c r="D579" i="1"/>
  <c r="E579" i="1"/>
  <c r="F579" i="1"/>
  <c r="G579" i="1" s="1"/>
  <c r="A580" i="1"/>
  <c r="B580" i="1" s="1"/>
  <c r="C580" i="1"/>
  <c r="D580" i="1"/>
  <c r="E580" i="1"/>
  <c r="F580" i="1"/>
  <c r="G580" i="1" s="1"/>
  <c r="A581" i="1"/>
  <c r="B581" i="1" s="1"/>
  <c r="C581" i="1"/>
  <c r="D581" i="1"/>
  <c r="E581" i="1"/>
  <c r="F581" i="1"/>
  <c r="G581" i="1" s="1"/>
  <c r="A582" i="1"/>
  <c r="B582" i="1" s="1"/>
  <c r="C582" i="1"/>
  <c r="D582" i="1"/>
  <c r="E582" i="1"/>
  <c r="F582" i="1"/>
  <c r="G582" i="1" s="1"/>
  <c r="A583" i="1"/>
  <c r="B583" i="1" s="1"/>
  <c r="C583" i="1"/>
  <c r="D583" i="1"/>
  <c r="E583" i="1"/>
  <c r="F583" i="1"/>
  <c r="G583" i="1" s="1"/>
  <c r="A584" i="1"/>
  <c r="B584" i="1" s="1"/>
  <c r="C584" i="1"/>
  <c r="D584" i="1"/>
  <c r="E584" i="1"/>
  <c r="F584" i="1"/>
  <c r="G584" i="1" s="1"/>
  <c r="A585" i="1"/>
  <c r="B585" i="1" s="1"/>
  <c r="C585" i="1"/>
  <c r="D585" i="1"/>
  <c r="E585" i="1"/>
  <c r="F585" i="1"/>
  <c r="G585" i="1" s="1"/>
  <c r="A586" i="1"/>
  <c r="B586" i="1" s="1"/>
  <c r="C586" i="1"/>
  <c r="D586" i="1"/>
  <c r="E586" i="1"/>
  <c r="F586" i="1"/>
  <c r="G586" i="1" s="1"/>
  <c r="A587" i="1"/>
  <c r="B587" i="1" s="1"/>
  <c r="C587" i="1"/>
  <c r="D587" i="1"/>
  <c r="E587" i="1"/>
  <c r="F587" i="1"/>
  <c r="G587" i="1" s="1"/>
  <c r="A588" i="1"/>
  <c r="B588" i="1" s="1"/>
  <c r="C588" i="1"/>
  <c r="D588" i="1"/>
  <c r="E588" i="1"/>
  <c r="F588" i="1"/>
  <c r="G588" i="1" s="1"/>
  <c r="A589" i="1"/>
  <c r="B589" i="1" s="1"/>
  <c r="C589" i="1"/>
  <c r="D589" i="1"/>
  <c r="E589" i="1"/>
  <c r="F589" i="1"/>
  <c r="G589" i="1" s="1"/>
  <c r="A590" i="1"/>
  <c r="B590" i="1" s="1"/>
  <c r="C590" i="1"/>
  <c r="D590" i="1"/>
  <c r="E590" i="1"/>
  <c r="F590" i="1"/>
  <c r="G590" i="1" s="1"/>
  <c r="A591" i="1"/>
  <c r="B591" i="1" s="1"/>
  <c r="C591" i="1"/>
  <c r="D591" i="1"/>
  <c r="E591" i="1"/>
  <c r="F591" i="1"/>
  <c r="G591" i="1" s="1"/>
  <c r="A592" i="1"/>
  <c r="B592" i="1" s="1"/>
  <c r="C592" i="1"/>
  <c r="D592" i="1"/>
  <c r="E592" i="1"/>
  <c r="F592" i="1"/>
  <c r="G592" i="1" s="1"/>
  <c r="A593" i="1"/>
  <c r="B593" i="1" s="1"/>
  <c r="C593" i="1"/>
  <c r="D593" i="1"/>
  <c r="E593" i="1"/>
  <c r="F593" i="1"/>
  <c r="G593" i="1" s="1"/>
  <c r="A594" i="1"/>
  <c r="B594" i="1" s="1"/>
  <c r="C594" i="1"/>
  <c r="D594" i="1"/>
  <c r="E594" i="1"/>
  <c r="F594" i="1"/>
  <c r="G594" i="1" s="1"/>
  <c r="A595" i="1"/>
  <c r="B595" i="1" s="1"/>
  <c r="C595" i="1"/>
  <c r="D595" i="1"/>
  <c r="E595" i="1"/>
  <c r="F595" i="1"/>
  <c r="G595" i="1" s="1"/>
  <c r="A596" i="1"/>
  <c r="B596" i="1" s="1"/>
  <c r="C596" i="1"/>
  <c r="D596" i="1"/>
  <c r="E596" i="1"/>
  <c r="F596" i="1"/>
  <c r="G596" i="1" s="1"/>
  <c r="A597" i="1"/>
  <c r="B597" i="1" s="1"/>
  <c r="C597" i="1"/>
  <c r="D597" i="1"/>
  <c r="E597" i="1"/>
  <c r="F597" i="1"/>
  <c r="G597" i="1" s="1"/>
  <c r="A598" i="1"/>
  <c r="B598" i="1" s="1"/>
  <c r="C598" i="1"/>
  <c r="D598" i="1"/>
  <c r="E598" i="1"/>
  <c r="F598" i="1"/>
  <c r="G598" i="1" s="1"/>
  <c r="A599" i="1"/>
  <c r="B599" i="1" s="1"/>
  <c r="C599" i="1"/>
  <c r="D599" i="1"/>
  <c r="E599" i="1"/>
  <c r="F599" i="1"/>
  <c r="G599" i="1" s="1"/>
  <c r="A600" i="1"/>
  <c r="B600" i="1" s="1"/>
  <c r="C600" i="1"/>
  <c r="D600" i="1"/>
  <c r="E600" i="1"/>
  <c r="F600" i="1"/>
  <c r="G600" i="1" s="1"/>
  <c r="A601" i="1"/>
  <c r="B601" i="1"/>
  <c r="C601" i="1"/>
  <c r="D601" i="1"/>
  <c r="E601" i="1"/>
  <c r="F601" i="1"/>
  <c r="G601" i="1"/>
  <c r="A602" i="1"/>
  <c r="B602" i="1" s="1"/>
  <c r="C602" i="1"/>
  <c r="D602" i="1"/>
  <c r="E602" i="1"/>
  <c r="F602" i="1"/>
  <c r="G602" i="1" s="1"/>
  <c r="A603" i="1"/>
  <c r="B603" i="1" s="1"/>
  <c r="C603" i="1"/>
  <c r="D603" i="1"/>
  <c r="E603" i="1"/>
  <c r="F603" i="1"/>
  <c r="G603" i="1" s="1"/>
  <c r="A604" i="1"/>
  <c r="B604" i="1" s="1"/>
  <c r="C604" i="1"/>
  <c r="D604" i="1"/>
  <c r="E604" i="1"/>
  <c r="F604" i="1"/>
  <c r="G604" i="1" s="1"/>
  <c r="A605" i="1"/>
  <c r="B605" i="1" s="1"/>
  <c r="C605" i="1"/>
  <c r="D605" i="1"/>
  <c r="E605" i="1"/>
  <c r="F605" i="1"/>
  <c r="G605" i="1" s="1"/>
  <c r="A606" i="1"/>
  <c r="B606" i="1" s="1"/>
  <c r="C606" i="1"/>
  <c r="D606" i="1"/>
  <c r="E606" i="1"/>
  <c r="F606" i="1"/>
  <c r="G606" i="1" s="1"/>
  <c r="A607" i="1"/>
  <c r="B607" i="1" s="1"/>
  <c r="C607" i="1"/>
  <c r="D607" i="1"/>
  <c r="E607" i="1"/>
  <c r="F607" i="1"/>
  <c r="G607" i="1" s="1"/>
  <c r="A608" i="1"/>
  <c r="B608" i="1" s="1"/>
  <c r="C608" i="1"/>
  <c r="D608" i="1"/>
  <c r="E608" i="1"/>
  <c r="F608" i="1"/>
  <c r="G608" i="1" s="1"/>
  <c r="A609" i="1"/>
  <c r="B609" i="1" s="1"/>
  <c r="C609" i="1"/>
  <c r="D609" i="1"/>
  <c r="E609" i="1"/>
  <c r="F609" i="1"/>
  <c r="G609" i="1" s="1"/>
  <c r="A610" i="1"/>
  <c r="B610" i="1" s="1"/>
  <c r="C610" i="1"/>
  <c r="D610" i="1"/>
  <c r="E610" i="1"/>
  <c r="F610" i="1"/>
  <c r="G610" i="1" s="1"/>
  <c r="A611" i="1"/>
  <c r="B611" i="1" s="1"/>
  <c r="C611" i="1"/>
  <c r="D611" i="1"/>
  <c r="E611" i="1"/>
  <c r="F611" i="1"/>
  <c r="G611" i="1" s="1"/>
  <c r="A612" i="1"/>
  <c r="B612" i="1" s="1"/>
  <c r="C612" i="1"/>
  <c r="D612" i="1"/>
  <c r="E612" i="1"/>
  <c r="F612" i="1"/>
  <c r="G612" i="1" s="1"/>
  <c r="A613" i="1"/>
  <c r="B613" i="1"/>
  <c r="C613" i="1"/>
  <c r="D613" i="1"/>
  <c r="E613" i="1"/>
  <c r="F613" i="1"/>
  <c r="G613" i="1"/>
  <c r="A614" i="1"/>
  <c r="B614" i="1"/>
  <c r="C614" i="1"/>
  <c r="D614" i="1"/>
  <c r="E614" i="1"/>
  <c r="F614" i="1"/>
  <c r="G614" i="1" s="1"/>
  <c r="A615" i="1"/>
  <c r="B615" i="1" s="1"/>
  <c r="C615" i="1"/>
  <c r="D615" i="1"/>
  <c r="E615" i="1"/>
  <c r="F615" i="1"/>
  <c r="G615" i="1" s="1"/>
  <c r="A616" i="1"/>
  <c r="B616" i="1"/>
  <c r="C616" i="1"/>
  <c r="D616" i="1"/>
  <c r="E616" i="1"/>
  <c r="F616" i="1"/>
  <c r="G616" i="1" s="1"/>
  <c r="A617" i="1"/>
  <c r="B617" i="1" s="1"/>
  <c r="C617" i="1"/>
  <c r="D617" i="1"/>
  <c r="E617" i="1"/>
  <c r="F617" i="1"/>
  <c r="G617" i="1" s="1"/>
  <c r="A618" i="1"/>
  <c r="B618" i="1" s="1"/>
  <c r="C618" i="1"/>
  <c r="D618" i="1"/>
  <c r="E618" i="1"/>
  <c r="F618" i="1"/>
  <c r="G618" i="1" s="1"/>
  <c r="A619" i="1"/>
  <c r="B619" i="1" s="1"/>
  <c r="C619" i="1"/>
  <c r="D619" i="1"/>
  <c r="E619" i="1"/>
  <c r="F619" i="1"/>
  <c r="G619" i="1" s="1"/>
  <c r="A620" i="1"/>
  <c r="B620" i="1" s="1"/>
  <c r="C620" i="1"/>
  <c r="D620" i="1"/>
  <c r="E620" i="1"/>
  <c r="F620" i="1"/>
  <c r="G620" i="1" s="1"/>
  <c r="A621" i="1"/>
  <c r="B621" i="1" s="1"/>
  <c r="C621" i="1"/>
  <c r="D621" i="1"/>
  <c r="E621" i="1"/>
  <c r="F621" i="1"/>
  <c r="G621" i="1" s="1"/>
  <c r="A622" i="1"/>
  <c r="B622" i="1" s="1"/>
  <c r="C622" i="1"/>
  <c r="D622" i="1"/>
  <c r="E622" i="1"/>
  <c r="F622" i="1"/>
  <c r="G622" i="1" s="1"/>
  <c r="A623" i="1"/>
  <c r="B623" i="1" s="1"/>
  <c r="C623" i="1"/>
  <c r="D623" i="1"/>
  <c r="E623" i="1"/>
  <c r="F623" i="1"/>
  <c r="G623" i="1"/>
  <c r="A624" i="1"/>
  <c r="B624" i="1" s="1"/>
  <c r="C624" i="1"/>
  <c r="D624" i="1"/>
  <c r="E624" i="1"/>
  <c r="F624" i="1"/>
  <c r="G624" i="1" s="1"/>
  <c r="A625" i="1"/>
  <c r="B625" i="1" s="1"/>
  <c r="C625" i="1"/>
  <c r="D625" i="1"/>
  <c r="E625" i="1"/>
  <c r="F625" i="1"/>
  <c r="G625" i="1" s="1"/>
  <c r="A626" i="1"/>
  <c r="B626" i="1" s="1"/>
  <c r="C626" i="1"/>
  <c r="D626" i="1"/>
  <c r="E626" i="1"/>
  <c r="F626" i="1"/>
  <c r="G626" i="1" s="1"/>
  <c r="A627" i="1"/>
  <c r="B627" i="1" s="1"/>
  <c r="C627" i="1"/>
  <c r="D627" i="1"/>
  <c r="E627" i="1"/>
  <c r="F627" i="1"/>
  <c r="G627" i="1" s="1"/>
  <c r="A628" i="1"/>
  <c r="B628" i="1"/>
  <c r="C628" i="1"/>
  <c r="D628" i="1"/>
  <c r="E628" i="1"/>
  <c r="F628" i="1"/>
  <c r="G628" i="1" s="1"/>
  <c r="A629" i="1"/>
  <c r="B629" i="1" s="1"/>
  <c r="C629" i="1"/>
  <c r="D629" i="1"/>
  <c r="E629" i="1"/>
  <c r="F629" i="1"/>
  <c r="G629" i="1" s="1"/>
  <c r="A630" i="1"/>
  <c r="B630" i="1" s="1"/>
  <c r="C630" i="1"/>
  <c r="D630" i="1"/>
  <c r="E630" i="1"/>
  <c r="F630" i="1"/>
  <c r="G630" i="1" s="1"/>
  <c r="A631" i="1"/>
  <c r="B631" i="1" s="1"/>
  <c r="C631" i="1"/>
  <c r="D631" i="1"/>
  <c r="E631" i="1"/>
  <c r="F631" i="1"/>
  <c r="G631" i="1" s="1"/>
  <c r="A632" i="1"/>
  <c r="B632" i="1" s="1"/>
  <c r="C632" i="1"/>
  <c r="D632" i="1"/>
  <c r="E632" i="1"/>
  <c r="F632" i="1"/>
  <c r="G632" i="1" s="1"/>
  <c r="A633" i="1"/>
  <c r="B633" i="1" s="1"/>
  <c r="C633" i="1"/>
  <c r="D633" i="1"/>
  <c r="E633" i="1"/>
  <c r="F633" i="1"/>
  <c r="G633" i="1" s="1"/>
  <c r="A634" i="1"/>
  <c r="B634" i="1" s="1"/>
  <c r="C634" i="1"/>
  <c r="D634" i="1"/>
  <c r="E634" i="1"/>
  <c r="F634" i="1"/>
  <c r="G634" i="1" s="1"/>
  <c r="A635" i="1"/>
  <c r="B635" i="1" s="1"/>
  <c r="C635" i="1"/>
  <c r="D635" i="1"/>
  <c r="E635" i="1"/>
  <c r="F635" i="1"/>
  <c r="G635" i="1" s="1"/>
  <c r="A636" i="1"/>
  <c r="B636" i="1" s="1"/>
  <c r="C636" i="1"/>
  <c r="D636" i="1"/>
  <c r="E636" i="1"/>
  <c r="F636" i="1"/>
  <c r="G636" i="1" s="1"/>
  <c r="A637" i="1"/>
  <c r="B637" i="1" s="1"/>
  <c r="C637" i="1"/>
  <c r="D637" i="1"/>
  <c r="E637" i="1"/>
  <c r="F637" i="1"/>
  <c r="G637" i="1" s="1"/>
  <c r="A638" i="1"/>
  <c r="B638" i="1" s="1"/>
  <c r="C638" i="1"/>
  <c r="D638" i="1"/>
  <c r="E638" i="1"/>
  <c r="F638" i="1"/>
  <c r="G638" i="1" s="1"/>
  <c r="A639" i="1"/>
  <c r="B639" i="1" s="1"/>
  <c r="C639" i="1"/>
  <c r="D639" i="1"/>
  <c r="E639" i="1"/>
  <c r="F639" i="1"/>
  <c r="G639" i="1" s="1"/>
  <c r="A640" i="1"/>
  <c r="B640" i="1" s="1"/>
  <c r="C640" i="1"/>
  <c r="D640" i="1"/>
  <c r="E640" i="1"/>
  <c r="F640" i="1"/>
  <c r="G640" i="1" s="1"/>
  <c r="A641" i="1"/>
  <c r="B641" i="1" s="1"/>
  <c r="C641" i="1"/>
  <c r="D641" i="1"/>
  <c r="E641" i="1"/>
  <c r="F641" i="1"/>
  <c r="G641" i="1"/>
  <c r="A642" i="1"/>
  <c r="B642" i="1" s="1"/>
  <c r="C642" i="1"/>
  <c r="D642" i="1"/>
  <c r="E642" i="1"/>
  <c r="F642" i="1"/>
  <c r="G642" i="1" s="1"/>
  <c r="A643" i="1"/>
  <c r="B643" i="1" s="1"/>
  <c r="C643" i="1"/>
  <c r="D643" i="1"/>
  <c r="E643" i="1"/>
  <c r="F643" i="1"/>
  <c r="G643" i="1" s="1"/>
  <c r="A644" i="1"/>
  <c r="B644" i="1" s="1"/>
  <c r="C644" i="1"/>
  <c r="D644" i="1"/>
  <c r="E644" i="1"/>
  <c r="F644" i="1"/>
  <c r="G644" i="1" s="1"/>
  <c r="A645" i="1"/>
  <c r="B645" i="1" s="1"/>
  <c r="C645" i="1"/>
  <c r="D645" i="1"/>
  <c r="E645" i="1"/>
  <c r="F645" i="1"/>
  <c r="G645" i="1" s="1"/>
  <c r="A646" i="1"/>
  <c r="B646" i="1"/>
  <c r="C646" i="1"/>
  <c r="D646" i="1"/>
  <c r="E646" i="1"/>
  <c r="F646" i="1"/>
  <c r="G646" i="1" s="1"/>
  <c r="A647" i="1"/>
  <c r="B647" i="1" s="1"/>
  <c r="C647" i="1"/>
  <c r="D647" i="1"/>
  <c r="E647" i="1"/>
  <c r="F647" i="1"/>
  <c r="G647" i="1" s="1"/>
  <c r="A648" i="1"/>
  <c r="B648" i="1" s="1"/>
  <c r="C648" i="1"/>
  <c r="D648" i="1"/>
  <c r="E648" i="1"/>
  <c r="F648" i="1"/>
  <c r="G648" i="1" s="1"/>
  <c r="A649" i="1"/>
  <c r="B649" i="1" s="1"/>
  <c r="C649" i="1"/>
  <c r="D649" i="1"/>
  <c r="E649" i="1"/>
  <c r="F649" i="1"/>
  <c r="G649" i="1" s="1"/>
  <c r="A650" i="1"/>
  <c r="B650" i="1" s="1"/>
  <c r="C650" i="1"/>
  <c r="D650" i="1"/>
  <c r="E650" i="1"/>
  <c r="F650" i="1"/>
  <c r="G650" i="1" s="1"/>
  <c r="A651" i="1"/>
  <c r="B651" i="1" s="1"/>
  <c r="C651" i="1"/>
  <c r="D651" i="1"/>
  <c r="E651" i="1"/>
  <c r="F651" i="1"/>
  <c r="G651" i="1" s="1"/>
  <c r="A652" i="1"/>
  <c r="B652" i="1" s="1"/>
  <c r="C652" i="1"/>
  <c r="D652" i="1"/>
  <c r="E652" i="1"/>
  <c r="F652" i="1"/>
  <c r="G652" i="1" s="1"/>
  <c r="A653" i="1"/>
  <c r="B653" i="1" s="1"/>
  <c r="C653" i="1"/>
  <c r="D653" i="1"/>
  <c r="E653" i="1"/>
  <c r="F653" i="1"/>
  <c r="G653" i="1"/>
  <c r="A654" i="1"/>
  <c r="B654" i="1" s="1"/>
  <c r="C654" i="1"/>
  <c r="D654" i="1"/>
  <c r="E654" i="1"/>
  <c r="F654" i="1"/>
  <c r="G654" i="1" s="1"/>
  <c r="A655" i="1"/>
  <c r="B655" i="1" s="1"/>
  <c r="C655" i="1"/>
  <c r="D655" i="1"/>
  <c r="E655" i="1"/>
  <c r="F655" i="1"/>
  <c r="G655" i="1" s="1"/>
  <c r="A656" i="1"/>
  <c r="B656" i="1" s="1"/>
  <c r="C656" i="1"/>
  <c r="D656" i="1"/>
  <c r="E656" i="1"/>
  <c r="F656" i="1"/>
  <c r="G656" i="1" s="1"/>
  <c r="A657" i="1"/>
  <c r="B657" i="1" s="1"/>
  <c r="C657" i="1"/>
  <c r="D657" i="1"/>
  <c r="E657" i="1"/>
  <c r="F657" i="1"/>
  <c r="G657" i="1" s="1"/>
  <c r="A658" i="1"/>
  <c r="B658" i="1" s="1"/>
  <c r="C658" i="1"/>
  <c r="D658" i="1"/>
  <c r="E658" i="1"/>
  <c r="F658" i="1"/>
  <c r="G658" i="1" s="1"/>
  <c r="A659" i="1"/>
  <c r="B659" i="1" s="1"/>
  <c r="C659" i="1"/>
  <c r="D659" i="1"/>
  <c r="E659" i="1"/>
  <c r="F659" i="1"/>
  <c r="G659" i="1" s="1"/>
  <c r="A660" i="1"/>
  <c r="B660" i="1"/>
  <c r="C660" i="1"/>
  <c r="D660" i="1"/>
  <c r="E660" i="1"/>
  <c r="F660" i="1"/>
  <c r="G660" i="1" s="1"/>
  <c r="A661" i="1"/>
  <c r="B661" i="1" s="1"/>
  <c r="C661" i="1"/>
  <c r="D661" i="1"/>
  <c r="E661" i="1"/>
  <c r="F661" i="1"/>
  <c r="G661" i="1" s="1"/>
  <c r="A662" i="1"/>
  <c r="B662" i="1" s="1"/>
  <c r="C662" i="1"/>
  <c r="D662" i="1"/>
  <c r="E662" i="1"/>
  <c r="F662" i="1"/>
  <c r="G662" i="1" s="1"/>
  <c r="A663" i="1"/>
  <c r="B663" i="1" s="1"/>
  <c r="C663" i="1"/>
  <c r="D663" i="1"/>
  <c r="E663" i="1"/>
  <c r="F663" i="1"/>
  <c r="G663" i="1" s="1"/>
  <c r="A664" i="1"/>
  <c r="B664" i="1" s="1"/>
  <c r="C664" i="1"/>
  <c r="D664" i="1"/>
  <c r="E664" i="1"/>
  <c r="F664" i="1"/>
  <c r="G664" i="1" s="1"/>
  <c r="A665" i="1"/>
  <c r="B665" i="1" s="1"/>
  <c r="C665" i="1"/>
  <c r="D665" i="1"/>
  <c r="E665" i="1"/>
  <c r="F665" i="1"/>
  <c r="G665" i="1" s="1"/>
  <c r="A666" i="1"/>
  <c r="B666" i="1" s="1"/>
  <c r="C666" i="1"/>
  <c r="D666" i="1"/>
  <c r="E666" i="1"/>
  <c r="F666" i="1"/>
  <c r="G666" i="1" s="1"/>
  <c r="A667" i="1"/>
  <c r="B667" i="1" s="1"/>
  <c r="C667" i="1"/>
  <c r="D667" i="1"/>
  <c r="E667" i="1"/>
  <c r="F667" i="1"/>
  <c r="G667" i="1" s="1"/>
  <c r="A668" i="1"/>
  <c r="B668" i="1" s="1"/>
  <c r="C668" i="1"/>
  <c r="D668" i="1"/>
  <c r="E668" i="1"/>
  <c r="F668" i="1"/>
  <c r="G668" i="1" s="1"/>
  <c r="A669" i="1"/>
  <c r="B669" i="1" s="1"/>
  <c r="C669" i="1"/>
  <c r="D669" i="1"/>
  <c r="E669" i="1"/>
  <c r="F669" i="1"/>
  <c r="G669" i="1" s="1"/>
  <c r="A670" i="1"/>
  <c r="B670" i="1" s="1"/>
  <c r="C670" i="1"/>
  <c r="D670" i="1"/>
  <c r="E670" i="1"/>
  <c r="F670" i="1"/>
  <c r="G670" i="1"/>
  <c r="A671" i="1"/>
  <c r="B671" i="1" s="1"/>
  <c r="C671" i="1"/>
  <c r="D671" i="1"/>
  <c r="E671" i="1"/>
  <c r="F671" i="1"/>
  <c r="G671" i="1" s="1"/>
  <c r="A672" i="1"/>
  <c r="B672" i="1" s="1"/>
  <c r="C672" i="1"/>
  <c r="D672" i="1"/>
  <c r="E672" i="1"/>
  <c r="F672" i="1"/>
  <c r="G672" i="1" s="1"/>
  <c r="A673" i="1"/>
  <c r="B673" i="1" s="1"/>
  <c r="C673" i="1"/>
  <c r="D673" i="1"/>
  <c r="E673" i="1"/>
  <c r="F673" i="1"/>
  <c r="G673" i="1" s="1"/>
  <c r="A674" i="1"/>
  <c r="B674" i="1" s="1"/>
  <c r="C674" i="1"/>
  <c r="D674" i="1"/>
  <c r="E674" i="1"/>
  <c r="F674" i="1"/>
  <c r="G674" i="1"/>
  <c r="A675" i="1"/>
  <c r="B675" i="1" s="1"/>
  <c r="C675" i="1"/>
  <c r="D675" i="1"/>
  <c r="E675" i="1"/>
  <c r="F675" i="1"/>
  <c r="G675" i="1" s="1"/>
  <c r="A676" i="1"/>
  <c r="B676" i="1" s="1"/>
  <c r="C676" i="1"/>
  <c r="D676" i="1"/>
  <c r="E676" i="1"/>
  <c r="F676" i="1"/>
  <c r="G676" i="1" s="1"/>
  <c r="A677" i="1"/>
  <c r="B677" i="1" s="1"/>
  <c r="C677" i="1"/>
  <c r="D677" i="1"/>
  <c r="E677" i="1"/>
  <c r="F677" i="1"/>
  <c r="G677" i="1" s="1"/>
  <c r="A678" i="1"/>
  <c r="B678" i="1" s="1"/>
  <c r="C678" i="1"/>
  <c r="D678" i="1"/>
  <c r="E678" i="1"/>
  <c r="F678" i="1"/>
  <c r="G678" i="1" s="1"/>
  <c r="A679" i="1"/>
  <c r="B679" i="1" s="1"/>
  <c r="C679" i="1"/>
  <c r="D679" i="1"/>
  <c r="E679" i="1"/>
  <c r="F679" i="1"/>
  <c r="G679" i="1" s="1"/>
  <c r="A680" i="1"/>
  <c r="B680" i="1" s="1"/>
  <c r="C680" i="1"/>
  <c r="D680" i="1"/>
  <c r="E680" i="1"/>
  <c r="F680" i="1"/>
  <c r="G680" i="1" s="1"/>
  <c r="A681" i="1"/>
  <c r="B681" i="1" s="1"/>
  <c r="C681" i="1"/>
  <c r="D681" i="1"/>
  <c r="E681" i="1"/>
  <c r="F681" i="1"/>
  <c r="G681" i="1" s="1"/>
  <c r="A682" i="1"/>
  <c r="B682" i="1" s="1"/>
  <c r="C682" i="1"/>
  <c r="D682" i="1"/>
  <c r="E682" i="1"/>
  <c r="F682" i="1"/>
  <c r="G682" i="1" s="1"/>
  <c r="A683" i="1"/>
  <c r="B683" i="1"/>
  <c r="C683" i="1"/>
  <c r="D683" i="1"/>
  <c r="E683" i="1"/>
  <c r="F683" i="1"/>
  <c r="G683" i="1" s="1"/>
  <c r="A684" i="1"/>
  <c r="B684" i="1" s="1"/>
  <c r="C684" i="1"/>
  <c r="D684" i="1"/>
  <c r="E684" i="1"/>
  <c r="F684" i="1"/>
  <c r="G684" i="1" s="1"/>
  <c r="A685" i="1"/>
  <c r="B685" i="1" s="1"/>
  <c r="C685" i="1"/>
  <c r="D685" i="1"/>
  <c r="E685" i="1"/>
  <c r="F685" i="1"/>
  <c r="G685" i="1" s="1"/>
  <c r="A686" i="1"/>
  <c r="B686" i="1" s="1"/>
  <c r="C686" i="1"/>
  <c r="D686" i="1"/>
  <c r="E686" i="1"/>
  <c r="F686" i="1"/>
  <c r="G686" i="1" s="1"/>
  <c r="A687" i="1"/>
  <c r="B687" i="1" s="1"/>
  <c r="C687" i="1"/>
  <c r="D687" i="1"/>
  <c r="E687" i="1"/>
  <c r="F687" i="1"/>
  <c r="G687" i="1" s="1"/>
  <c r="A688" i="1"/>
  <c r="B688" i="1" s="1"/>
  <c r="C688" i="1"/>
  <c r="D688" i="1"/>
  <c r="E688" i="1"/>
  <c r="F688" i="1"/>
  <c r="G688" i="1" s="1"/>
  <c r="A689" i="1"/>
  <c r="B689" i="1" s="1"/>
  <c r="C689" i="1"/>
  <c r="D689" i="1"/>
  <c r="E689" i="1"/>
  <c r="F689" i="1"/>
  <c r="G689" i="1"/>
  <c r="A690" i="1"/>
  <c r="B690" i="1" s="1"/>
  <c r="C690" i="1"/>
  <c r="D690" i="1"/>
  <c r="E690" i="1"/>
  <c r="F690" i="1"/>
  <c r="G690" i="1" s="1"/>
  <c r="A691" i="1"/>
  <c r="B691" i="1" s="1"/>
  <c r="C691" i="1"/>
  <c r="D691" i="1"/>
  <c r="E691" i="1"/>
  <c r="F691" i="1"/>
  <c r="G691" i="1" s="1"/>
  <c r="A692" i="1"/>
  <c r="B692" i="1" s="1"/>
  <c r="C692" i="1"/>
  <c r="D692" i="1"/>
  <c r="E692" i="1"/>
  <c r="F692" i="1"/>
  <c r="G692" i="1" s="1"/>
  <c r="A693" i="1"/>
  <c r="B693" i="1" s="1"/>
  <c r="C693" i="1"/>
  <c r="D693" i="1"/>
  <c r="E693" i="1"/>
  <c r="F693" i="1"/>
  <c r="G693" i="1" s="1"/>
  <c r="A694" i="1"/>
  <c r="B694" i="1" s="1"/>
  <c r="C694" i="1"/>
  <c r="D694" i="1"/>
  <c r="E694" i="1"/>
  <c r="F694" i="1"/>
  <c r="G694" i="1" s="1"/>
  <c r="A695" i="1"/>
  <c r="B695" i="1" s="1"/>
  <c r="C695" i="1"/>
  <c r="D695" i="1"/>
  <c r="E695" i="1"/>
  <c r="F695" i="1"/>
  <c r="G695" i="1" s="1"/>
  <c r="A696" i="1"/>
  <c r="B696" i="1" s="1"/>
  <c r="C696" i="1"/>
  <c r="D696" i="1"/>
  <c r="E696" i="1"/>
  <c r="F696" i="1"/>
  <c r="G696" i="1" s="1"/>
  <c r="A697" i="1"/>
  <c r="B697" i="1"/>
  <c r="C697" i="1"/>
  <c r="D697" i="1"/>
  <c r="E697" i="1"/>
  <c r="F697" i="1"/>
  <c r="G697" i="1" s="1"/>
  <c r="A698" i="1"/>
  <c r="B698" i="1" s="1"/>
  <c r="C698" i="1"/>
  <c r="D698" i="1"/>
  <c r="E698" i="1"/>
  <c r="F698" i="1"/>
  <c r="G698" i="1" s="1"/>
  <c r="A699" i="1"/>
  <c r="B699" i="1" s="1"/>
  <c r="C699" i="1"/>
  <c r="D699" i="1"/>
  <c r="E699" i="1"/>
  <c r="F699" i="1"/>
  <c r="G699" i="1" s="1"/>
  <c r="A700" i="1"/>
  <c r="B700" i="1" s="1"/>
  <c r="C700" i="1"/>
  <c r="D700" i="1"/>
  <c r="E700" i="1"/>
  <c r="F700" i="1"/>
  <c r="G700" i="1" s="1"/>
  <c r="A701" i="1"/>
  <c r="B701" i="1" s="1"/>
  <c r="C701" i="1"/>
  <c r="D701" i="1"/>
  <c r="E701" i="1"/>
  <c r="F701" i="1"/>
  <c r="G701" i="1" s="1"/>
  <c r="A702" i="1"/>
  <c r="B702" i="1" s="1"/>
  <c r="C702" i="1"/>
  <c r="D702" i="1"/>
  <c r="E702" i="1"/>
  <c r="F702" i="1"/>
  <c r="G702" i="1" s="1"/>
  <c r="A703" i="1"/>
  <c r="B703" i="1" s="1"/>
  <c r="C703" i="1"/>
  <c r="D703" i="1"/>
  <c r="E703" i="1"/>
  <c r="F703" i="1"/>
  <c r="G703" i="1" s="1"/>
  <c r="A704" i="1"/>
  <c r="B704" i="1" s="1"/>
  <c r="C704" i="1"/>
  <c r="D704" i="1"/>
  <c r="E704" i="1"/>
  <c r="F704" i="1"/>
  <c r="G704" i="1" s="1"/>
  <c r="A705" i="1"/>
  <c r="B705" i="1" s="1"/>
  <c r="C705" i="1"/>
  <c r="D705" i="1"/>
  <c r="E705" i="1"/>
  <c r="F705" i="1"/>
  <c r="G705" i="1" s="1"/>
  <c r="A706" i="1"/>
  <c r="B706" i="1" s="1"/>
  <c r="C706" i="1"/>
  <c r="D706" i="1"/>
  <c r="E706" i="1"/>
  <c r="F706" i="1"/>
  <c r="G706" i="1" s="1"/>
  <c r="A707" i="1"/>
  <c r="B707" i="1"/>
  <c r="C707" i="1"/>
  <c r="D707" i="1"/>
  <c r="E707" i="1"/>
  <c r="F707" i="1"/>
  <c r="G707" i="1"/>
  <c r="A708" i="1"/>
  <c r="B708" i="1" s="1"/>
  <c r="C708" i="1"/>
  <c r="D708" i="1"/>
  <c r="E708" i="1"/>
  <c r="F708" i="1"/>
  <c r="G708" i="1" s="1"/>
  <c r="A709" i="1"/>
  <c r="B709" i="1"/>
  <c r="C709" i="1"/>
  <c r="D709" i="1"/>
  <c r="E709" i="1"/>
  <c r="F709" i="1"/>
  <c r="G709" i="1" s="1"/>
  <c r="A710" i="1"/>
  <c r="B710" i="1" s="1"/>
  <c r="C710" i="1"/>
  <c r="D710" i="1"/>
  <c r="E710" i="1"/>
  <c r="F710" i="1"/>
  <c r="G710" i="1" s="1"/>
  <c r="A711" i="1"/>
  <c r="B711" i="1" s="1"/>
  <c r="C711" i="1"/>
  <c r="D711" i="1"/>
  <c r="E711" i="1"/>
  <c r="F711" i="1"/>
  <c r="G711" i="1" s="1"/>
  <c r="A712" i="1"/>
  <c r="B712" i="1" s="1"/>
  <c r="C712" i="1"/>
  <c r="D712" i="1"/>
  <c r="E712" i="1"/>
  <c r="F712" i="1"/>
  <c r="G712" i="1" s="1"/>
  <c r="A713" i="1"/>
  <c r="B713" i="1" s="1"/>
  <c r="C713" i="1"/>
  <c r="D713" i="1"/>
  <c r="E713" i="1"/>
  <c r="F713" i="1"/>
  <c r="G713" i="1" s="1"/>
  <c r="A714" i="1"/>
  <c r="B714" i="1" s="1"/>
  <c r="C714" i="1"/>
  <c r="D714" i="1"/>
  <c r="E714" i="1"/>
  <c r="F714" i="1"/>
  <c r="G714" i="1" s="1"/>
  <c r="A715" i="1"/>
  <c r="B715" i="1" s="1"/>
  <c r="C715" i="1"/>
  <c r="D715" i="1"/>
  <c r="E715" i="1"/>
  <c r="F715" i="1"/>
  <c r="G715" i="1" s="1"/>
  <c r="A716" i="1"/>
  <c r="B716" i="1" s="1"/>
  <c r="C716" i="1"/>
  <c r="D716" i="1"/>
  <c r="E716" i="1"/>
  <c r="F716" i="1"/>
  <c r="G716" i="1" s="1"/>
  <c r="A717" i="1"/>
  <c r="B717" i="1" s="1"/>
  <c r="C717" i="1"/>
  <c r="D717" i="1"/>
  <c r="E717" i="1"/>
  <c r="F717" i="1"/>
  <c r="G717" i="1" s="1"/>
  <c r="A718" i="1"/>
  <c r="B718" i="1" s="1"/>
  <c r="C718" i="1"/>
  <c r="D718" i="1"/>
  <c r="E718" i="1"/>
  <c r="F718" i="1"/>
  <c r="G718" i="1" s="1"/>
  <c r="A719" i="1"/>
  <c r="B719" i="1" s="1"/>
  <c r="C719" i="1"/>
  <c r="D719" i="1"/>
  <c r="E719" i="1"/>
  <c r="F719" i="1"/>
  <c r="G719" i="1" s="1"/>
  <c r="A720" i="1"/>
  <c r="B720" i="1" s="1"/>
  <c r="C720" i="1"/>
  <c r="D720" i="1"/>
  <c r="E720" i="1"/>
  <c r="F720" i="1"/>
  <c r="G720" i="1" s="1"/>
  <c r="A721" i="1"/>
  <c r="B721" i="1" s="1"/>
  <c r="C721" i="1"/>
  <c r="D721" i="1"/>
  <c r="E721" i="1"/>
  <c r="F721" i="1"/>
  <c r="G721" i="1" s="1"/>
  <c r="A722" i="1"/>
  <c r="B722" i="1" s="1"/>
  <c r="C722" i="1"/>
  <c r="D722" i="1"/>
  <c r="E722" i="1"/>
  <c r="F722" i="1"/>
  <c r="G722" i="1" s="1"/>
  <c r="A723" i="1"/>
  <c r="B723" i="1" s="1"/>
  <c r="C723" i="1"/>
  <c r="D723" i="1"/>
  <c r="E723" i="1"/>
  <c r="F723" i="1"/>
  <c r="G723" i="1" s="1"/>
  <c r="A724" i="1"/>
  <c r="B724" i="1"/>
  <c r="C724" i="1"/>
  <c r="D724" i="1"/>
  <c r="E724" i="1"/>
  <c r="F724" i="1"/>
  <c r="G724" i="1" s="1"/>
  <c r="A725" i="1"/>
  <c r="B725" i="1" s="1"/>
  <c r="C725" i="1"/>
  <c r="D725" i="1"/>
  <c r="E725" i="1"/>
  <c r="F725" i="1"/>
  <c r="G725" i="1" s="1"/>
  <c r="A726" i="1"/>
  <c r="B726" i="1" s="1"/>
  <c r="C726" i="1"/>
  <c r="D726" i="1"/>
  <c r="E726" i="1"/>
  <c r="F726" i="1"/>
  <c r="G726" i="1" s="1"/>
  <c r="A727" i="1"/>
  <c r="B727" i="1" s="1"/>
  <c r="C727" i="1"/>
  <c r="D727" i="1"/>
  <c r="E727" i="1"/>
  <c r="F727" i="1"/>
  <c r="G727" i="1" s="1"/>
  <c r="A728" i="1"/>
  <c r="B728" i="1" s="1"/>
  <c r="C728" i="1"/>
  <c r="D728" i="1"/>
  <c r="E728" i="1"/>
  <c r="F728" i="1"/>
  <c r="G728" i="1" s="1"/>
  <c r="A729" i="1"/>
  <c r="B729" i="1" s="1"/>
  <c r="C729" i="1"/>
  <c r="D729" i="1"/>
  <c r="E729" i="1"/>
  <c r="F729" i="1"/>
  <c r="G729" i="1" s="1"/>
  <c r="A730" i="1"/>
  <c r="B730" i="1"/>
  <c r="C730" i="1"/>
  <c r="D730" i="1"/>
  <c r="E730" i="1"/>
  <c r="F730" i="1"/>
  <c r="G730" i="1" s="1"/>
  <c r="A731" i="1"/>
  <c r="B731" i="1" s="1"/>
  <c r="C731" i="1"/>
  <c r="D731" i="1"/>
  <c r="E731" i="1"/>
  <c r="F731" i="1"/>
  <c r="G731" i="1" s="1"/>
  <c r="A732" i="1"/>
  <c r="B732" i="1"/>
  <c r="C732" i="1"/>
  <c r="D732" i="1"/>
  <c r="E732" i="1"/>
  <c r="F732" i="1"/>
  <c r="G732" i="1" s="1"/>
  <c r="A733" i="1"/>
  <c r="B733" i="1" s="1"/>
  <c r="C733" i="1"/>
  <c r="D733" i="1"/>
  <c r="E733" i="1"/>
  <c r="F733" i="1"/>
  <c r="G733" i="1" s="1"/>
  <c r="A734" i="1"/>
  <c r="B734" i="1" s="1"/>
  <c r="C734" i="1"/>
  <c r="D734" i="1"/>
  <c r="E734" i="1"/>
  <c r="F734" i="1"/>
  <c r="G734" i="1" s="1"/>
  <c r="A735" i="1"/>
  <c r="B735" i="1" s="1"/>
  <c r="C735" i="1"/>
  <c r="D735" i="1"/>
  <c r="E735" i="1"/>
  <c r="F735" i="1"/>
  <c r="G735" i="1" s="1"/>
  <c r="A736" i="1"/>
  <c r="B736" i="1" s="1"/>
  <c r="C736" i="1"/>
  <c r="D736" i="1"/>
  <c r="E736" i="1"/>
  <c r="F736" i="1"/>
  <c r="G736" i="1" s="1"/>
  <c r="A737" i="1"/>
  <c r="B737" i="1" s="1"/>
  <c r="C737" i="1"/>
  <c r="D737" i="1"/>
  <c r="E737" i="1"/>
  <c r="F737" i="1"/>
  <c r="G737" i="1" s="1"/>
  <c r="A738" i="1"/>
  <c r="B738" i="1" s="1"/>
  <c r="C738" i="1"/>
  <c r="D738" i="1"/>
  <c r="E738" i="1"/>
  <c r="F738" i="1"/>
  <c r="G738" i="1" s="1"/>
  <c r="A739" i="1"/>
  <c r="B739" i="1" s="1"/>
  <c r="C739" i="1"/>
  <c r="D739" i="1"/>
  <c r="E739" i="1"/>
  <c r="F739" i="1"/>
  <c r="G739" i="1" s="1"/>
  <c r="A740" i="1"/>
  <c r="B740" i="1" s="1"/>
  <c r="C740" i="1"/>
  <c r="D740" i="1"/>
  <c r="E740" i="1"/>
  <c r="F740" i="1"/>
  <c r="G740" i="1" s="1"/>
  <c r="A741" i="1"/>
  <c r="B741" i="1" s="1"/>
  <c r="C741" i="1"/>
  <c r="D741" i="1"/>
  <c r="E741" i="1"/>
  <c r="F741" i="1"/>
  <c r="G741" i="1" s="1"/>
  <c r="A742" i="1"/>
  <c r="B742" i="1" s="1"/>
  <c r="C742" i="1"/>
  <c r="D742" i="1"/>
  <c r="E742" i="1"/>
  <c r="F742" i="1"/>
  <c r="G742" i="1" s="1"/>
  <c r="A743" i="1"/>
  <c r="B743" i="1" s="1"/>
  <c r="C743" i="1"/>
  <c r="D743" i="1"/>
  <c r="E743" i="1"/>
  <c r="F743" i="1"/>
  <c r="G743" i="1" s="1"/>
  <c r="A744" i="1"/>
  <c r="B744" i="1"/>
  <c r="C744" i="1"/>
  <c r="D744" i="1"/>
  <c r="E744" i="1"/>
  <c r="F744" i="1"/>
  <c r="G744" i="1" s="1"/>
  <c r="A745" i="1"/>
  <c r="B745" i="1" s="1"/>
  <c r="C745" i="1"/>
  <c r="D745" i="1"/>
  <c r="E745" i="1"/>
  <c r="F745" i="1"/>
  <c r="G745" i="1" s="1"/>
  <c r="A746" i="1"/>
  <c r="B746" i="1" s="1"/>
  <c r="C746" i="1"/>
  <c r="D746" i="1"/>
  <c r="E746" i="1"/>
  <c r="F746" i="1"/>
  <c r="G746" i="1" s="1"/>
  <c r="A747" i="1"/>
  <c r="B747" i="1" s="1"/>
  <c r="C747" i="1"/>
  <c r="D747" i="1"/>
  <c r="E747" i="1"/>
  <c r="F747" i="1"/>
  <c r="G747" i="1" s="1"/>
  <c r="A748" i="1"/>
  <c r="B748" i="1" s="1"/>
  <c r="C748" i="1"/>
  <c r="D748" i="1"/>
  <c r="E748" i="1"/>
  <c r="F748" i="1"/>
  <c r="G748" i="1" s="1"/>
  <c r="A749" i="1"/>
  <c r="B749" i="1" s="1"/>
  <c r="C749" i="1"/>
  <c r="D749" i="1"/>
  <c r="E749" i="1"/>
  <c r="F749" i="1"/>
  <c r="G749" i="1"/>
  <c r="A750" i="1"/>
  <c r="B750" i="1" s="1"/>
  <c r="C750" i="1"/>
  <c r="D750" i="1"/>
  <c r="E750" i="1"/>
  <c r="F750" i="1"/>
  <c r="G750" i="1" s="1"/>
  <c r="A751" i="1"/>
  <c r="B751" i="1" s="1"/>
  <c r="C751" i="1"/>
  <c r="D751" i="1"/>
  <c r="E751" i="1"/>
  <c r="F751" i="1"/>
  <c r="G751" i="1" s="1"/>
  <c r="A752" i="1"/>
  <c r="B752" i="1" s="1"/>
  <c r="C752" i="1"/>
  <c r="D752" i="1"/>
  <c r="E752" i="1"/>
  <c r="F752" i="1"/>
  <c r="G752" i="1" s="1"/>
  <c r="A753" i="1"/>
  <c r="B753" i="1" s="1"/>
  <c r="C753" i="1"/>
  <c r="D753" i="1"/>
  <c r="E753" i="1"/>
  <c r="F753" i="1"/>
  <c r="G753" i="1" s="1"/>
  <c r="A754" i="1"/>
  <c r="B754" i="1"/>
  <c r="C754" i="1"/>
  <c r="D754" i="1"/>
  <c r="E754" i="1"/>
  <c r="F754" i="1"/>
  <c r="G754" i="1" s="1"/>
  <c r="A755" i="1"/>
  <c r="B755" i="1" s="1"/>
  <c r="C755" i="1"/>
  <c r="D755" i="1"/>
  <c r="E755" i="1"/>
  <c r="F755" i="1"/>
  <c r="G755" i="1"/>
  <c r="A756" i="1"/>
  <c r="B756" i="1"/>
  <c r="C756" i="1"/>
  <c r="D756" i="1"/>
  <c r="E756" i="1"/>
  <c r="F756" i="1"/>
  <c r="G756" i="1" s="1"/>
  <c r="A757" i="1"/>
  <c r="B757" i="1" s="1"/>
  <c r="C757" i="1"/>
  <c r="D757" i="1"/>
  <c r="E757" i="1"/>
  <c r="F757" i="1"/>
  <c r="G757" i="1" s="1"/>
  <c r="A758" i="1"/>
  <c r="B758" i="1" s="1"/>
  <c r="C758" i="1"/>
  <c r="D758" i="1"/>
  <c r="E758" i="1"/>
  <c r="F758" i="1"/>
  <c r="G758" i="1" s="1"/>
  <c r="A759" i="1"/>
  <c r="B759" i="1" s="1"/>
  <c r="C759" i="1"/>
  <c r="D759" i="1"/>
  <c r="E759" i="1"/>
  <c r="F759" i="1"/>
  <c r="G759" i="1" s="1"/>
  <c r="A760" i="1"/>
  <c r="B760" i="1" s="1"/>
  <c r="C760" i="1"/>
  <c r="D760" i="1"/>
  <c r="E760" i="1"/>
  <c r="F760" i="1"/>
  <c r="G760" i="1" s="1"/>
  <c r="A761" i="1"/>
  <c r="B761" i="1" s="1"/>
  <c r="C761" i="1"/>
  <c r="D761" i="1"/>
  <c r="E761" i="1"/>
  <c r="F761" i="1"/>
  <c r="G761" i="1" s="1"/>
  <c r="A762" i="1"/>
  <c r="B762" i="1" s="1"/>
  <c r="C762" i="1"/>
  <c r="D762" i="1"/>
  <c r="E762" i="1"/>
  <c r="F762" i="1"/>
  <c r="G762" i="1" s="1"/>
  <c r="A763" i="1"/>
  <c r="B763" i="1" s="1"/>
  <c r="C763" i="1"/>
  <c r="D763" i="1"/>
  <c r="E763" i="1"/>
  <c r="F763" i="1"/>
  <c r="G763" i="1" s="1"/>
  <c r="A764" i="1"/>
  <c r="B764" i="1" s="1"/>
  <c r="C764" i="1"/>
  <c r="D764" i="1"/>
  <c r="E764" i="1"/>
  <c r="F764" i="1"/>
  <c r="G764" i="1" s="1"/>
  <c r="A765" i="1"/>
  <c r="B765" i="1"/>
  <c r="C765" i="1"/>
  <c r="D765" i="1"/>
  <c r="E765" i="1"/>
  <c r="F765" i="1"/>
  <c r="G765" i="1" s="1"/>
  <c r="A766" i="1"/>
  <c r="B766" i="1"/>
  <c r="C766" i="1"/>
  <c r="D766" i="1"/>
  <c r="E766" i="1"/>
  <c r="F766" i="1"/>
  <c r="G766" i="1" s="1"/>
  <c r="A767" i="1"/>
  <c r="B767" i="1" s="1"/>
  <c r="C767" i="1"/>
  <c r="D767" i="1"/>
  <c r="E767" i="1"/>
  <c r="F767" i="1"/>
  <c r="G767" i="1" s="1"/>
  <c r="A768" i="1"/>
  <c r="B768" i="1"/>
  <c r="C768" i="1"/>
  <c r="D768" i="1"/>
  <c r="E768" i="1"/>
  <c r="F768" i="1"/>
  <c r="G768" i="1" s="1"/>
  <c r="A769" i="1"/>
  <c r="B769" i="1" s="1"/>
  <c r="C769" i="1"/>
  <c r="D769" i="1"/>
  <c r="E769" i="1"/>
  <c r="F769" i="1"/>
  <c r="G769" i="1" s="1"/>
  <c r="A770" i="1"/>
  <c r="B770" i="1" s="1"/>
  <c r="C770" i="1"/>
  <c r="D770" i="1"/>
  <c r="E770" i="1"/>
  <c r="F770" i="1"/>
  <c r="G770" i="1" s="1"/>
  <c r="A771" i="1"/>
  <c r="B771" i="1" s="1"/>
  <c r="C771" i="1"/>
  <c r="D771" i="1"/>
  <c r="E771" i="1"/>
  <c r="F771" i="1"/>
  <c r="G771" i="1" s="1"/>
  <c r="A772" i="1"/>
  <c r="B772" i="1"/>
  <c r="C772" i="1"/>
  <c r="D772" i="1"/>
  <c r="E772" i="1"/>
  <c r="F772" i="1"/>
  <c r="G772" i="1" s="1"/>
  <c r="A773" i="1"/>
  <c r="B773" i="1" s="1"/>
  <c r="C773" i="1"/>
  <c r="D773" i="1"/>
  <c r="E773" i="1"/>
  <c r="F773" i="1"/>
  <c r="G773" i="1" s="1"/>
  <c r="A774" i="1"/>
  <c r="B774" i="1"/>
  <c r="C774" i="1"/>
  <c r="D774" i="1"/>
  <c r="E774" i="1"/>
  <c r="F774" i="1"/>
  <c r="G774" i="1" s="1"/>
  <c r="A775" i="1"/>
  <c r="B775" i="1" s="1"/>
  <c r="C775" i="1"/>
  <c r="D775" i="1"/>
  <c r="E775" i="1"/>
  <c r="F775" i="1"/>
  <c r="G775" i="1" s="1"/>
  <c r="A776" i="1"/>
  <c r="B776" i="1" s="1"/>
  <c r="C776" i="1"/>
  <c r="D776" i="1"/>
  <c r="E776" i="1"/>
  <c r="F776" i="1"/>
  <c r="G776" i="1" s="1"/>
  <c r="A777" i="1"/>
  <c r="B777" i="1"/>
  <c r="C777" i="1"/>
  <c r="D777" i="1"/>
  <c r="E777" i="1"/>
  <c r="F777" i="1"/>
  <c r="G777" i="1" s="1"/>
  <c r="A778" i="1"/>
  <c r="B778" i="1" s="1"/>
  <c r="C778" i="1"/>
  <c r="D778" i="1"/>
  <c r="E778" i="1"/>
  <c r="F778" i="1"/>
  <c r="G778" i="1" s="1"/>
  <c r="A779" i="1"/>
  <c r="B779" i="1" s="1"/>
  <c r="C779" i="1"/>
  <c r="D779" i="1"/>
  <c r="E779" i="1"/>
  <c r="F779" i="1"/>
  <c r="G779" i="1" s="1"/>
  <c r="A780" i="1"/>
  <c r="B780" i="1" s="1"/>
  <c r="C780" i="1"/>
  <c r="D780" i="1"/>
  <c r="E780" i="1"/>
  <c r="F780" i="1"/>
  <c r="G780" i="1" s="1"/>
  <c r="A781" i="1"/>
  <c r="B781" i="1"/>
  <c r="C781" i="1"/>
  <c r="D781" i="1"/>
  <c r="E781" i="1"/>
  <c r="F781" i="1"/>
  <c r="G781" i="1" s="1"/>
  <c r="A782" i="1"/>
  <c r="B782" i="1" s="1"/>
  <c r="C782" i="1"/>
  <c r="D782" i="1"/>
  <c r="E782" i="1"/>
  <c r="F782" i="1"/>
  <c r="G782" i="1"/>
  <c r="A783" i="1"/>
  <c r="B783" i="1" s="1"/>
  <c r="C783" i="1"/>
  <c r="D783" i="1"/>
  <c r="E783" i="1"/>
  <c r="F783" i="1"/>
  <c r="G783" i="1" s="1"/>
  <c r="A784" i="1"/>
  <c r="B784" i="1" s="1"/>
  <c r="C784" i="1"/>
  <c r="D784" i="1"/>
  <c r="E784" i="1"/>
  <c r="F784" i="1"/>
  <c r="G784" i="1" s="1"/>
  <c r="A785" i="1"/>
  <c r="B785" i="1" s="1"/>
  <c r="C785" i="1"/>
  <c r="D785" i="1"/>
  <c r="E785" i="1"/>
  <c r="F785" i="1"/>
  <c r="G785" i="1" s="1"/>
  <c r="A786" i="1"/>
  <c r="B786" i="1" s="1"/>
  <c r="C786" i="1"/>
  <c r="D786" i="1"/>
  <c r="E786" i="1"/>
  <c r="F786" i="1"/>
  <c r="G786" i="1" s="1"/>
  <c r="A787" i="1"/>
  <c r="B787" i="1" s="1"/>
  <c r="C787" i="1"/>
  <c r="D787" i="1"/>
  <c r="E787" i="1"/>
  <c r="F787" i="1"/>
  <c r="G787" i="1" s="1"/>
  <c r="A788" i="1"/>
  <c r="B788" i="1" s="1"/>
  <c r="C788" i="1"/>
  <c r="D788" i="1"/>
  <c r="E788" i="1"/>
  <c r="F788" i="1"/>
  <c r="G788" i="1" s="1"/>
  <c r="A789" i="1"/>
  <c r="B789" i="1" s="1"/>
  <c r="C789" i="1"/>
  <c r="D789" i="1"/>
  <c r="E789" i="1"/>
  <c r="F789" i="1"/>
  <c r="G789" i="1" s="1"/>
  <c r="A790" i="1"/>
  <c r="B790" i="1" s="1"/>
  <c r="C790" i="1"/>
  <c r="D790" i="1"/>
  <c r="E790" i="1"/>
  <c r="F790" i="1"/>
  <c r="G790" i="1" s="1"/>
  <c r="A791" i="1"/>
  <c r="B791" i="1" s="1"/>
  <c r="C791" i="1"/>
  <c r="D791" i="1"/>
  <c r="E791" i="1"/>
  <c r="F791" i="1"/>
  <c r="G791" i="1"/>
  <c r="A792" i="1"/>
  <c r="B792" i="1"/>
  <c r="C792" i="1"/>
  <c r="D792" i="1"/>
  <c r="E792" i="1"/>
  <c r="F792" i="1"/>
  <c r="G792" i="1" s="1"/>
  <c r="A793" i="1"/>
  <c r="B793" i="1" s="1"/>
  <c r="C793" i="1"/>
  <c r="D793" i="1"/>
  <c r="E793" i="1"/>
  <c r="F793" i="1"/>
  <c r="G793" i="1" s="1"/>
  <c r="A794" i="1"/>
  <c r="B794" i="1" s="1"/>
  <c r="C794" i="1"/>
  <c r="D794" i="1"/>
  <c r="E794" i="1"/>
  <c r="F794" i="1"/>
  <c r="G794" i="1" s="1"/>
  <c r="A795" i="1"/>
  <c r="B795" i="1" s="1"/>
  <c r="C795" i="1"/>
  <c r="D795" i="1"/>
  <c r="E795" i="1"/>
  <c r="F795" i="1"/>
  <c r="G795" i="1" s="1"/>
  <c r="A796" i="1"/>
  <c r="B796" i="1" s="1"/>
  <c r="C796" i="1"/>
  <c r="D796" i="1"/>
  <c r="E796" i="1"/>
  <c r="F796" i="1"/>
  <c r="G796" i="1" s="1"/>
  <c r="A797" i="1"/>
  <c r="B797" i="1" s="1"/>
  <c r="C797" i="1"/>
  <c r="D797" i="1"/>
  <c r="E797" i="1"/>
  <c r="F797" i="1"/>
  <c r="G797" i="1" s="1"/>
  <c r="A798" i="1"/>
  <c r="B798" i="1"/>
  <c r="C798" i="1"/>
  <c r="D798" i="1"/>
  <c r="E798" i="1"/>
  <c r="F798" i="1"/>
  <c r="G798" i="1" s="1"/>
  <c r="A799" i="1"/>
  <c r="B799" i="1"/>
  <c r="C799" i="1"/>
  <c r="D799" i="1"/>
  <c r="E799" i="1"/>
  <c r="F799" i="1"/>
  <c r="G799" i="1" s="1"/>
  <c r="A800" i="1"/>
  <c r="B800" i="1" s="1"/>
  <c r="C800" i="1"/>
  <c r="D800" i="1"/>
  <c r="E800" i="1"/>
  <c r="F800" i="1"/>
  <c r="G800" i="1" s="1"/>
  <c r="A801" i="1"/>
  <c r="B801" i="1" s="1"/>
  <c r="C801" i="1"/>
  <c r="D801" i="1"/>
  <c r="E801" i="1"/>
  <c r="F801" i="1"/>
  <c r="G801" i="1" s="1"/>
  <c r="A802" i="1"/>
  <c r="B802" i="1" s="1"/>
  <c r="C802" i="1"/>
  <c r="D802" i="1"/>
  <c r="E802" i="1"/>
  <c r="F802" i="1"/>
  <c r="G802" i="1" s="1"/>
  <c r="A803" i="1"/>
  <c r="B803" i="1" s="1"/>
  <c r="C803" i="1"/>
  <c r="D803" i="1"/>
  <c r="E803" i="1"/>
  <c r="F803" i="1"/>
  <c r="G803" i="1" s="1"/>
  <c r="A804" i="1"/>
  <c r="B804" i="1" s="1"/>
  <c r="C804" i="1"/>
  <c r="D804" i="1"/>
  <c r="E804" i="1"/>
  <c r="F804" i="1"/>
  <c r="G804" i="1" s="1"/>
  <c r="A805" i="1"/>
  <c r="B805" i="1"/>
  <c r="C805" i="1"/>
  <c r="D805" i="1"/>
  <c r="E805" i="1"/>
  <c r="F805" i="1"/>
  <c r="G805" i="1" s="1"/>
  <c r="A806" i="1"/>
  <c r="B806" i="1" s="1"/>
  <c r="C806" i="1"/>
  <c r="D806" i="1"/>
  <c r="E806" i="1"/>
  <c r="F806" i="1"/>
  <c r="G806" i="1" s="1"/>
  <c r="A807" i="1"/>
  <c r="B807" i="1" s="1"/>
  <c r="C807" i="1"/>
  <c r="D807" i="1"/>
  <c r="E807" i="1"/>
  <c r="F807" i="1"/>
  <c r="G807" i="1" s="1"/>
  <c r="A808" i="1"/>
  <c r="B808" i="1"/>
  <c r="C808" i="1"/>
  <c r="D808" i="1"/>
  <c r="E808" i="1"/>
  <c r="F808" i="1"/>
  <c r="G808" i="1" s="1"/>
  <c r="A809" i="1"/>
  <c r="B809" i="1" s="1"/>
  <c r="C809" i="1"/>
  <c r="D809" i="1"/>
  <c r="E809" i="1"/>
  <c r="F809" i="1"/>
  <c r="G809" i="1" s="1"/>
  <c r="A810" i="1"/>
  <c r="B810" i="1"/>
  <c r="C810" i="1"/>
  <c r="D810" i="1"/>
  <c r="E810" i="1"/>
  <c r="F810" i="1"/>
  <c r="G810" i="1" s="1"/>
  <c r="A811" i="1"/>
  <c r="B811" i="1" s="1"/>
  <c r="C811" i="1"/>
  <c r="D811" i="1"/>
  <c r="E811" i="1"/>
  <c r="F811" i="1"/>
  <c r="G811" i="1" s="1"/>
  <c r="A812" i="1"/>
  <c r="B812" i="1" s="1"/>
  <c r="C812" i="1"/>
  <c r="D812" i="1"/>
  <c r="E812" i="1"/>
  <c r="F812" i="1"/>
  <c r="G812" i="1" s="1"/>
  <c r="A813" i="1"/>
  <c r="B813" i="1" s="1"/>
  <c r="C813" i="1"/>
  <c r="D813" i="1"/>
  <c r="E813" i="1"/>
  <c r="F813" i="1"/>
  <c r="G813" i="1" s="1"/>
  <c r="A814" i="1"/>
  <c r="B814" i="1" s="1"/>
  <c r="C814" i="1"/>
  <c r="D814" i="1"/>
  <c r="E814" i="1"/>
  <c r="F814" i="1"/>
  <c r="G814" i="1" s="1"/>
  <c r="A815" i="1"/>
  <c r="B815" i="1" s="1"/>
  <c r="C815" i="1"/>
  <c r="D815" i="1"/>
  <c r="E815" i="1"/>
  <c r="F815" i="1"/>
  <c r="G815" i="1" s="1"/>
  <c r="A816" i="1"/>
  <c r="B816" i="1" s="1"/>
  <c r="C816" i="1"/>
  <c r="D816" i="1"/>
  <c r="E816" i="1"/>
  <c r="F816" i="1"/>
  <c r="G816" i="1" s="1"/>
  <c r="A817" i="1"/>
  <c r="B817" i="1"/>
  <c r="C817" i="1"/>
  <c r="D817" i="1"/>
  <c r="E817" i="1"/>
  <c r="F817" i="1"/>
  <c r="G817" i="1" s="1"/>
  <c r="A818" i="1"/>
  <c r="B818" i="1" s="1"/>
  <c r="C818" i="1"/>
  <c r="D818" i="1"/>
  <c r="E818" i="1"/>
  <c r="F818" i="1"/>
  <c r="G818" i="1" s="1"/>
  <c r="A819" i="1"/>
  <c r="B819" i="1" s="1"/>
  <c r="C819" i="1"/>
  <c r="D819" i="1"/>
  <c r="E819" i="1"/>
  <c r="F819" i="1"/>
  <c r="G819" i="1" s="1"/>
  <c r="A820" i="1"/>
  <c r="B820" i="1" s="1"/>
  <c r="C820" i="1"/>
  <c r="D820" i="1"/>
  <c r="E820" i="1"/>
  <c r="F820" i="1"/>
  <c r="G820" i="1" s="1"/>
  <c r="A821" i="1"/>
  <c r="B821" i="1" s="1"/>
  <c r="C821" i="1"/>
  <c r="D821" i="1"/>
  <c r="E821" i="1"/>
  <c r="F821" i="1"/>
  <c r="G821" i="1" s="1"/>
  <c r="A822" i="1"/>
  <c r="B822" i="1" s="1"/>
  <c r="C822" i="1"/>
  <c r="D822" i="1"/>
  <c r="E822" i="1"/>
  <c r="F822" i="1"/>
  <c r="G822" i="1" s="1"/>
  <c r="A823" i="1"/>
  <c r="B823" i="1" s="1"/>
  <c r="C823" i="1"/>
  <c r="D823" i="1"/>
  <c r="E823" i="1"/>
  <c r="F823" i="1"/>
  <c r="G823" i="1" s="1"/>
  <c r="A824" i="1"/>
  <c r="B824" i="1" s="1"/>
  <c r="C824" i="1"/>
  <c r="D824" i="1"/>
  <c r="E824" i="1"/>
  <c r="F824" i="1"/>
  <c r="G824" i="1" s="1"/>
  <c r="A825" i="1"/>
  <c r="B825" i="1" s="1"/>
  <c r="C825" i="1"/>
  <c r="D825" i="1"/>
  <c r="E825" i="1"/>
  <c r="F825" i="1"/>
  <c r="G825" i="1" s="1"/>
  <c r="A826" i="1"/>
  <c r="B826" i="1" s="1"/>
  <c r="C826" i="1"/>
  <c r="D826" i="1"/>
  <c r="E826" i="1"/>
  <c r="F826" i="1"/>
  <c r="G826" i="1" s="1"/>
  <c r="A827" i="1"/>
  <c r="B827" i="1" s="1"/>
  <c r="C827" i="1"/>
  <c r="D827" i="1"/>
  <c r="E827" i="1"/>
  <c r="F827" i="1"/>
  <c r="G827" i="1" s="1"/>
  <c r="A828" i="1"/>
  <c r="B828" i="1" s="1"/>
  <c r="C828" i="1"/>
  <c r="D828" i="1"/>
  <c r="E828" i="1"/>
  <c r="F828" i="1"/>
  <c r="G828" i="1" s="1"/>
  <c r="A829" i="1"/>
  <c r="B829" i="1" s="1"/>
  <c r="C829" i="1"/>
  <c r="D829" i="1"/>
  <c r="E829" i="1"/>
  <c r="F829" i="1"/>
  <c r="G829" i="1" s="1"/>
  <c r="A830" i="1"/>
  <c r="B830" i="1" s="1"/>
  <c r="C830" i="1"/>
  <c r="D830" i="1"/>
  <c r="E830" i="1"/>
  <c r="F830" i="1"/>
  <c r="G830" i="1" s="1"/>
  <c r="A831" i="1"/>
  <c r="B831" i="1" s="1"/>
  <c r="C831" i="1"/>
  <c r="D831" i="1"/>
  <c r="E831" i="1"/>
  <c r="F831" i="1"/>
  <c r="G831" i="1" s="1"/>
  <c r="A832" i="1"/>
  <c r="B832" i="1" s="1"/>
  <c r="C832" i="1"/>
  <c r="D832" i="1"/>
  <c r="E832" i="1"/>
  <c r="F832" i="1"/>
  <c r="G832" i="1" s="1"/>
  <c r="A833" i="1"/>
  <c r="B833" i="1" s="1"/>
  <c r="C833" i="1"/>
  <c r="D833" i="1"/>
  <c r="E833" i="1"/>
  <c r="F833" i="1"/>
  <c r="G833" i="1" s="1"/>
  <c r="A834" i="1"/>
  <c r="B834" i="1" s="1"/>
  <c r="C834" i="1"/>
  <c r="D834" i="1"/>
  <c r="E834" i="1"/>
  <c r="F834" i="1"/>
  <c r="G834" i="1" s="1"/>
  <c r="A835" i="1"/>
  <c r="B835" i="1" s="1"/>
  <c r="C835" i="1"/>
  <c r="D835" i="1"/>
  <c r="E835" i="1"/>
  <c r="F835" i="1"/>
  <c r="G835" i="1" s="1"/>
  <c r="A836" i="1"/>
  <c r="B836" i="1"/>
  <c r="C836" i="1"/>
  <c r="D836" i="1"/>
  <c r="E836" i="1"/>
  <c r="F836" i="1"/>
  <c r="G836" i="1" s="1"/>
  <c r="A837" i="1"/>
  <c r="B837" i="1" s="1"/>
  <c r="C837" i="1"/>
  <c r="D837" i="1"/>
  <c r="E837" i="1"/>
  <c r="F837" i="1"/>
  <c r="G837" i="1" s="1"/>
  <c r="A838" i="1"/>
  <c r="B838" i="1" s="1"/>
  <c r="C838" i="1"/>
  <c r="D838" i="1"/>
  <c r="E838" i="1"/>
  <c r="F838" i="1"/>
  <c r="G838" i="1" s="1"/>
  <c r="A839" i="1"/>
  <c r="B839" i="1" s="1"/>
  <c r="C839" i="1"/>
  <c r="D839" i="1"/>
  <c r="E839" i="1"/>
  <c r="F839" i="1"/>
  <c r="G839" i="1" s="1"/>
  <c r="A840" i="1"/>
  <c r="B840" i="1" s="1"/>
  <c r="C840" i="1"/>
  <c r="D840" i="1"/>
  <c r="E840" i="1"/>
  <c r="F840" i="1"/>
  <c r="G840" i="1"/>
  <c r="A841" i="1"/>
  <c r="B841" i="1" s="1"/>
  <c r="C841" i="1"/>
  <c r="D841" i="1"/>
  <c r="E841" i="1"/>
  <c r="F841" i="1"/>
  <c r="G841" i="1" s="1"/>
  <c r="A842" i="1"/>
  <c r="B842" i="1" s="1"/>
  <c r="C842" i="1"/>
  <c r="D842" i="1"/>
  <c r="E842" i="1"/>
  <c r="F842" i="1"/>
  <c r="G842" i="1" s="1"/>
  <c r="A843" i="1"/>
  <c r="B843" i="1" s="1"/>
  <c r="C843" i="1"/>
  <c r="D843" i="1"/>
  <c r="E843" i="1"/>
  <c r="F843" i="1"/>
  <c r="G843" i="1" s="1"/>
  <c r="A844" i="1"/>
  <c r="B844" i="1" s="1"/>
  <c r="C844" i="1"/>
  <c r="D844" i="1"/>
  <c r="E844" i="1"/>
  <c r="F844" i="1"/>
  <c r="G844" i="1" s="1"/>
  <c r="A845" i="1"/>
  <c r="B845" i="1" s="1"/>
  <c r="C845" i="1"/>
  <c r="D845" i="1"/>
  <c r="E845" i="1"/>
  <c r="F845" i="1"/>
  <c r="G845" i="1" s="1"/>
  <c r="A846" i="1"/>
  <c r="B846" i="1" s="1"/>
  <c r="C846" i="1"/>
  <c r="D846" i="1"/>
  <c r="E846" i="1"/>
  <c r="F846" i="1"/>
  <c r="G846" i="1" s="1"/>
  <c r="A847" i="1"/>
  <c r="B847" i="1"/>
  <c r="C847" i="1"/>
  <c r="D847" i="1"/>
  <c r="E847" i="1"/>
  <c r="F847" i="1"/>
  <c r="G847" i="1" s="1"/>
  <c r="A848" i="1"/>
  <c r="B848" i="1" s="1"/>
  <c r="C848" i="1"/>
  <c r="D848" i="1"/>
  <c r="E848" i="1"/>
  <c r="F848" i="1"/>
  <c r="G848" i="1" s="1"/>
  <c r="A849" i="1"/>
  <c r="B849" i="1" s="1"/>
  <c r="C849" i="1"/>
  <c r="D849" i="1"/>
  <c r="E849" i="1"/>
  <c r="F849" i="1"/>
  <c r="G849" i="1" s="1"/>
  <c r="A850" i="1"/>
  <c r="B850" i="1" s="1"/>
  <c r="C850" i="1"/>
  <c r="D850" i="1"/>
  <c r="E850" i="1"/>
  <c r="F850" i="1"/>
  <c r="G850" i="1" s="1"/>
  <c r="A851" i="1"/>
  <c r="B851" i="1"/>
  <c r="C851" i="1"/>
  <c r="D851" i="1"/>
  <c r="E851" i="1"/>
  <c r="F851" i="1"/>
  <c r="G851" i="1" s="1"/>
  <c r="A852" i="1"/>
  <c r="B852" i="1" s="1"/>
  <c r="C852" i="1"/>
  <c r="D852" i="1"/>
  <c r="E852" i="1"/>
  <c r="F852" i="1"/>
  <c r="G852" i="1" s="1"/>
  <c r="A853" i="1"/>
  <c r="B853" i="1" s="1"/>
  <c r="C853" i="1"/>
  <c r="D853" i="1"/>
  <c r="E853" i="1"/>
  <c r="F853" i="1"/>
  <c r="G853" i="1" s="1"/>
  <c r="A854" i="1"/>
  <c r="B854" i="1" s="1"/>
  <c r="C854" i="1"/>
  <c r="D854" i="1"/>
  <c r="E854" i="1"/>
  <c r="F854" i="1"/>
  <c r="G854" i="1" s="1"/>
  <c r="A855" i="1"/>
  <c r="B855" i="1" s="1"/>
  <c r="C855" i="1"/>
  <c r="D855" i="1"/>
  <c r="E855" i="1"/>
  <c r="F855" i="1"/>
  <c r="G855" i="1" s="1"/>
  <c r="A856" i="1"/>
  <c r="B856" i="1" s="1"/>
  <c r="C856" i="1"/>
  <c r="D856" i="1"/>
  <c r="E856" i="1"/>
  <c r="F856" i="1"/>
  <c r="G856" i="1" s="1"/>
  <c r="A857" i="1"/>
  <c r="B857" i="1" s="1"/>
  <c r="C857" i="1"/>
  <c r="D857" i="1"/>
  <c r="E857" i="1"/>
  <c r="F857" i="1"/>
  <c r="G857" i="1" s="1"/>
  <c r="A858" i="1"/>
  <c r="B858" i="1" s="1"/>
  <c r="C858" i="1"/>
  <c r="D858" i="1"/>
  <c r="E858" i="1"/>
  <c r="F858" i="1"/>
  <c r="G858" i="1" s="1"/>
  <c r="A859" i="1"/>
  <c r="B859" i="1"/>
  <c r="C859" i="1"/>
  <c r="D859" i="1"/>
  <c r="E859" i="1"/>
  <c r="F859" i="1"/>
  <c r="G859" i="1" s="1"/>
  <c r="A860" i="1"/>
  <c r="B860" i="1"/>
  <c r="C860" i="1"/>
  <c r="D860" i="1"/>
  <c r="E860" i="1"/>
  <c r="F860" i="1"/>
  <c r="G860" i="1"/>
  <c r="A861" i="1"/>
  <c r="B861" i="1" s="1"/>
  <c r="C861" i="1"/>
  <c r="D861" i="1"/>
  <c r="E861" i="1"/>
  <c r="F861" i="1"/>
  <c r="G861" i="1" s="1"/>
  <c r="A862" i="1"/>
  <c r="B862" i="1" s="1"/>
  <c r="C862" i="1"/>
  <c r="D862" i="1"/>
  <c r="E862" i="1"/>
  <c r="F862" i="1"/>
  <c r="G862" i="1" s="1"/>
  <c r="A863" i="1"/>
  <c r="B863" i="1"/>
  <c r="C863" i="1"/>
  <c r="D863" i="1"/>
  <c r="E863" i="1"/>
  <c r="F863" i="1"/>
  <c r="G863" i="1" s="1"/>
  <c r="A864" i="1"/>
  <c r="B864" i="1" s="1"/>
  <c r="C864" i="1"/>
  <c r="D864" i="1"/>
  <c r="E864" i="1"/>
  <c r="F864" i="1"/>
  <c r="G864" i="1" s="1"/>
  <c r="A865" i="1"/>
  <c r="B865" i="1" s="1"/>
  <c r="C865" i="1"/>
  <c r="D865" i="1"/>
  <c r="E865" i="1"/>
  <c r="F865" i="1"/>
  <c r="G865" i="1" s="1"/>
  <c r="A866" i="1"/>
  <c r="B866" i="1" s="1"/>
  <c r="C866" i="1"/>
  <c r="D866" i="1"/>
  <c r="E866" i="1"/>
  <c r="F866" i="1"/>
  <c r="G866" i="1" s="1"/>
  <c r="A867" i="1"/>
  <c r="B867" i="1" s="1"/>
  <c r="C867" i="1"/>
  <c r="D867" i="1"/>
  <c r="E867" i="1"/>
  <c r="F867" i="1"/>
  <c r="G867" i="1" s="1"/>
  <c r="A868" i="1"/>
  <c r="B868" i="1" s="1"/>
  <c r="C868" i="1"/>
  <c r="D868" i="1"/>
  <c r="E868" i="1"/>
  <c r="F868" i="1"/>
  <c r="G868" i="1" s="1"/>
  <c r="A869" i="1"/>
  <c r="B869" i="1" s="1"/>
  <c r="C869" i="1"/>
  <c r="D869" i="1"/>
  <c r="E869" i="1"/>
  <c r="F869" i="1"/>
  <c r="G869" i="1" s="1"/>
  <c r="A870" i="1"/>
  <c r="B870" i="1" s="1"/>
  <c r="C870" i="1"/>
  <c r="D870" i="1"/>
  <c r="E870" i="1"/>
  <c r="F870" i="1"/>
  <c r="G870" i="1" s="1"/>
  <c r="A871" i="1"/>
  <c r="B871" i="1"/>
  <c r="C871" i="1"/>
  <c r="D871" i="1"/>
  <c r="E871" i="1"/>
  <c r="F871" i="1"/>
  <c r="G871" i="1" s="1"/>
  <c r="A872" i="1"/>
  <c r="B872" i="1"/>
  <c r="C872" i="1"/>
  <c r="D872" i="1"/>
  <c r="E872" i="1"/>
  <c r="F872" i="1"/>
  <c r="G872" i="1" s="1"/>
  <c r="A873" i="1"/>
  <c r="B873" i="1" s="1"/>
  <c r="C873" i="1"/>
  <c r="D873" i="1"/>
  <c r="E873" i="1"/>
  <c r="F873" i="1"/>
  <c r="G873" i="1" s="1"/>
  <c r="A874" i="1"/>
  <c r="B874" i="1" s="1"/>
  <c r="C874" i="1"/>
  <c r="D874" i="1"/>
  <c r="E874" i="1"/>
  <c r="F874" i="1"/>
  <c r="G874" i="1" s="1"/>
  <c r="A875" i="1"/>
  <c r="B875" i="1" s="1"/>
  <c r="C875" i="1"/>
  <c r="D875" i="1"/>
  <c r="E875" i="1"/>
  <c r="F875" i="1"/>
  <c r="G875" i="1" s="1"/>
  <c r="A876" i="1"/>
  <c r="B876" i="1" s="1"/>
  <c r="C876" i="1"/>
  <c r="D876" i="1"/>
  <c r="E876" i="1"/>
  <c r="F876" i="1"/>
  <c r="G876" i="1"/>
  <c r="A877" i="1"/>
  <c r="B877" i="1" s="1"/>
  <c r="C877" i="1"/>
  <c r="D877" i="1"/>
  <c r="E877" i="1"/>
  <c r="F877" i="1"/>
  <c r="G877" i="1" s="1"/>
  <c r="A878" i="1"/>
  <c r="B878" i="1" s="1"/>
  <c r="C878" i="1"/>
  <c r="D878" i="1"/>
  <c r="E878" i="1"/>
  <c r="F878" i="1"/>
  <c r="G878" i="1" s="1"/>
  <c r="A879" i="1"/>
  <c r="B879" i="1" s="1"/>
  <c r="C879" i="1"/>
  <c r="D879" i="1"/>
  <c r="E879" i="1"/>
  <c r="F879" i="1"/>
  <c r="G879" i="1" s="1"/>
  <c r="A880" i="1"/>
  <c r="B880" i="1" s="1"/>
  <c r="C880" i="1"/>
  <c r="D880" i="1"/>
  <c r="E880" i="1"/>
  <c r="F880" i="1"/>
  <c r="G880" i="1" s="1"/>
  <c r="A881" i="1"/>
  <c r="B881" i="1" s="1"/>
  <c r="C881" i="1"/>
  <c r="D881" i="1"/>
  <c r="E881" i="1"/>
  <c r="F881" i="1"/>
  <c r="G881" i="1" s="1"/>
  <c r="A882" i="1"/>
  <c r="B882" i="1" s="1"/>
  <c r="C882" i="1"/>
  <c r="D882" i="1"/>
  <c r="E882" i="1"/>
  <c r="F882" i="1"/>
  <c r="G882" i="1" s="1"/>
  <c r="A883" i="1"/>
  <c r="B883" i="1"/>
  <c r="C883" i="1"/>
  <c r="D883" i="1"/>
  <c r="E883" i="1"/>
  <c r="F883" i="1"/>
  <c r="G883" i="1" s="1"/>
  <c r="A884" i="1"/>
  <c r="B884" i="1" s="1"/>
  <c r="C884" i="1"/>
  <c r="D884" i="1"/>
  <c r="E884" i="1"/>
  <c r="F884" i="1"/>
  <c r="G884" i="1" s="1"/>
  <c r="A885" i="1"/>
  <c r="B885" i="1" s="1"/>
  <c r="C885" i="1"/>
  <c r="D885" i="1"/>
  <c r="E885" i="1"/>
  <c r="F885" i="1"/>
  <c r="G885" i="1" s="1"/>
  <c r="A886" i="1"/>
  <c r="B886" i="1" s="1"/>
  <c r="C886" i="1"/>
  <c r="D886" i="1"/>
  <c r="E886" i="1"/>
  <c r="F886" i="1"/>
  <c r="G886" i="1" s="1"/>
  <c r="A887" i="1"/>
  <c r="B887" i="1"/>
  <c r="C887" i="1"/>
  <c r="D887" i="1"/>
  <c r="E887" i="1"/>
  <c r="F887" i="1"/>
  <c r="G887" i="1" s="1"/>
  <c r="A888" i="1"/>
  <c r="B888" i="1" s="1"/>
  <c r="C888" i="1"/>
  <c r="D888" i="1"/>
  <c r="E888" i="1"/>
  <c r="F888" i="1"/>
  <c r="G888" i="1" s="1"/>
  <c r="A889" i="1"/>
  <c r="B889" i="1" s="1"/>
  <c r="C889" i="1"/>
  <c r="D889" i="1"/>
  <c r="E889" i="1"/>
  <c r="F889" i="1"/>
  <c r="G889" i="1" s="1"/>
  <c r="A890" i="1"/>
  <c r="B890" i="1" s="1"/>
  <c r="C890" i="1"/>
  <c r="D890" i="1"/>
  <c r="E890" i="1"/>
  <c r="F890" i="1"/>
  <c r="G890" i="1" s="1"/>
  <c r="A891" i="1"/>
  <c r="B891" i="1" s="1"/>
  <c r="C891" i="1"/>
  <c r="D891" i="1"/>
  <c r="E891" i="1"/>
  <c r="F891" i="1"/>
  <c r="G891" i="1" s="1"/>
  <c r="A892" i="1"/>
  <c r="B892" i="1" s="1"/>
  <c r="C892" i="1"/>
  <c r="D892" i="1"/>
  <c r="E892" i="1"/>
  <c r="F892" i="1"/>
  <c r="G892" i="1" s="1"/>
  <c r="A893" i="1"/>
  <c r="B893" i="1" s="1"/>
  <c r="C893" i="1"/>
  <c r="D893" i="1"/>
  <c r="E893" i="1"/>
  <c r="F893" i="1"/>
  <c r="G893" i="1" s="1"/>
  <c r="A894" i="1"/>
  <c r="B894" i="1" s="1"/>
  <c r="C894" i="1"/>
  <c r="D894" i="1"/>
  <c r="E894" i="1"/>
  <c r="F894" i="1"/>
  <c r="G894" i="1" s="1"/>
  <c r="A895" i="1"/>
  <c r="B895" i="1"/>
  <c r="C895" i="1"/>
  <c r="D895" i="1"/>
  <c r="E895" i="1"/>
  <c r="F895" i="1"/>
  <c r="G895" i="1" s="1"/>
  <c r="A896" i="1"/>
  <c r="B896" i="1" s="1"/>
  <c r="C896" i="1"/>
  <c r="D896" i="1"/>
  <c r="E896" i="1"/>
  <c r="F896" i="1"/>
  <c r="G896" i="1" s="1"/>
  <c r="A897" i="1"/>
  <c r="B897" i="1" s="1"/>
  <c r="C897" i="1"/>
  <c r="D897" i="1"/>
  <c r="E897" i="1"/>
  <c r="F897" i="1"/>
  <c r="G897" i="1" s="1"/>
  <c r="A898" i="1"/>
  <c r="B898" i="1" s="1"/>
  <c r="C898" i="1"/>
  <c r="D898" i="1"/>
  <c r="E898" i="1"/>
  <c r="F898" i="1"/>
  <c r="G898" i="1" s="1"/>
  <c r="A899" i="1"/>
  <c r="B899" i="1" s="1"/>
  <c r="C899" i="1"/>
  <c r="D899" i="1"/>
  <c r="E899" i="1"/>
  <c r="F899" i="1"/>
  <c r="G899" i="1" s="1"/>
  <c r="A900" i="1"/>
  <c r="B900" i="1" s="1"/>
  <c r="C900" i="1"/>
  <c r="D900" i="1"/>
  <c r="E900" i="1"/>
  <c r="F900" i="1"/>
  <c r="G900" i="1" s="1"/>
  <c r="A901" i="1"/>
  <c r="B901" i="1" s="1"/>
  <c r="C901" i="1"/>
  <c r="D901" i="1"/>
  <c r="E901" i="1"/>
  <c r="F901" i="1"/>
  <c r="G901" i="1" s="1"/>
  <c r="A902" i="1"/>
  <c r="B902" i="1" s="1"/>
  <c r="C902" i="1"/>
  <c r="D902" i="1"/>
  <c r="E902" i="1"/>
  <c r="F902" i="1"/>
  <c r="G902" i="1" s="1"/>
  <c r="A903" i="1"/>
  <c r="B903" i="1" s="1"/>
  <c r="C903" i="1"/>
  <c r="D903" i="1"/>
  <c r="E903" i="1"/>
  <c r="F903" i="1"/>
  <c r="G903" i="1" s="1"/>
  <c r="A904" i="1"/>
  <c r="B904" i="1" s="1"/>
  <c r="C904" i="1"/>
  <c r="D904" i="1"/>
  <c r="E904" i="1"/>
  <c r="F904" i="1"/>
  <c r="G904" i="1" s="1"/>
  <c r="A905" i="1"/>
  <c r="B905" i="1" s="1"/>
  <c r="C905" i="1"/>
  <c r="D905" i="1"/>
  <c r="E905" i="1"/>
  <c r="F905" i="1"/>
  <c r="G905" i="1" s="1"/>
  <c r="A906" i="1"/>
  <c r="B906" i="1" s="1"/>
  <c r="C906" i="1"/>
  <c r="D906" i="1"/>
  <c r="E906" i="1"/>
  <c r="F906" i="1"/>
  <c r="G906" i="1" s="1"/>
  <c r="A907" i="1"/>
  <c r="B907" i="1" s="1"/>
  <c r="C907" i="1"/>
  <c r="D907" i="1"/>
  <c r="E907" i="1"/>
  <c r="F907" i="1"/>
  <c r="G907" i="1" s="1"/>
  <c r="A908" i="1"/>
  <c r="B908" i="1" s="1"/>
  <c r="C908" i="1"/>
  <c r="D908" i="1"/>
  <c r="E908" i="1"/>
  <c r="F908" i="1"/>
  <c r="G908" i="1" s="1"/>
  <c r="A909" i="1"/>
  <c r="B909" i="1" s="1"/>
  <c r="C909" i="1"/>
  <c r="D909" i="1"/>
  <c r="E909" i="1"/>
  <c r="F909" i="1"/>
  <c r="G909" i="1" s="1"/>
  <c r="A910" i="1"/>
  <c r="B910" i="1" s="1"/>
  <c r="C910" i="1"/>
  <c r="D910" i="1"/>
  <c r="E910" i="1"/>
  <c r="F910" i="1"/>
  <c r="G910" i="1" s="1"/>
  <c r="A911" i="1"/>
  <c r="B911" i="1"/>
  <c r="C911" i="1"/>
  <c r="D911" i="1"/>
  <c r="E911" i="1"/>
  <c r="F911" i="1"/>
  <c r="G911" i="1" s="1"/>
  <c r="A912" i="1"/>
  <c r="B912" i="1" s="1"/>
  <c r="C912" i="1"/>
  <c r="D912" i="1"/>
  <c r="E912" i="1"/>
  <c r="F912" i="1"/>
  <c r="G912" i="1" s="1"/>
  <c r="A913" i="1"/>
  <c r="B913" i="1" s="1"/>
  <c r="C913" i="1"/>
  <c r="D913" i="1"/>
  <c r="E913" i="1"/>
  <c r="F913" i="1"/>
  <c r="G913" i="1" s="1"/>
  <c r="A914" i="1"/>
  <c r="B914" i="1" s="1"/>
  <c r="C914" i="1"/>
  <c r="D914" i="1"/>
  <c r="E914" i="1"/>
  <c r="F914" i="1"/>
  <c r="G914" i="1" s="1"/>
  <c r="A915" i="1"/>
  <c r="B915" i="1" s="1"/>
  <c r="C915" i="1"/>
  <c r="D915" i="1"/>
  <c r="E915" i="1"/>
  <c r="F915" i="1"/>
  <c r="G915" i="1" s="1"/>
  <c r="A916" i="1"/>
  <c r="B916" i="1" s="1"/>
  <c r="C916" i="1"/>
  <c r="D916" i="1"/>
  <c r="E916" i="1"/>
  <c r="F916" i="1"/>
  <c r="G916" i="1" s="1"/>
  <c r="A917" i="1"/>
  <c r="B917" i="1" s="1"/>
  <c r="C917" i="1"/>
  <c r="D917" i="1"/>
  <c r="E917" i="1"/>
  <c r="F917" i="1"/>
  <c r="G917" i="1" s="1"/>
  <c r="A918" i="1"/>
  <c r="B918" i="1" s="1"/>
  <c r="C918" i="1"/>
  <c r="D918" i="1"/>
  <c r="E918" i="1"/>
  <c r="F918" i="1"/>
  <c r="G918" i="1" s="1"/>
  <c r="A919" i="1"/>
  <c r="B919" i="1"/>
  <c r="C919" i="1"/>
  <c r="D919" i="1"/>
  <c r="E919" i="1"/>
  <c r="F919" i="1"/>
  <c r="G919" i="1" s="1"/>
  <c r="A920" i="1"/>
  <c r="B920" i="1"/>
  <c r="C920" i="1"/>
  <c r="D920" i="1"/>
  <c r="E920" i="1"/>
  <c r="F920" i="1"/>
  <c r="G920" i="1" s="1"/>
  <c r="A921" i="1"/>
  <c r="B921" i="1" s="1"/>
  <c r="C921" i="1"/>
  <c r="D921" i="1"/>
  <c r="E921" i="1"/>
  <c r="F921" i="1"/>
  <c r="G921" i="1" s="1"/>
  <c r="A922" i="1"/>
  <c r="B922" i="1"/>
  <c r="C922" i="1"/>
  <c r="D922" i="1"/>
  <c r="E922" i="1"/>
  <c r="F922" i="1"/>
  <c r="G922" i="1" s="1"/>
  <c r="A923" i="1"/>
  <c r="B923" i="1"/>
  <c r="C923" i="1"/>
  <c r="D923" i="1"/>
  <c r="E923" i="1"/>
  <c r="F923" i="1"/>
  <c r="G923" i="1" s="1"/>
  <c r="A924" i="1"/>
  <c r="B924" i="1" s="1"/>
  <c r="C924" i="1"/>
  <c r="D924" i="1"/>
  <c r="E924" i="1"/>
  <c r="F924" i="1"/>
  <c r="G924" i="1" s="1"/>
  <c r="A925" i="1"/>
  <c r="B925" i="1" s="1"/>
  <c r="C925" i="1"/>
  <c r="D925" i="1"/>
  <c r="E925" i="1"/>
  <c r="F925" i="1"/>
  <c r="G925" i="1" s="1"/>
  <c r="A926" i="1"/>
  <c r="B926" i="1"/>
  <c r="C926" i="1"/>
  <c r="D926" i="1"/>
  <c r="E926" i="1"/>
  <c r="F926" i="1"/>
  <c r="G926" i="1" s="1"/>
  <c r="A927" i="1"/>
  <c r="B927" i="1" s="1"/>
  <c r="C927" i="1"/>
  <c r="D927" i="1"/>
  <c r="E927" i="1"/>
  <c r="F927" i="1"/>
  <c r="G927" i="1" s="1"/>
  <c r="A928" i="1"/>
  <c r="B928" i="1" s="1"/>
  <c r="C928" i="1"/>
  <c r="D928" i="1"/>
  <c r="E928" i="1"/>
  <c r="F928" i="1"/>
  <c r="G928" i="1" s="1"/>
  <c r="A929" i="1"/>
  <c r="B929" i="1" s="1"/>
  <c r="C929" i="1"/>
  <c r="D929" i="1"/>
  <c r="E929" i="1"/>
  <c r="F929" i="1"/>
  <c r="G929" i="1" s="1"/>
  <c r="A930" i="1"/>
  <c r="B930" i="1" s="1"/>
  <c r="C930" i="1"/>
  <c r="D930" i="1"/>
  <c r="E930" i="1"/>
  <c r="F930" i="1"/>
  <c r="G930" i="1" s="1"/>
  <c r="A931" i="1"/>
  <c r="B931" i="1" s="1"/>
  <c r="C931" i="1"/>
  <c r="D931" i="1"/>
  <c r="E931" i="1"/>
  <c r="F931" i="1"/>
  <c r="G931" i="1" s="1"/>
  <c r="A932" i="1"/>
  <c r="B932" i="1" s="1"/>
  <c r="C932" i="1"/>
  <c r="D932" i="1"/>
  <c r="E932" i="1"/>
  <c r="F932" i="1"/>
  <c r="G932" i="1" s="1"/>
  <c r="A933" i="1"/>
  <c r="B933" i="1" s="1"/>
  <c r="C933" i="1"/>
  <c r="D933" i="1"/>
  <c r="E933" i="1"/>
  <c r="F933" i="1"/>
  <c r="G933" i="1" s="1"/>
  <c r="A934" i="1"/>
  <c r="B934" i="1" s="1"/>
  <c r="C934" i="1"/>
  <c r="D934" i="1"/>
  <c r="E934" i="1"/>
  <c r="F934" i="1"/>
  <c r="G934" i="1" s="1"/>
  <c r="A935" i="1"/>
  <c r="B935" i="1" s="1"/>
  <c r="C935" i="1"/>
  <c r="D935" i="1"/>
  <c r="E935" i="1"/>
  <c r="F935" i="1"/>
  <c r="G935" i="1" s="1"/>
  <c r="A936" i="1"/>
  <c r="B936" i="1" s="1"/>
  <c r="C936" i="1"/>
  <c r="D936" i="1"/>
  <c r="E936" i="1"/>
  <c r="F936" i="1"/>
  <c r="G936" i="1" s="1"/>
  <c r="A937" i="1"/>
  <c r="B937" i="1" s="1"/>
  <c r="C937" i="1"/>
  <c r="D937" i="1"/>
  <c r="E937" i="1"/>
  <c r="F937" i="1"/>
  <c r="G937" i="1" s="1"/>
  <c r="A938" i="1"/>
  <c r="B938" i="1" s="1"/>
  <c r="C938" i="1"/>
  <c r="D938" i="1"/>
  <c r="E938" i="1"/>
  <c r="F938" i="1"/>
  <c r="G938" i="1" s="1"/>
  <c r="A939" i="1"/>
  <c r="B939" i="1" s="1"/>
  <c r="C939" i="1"/>
  <c r="D939" i="1"/>
  <c r="E939" i="1"/>
  <c r="F939" i="1"/>
  <c r="G939" i="1" s="1"/>
  <c r="A940" i="1"/>
  <c r="B940" i="1" s="1"/>
  <c r="C940" i="1"/>
  <c r="D940" i="1"/>
  <c r="E940" i="1"/>
  <c r="F940" i="1"/>
  <c r="G940" i="1" s="1"/>
  <c r="A941" i="1"/>
  <c r="B941" i="1" s="1"/>
  <c r="C941" i="1"/>
  <c r="D941" i="1"/>
  <c r="E941" i="1"/>
  <c r="F941" i="1"/>
  <c r="G941" i="1" s="1"/>
  <c r="A942" i="1"/>
  <c r="B942" i="1" s="1"/>
  <c r="C942" i="1"/>
  <c r="D942" i="1"/>
  <c r="E942" i="1"/>
  <c r="F942" i="1"/>
  <c r="G942" i="1" s="1"/>
  <c r="A943" i="1"/>
  <c r="B943" i="1"/>
  <c r="C943" i="1"/>
  <c r="D943" i="1"/>
  <c r="E943" i="1"/>
  <c r="F943" i="1"/>
  <c r="G943" i="1" s="1"/>
  <c r="A944" i="1"/>
  <c r="B944" i="1" s="1"/>
  <c r="C944" i="1"/>
  <c r="D944" i="1"/>
  <c r="E944" i="1"/>
  <c r="F944" i="1"/>
  <c r="G944" i="1"/>
  <c r="A945" i="1"/>
  <c r="B945" i="1" s="1"/>
  <c r="C945" i="1"/>
  <c r="D945" i="1"/>
  <c r="E945" i="1"/>
  <c r="F945" i="1"/>
  <c r="G945" i="1" s="1"/>
  <c r="A946" i="1"/>
  <c r="B946" i="1" s="1"/>
  <c r="C946" i="1"/>
  <c r="D946" i="1"/>
  <c r="E946" i="1"/>
  <c r="F946" i="1"/>
  <c r="G946" i="1" s="1"/>
  <c r="A947" i="1"/>
  <c r="B947" i="1"/>
  <c r="C947" i="1"/>
  <c r="D947" i="1"/>
  <c r="E947" i="1"/>
  <c r="F947" i="1"/>
  <c r="G947" i="1"/>
  <c r="A948" i="1"/>
  <c r="B948" i="1" s="1"/>
  <c r="C948" i="1"/>
  <c r="D948" i="1"/>
  <c r="E948" i="1"/>
  <c r="F948" i="1"/>
  <c r="G948" i="1" s="1"/>
  <c r="A949" i="1"/>
  <c r="B949" i="1" s="1"/>
  <c r="C949" i="1"/>
  <c r="D949" i="1"/>
  <c r="E949" i="1"/>
  <c r="F949" i="1"/>
  <c r="G949" i="1" s="1"/>
  <c r="A950" i="1"/>
  <c r="B950" i="1" s="1"/>
  <c r="C950" i="1"/>
  <c r="D950" i="1"/>
  <c r="E950" i="1"/>
  <c r="F950" i="1"/>
  <c r="G950" i="1" s="1"/>
  <c r="A951" i="1"/>
  <c r="B951" i="1" s="1"/>
  <c r="C951" i="1"/>
  <c r="D951" i="1"/>
  <c r="E951" i="1"/>
  <c r="F951" i="1"/>
  <c r="G951" i="1" s="1"/>
  <c r="A952" i="1"/>
  <c r="B952" i="1" s="1"/>
  <c r="C952" i="1"/>
  <c r="D952" i="1"/>
  <c r="E952" i="1"/>
  <c r="F952" i="1"/>
  <c r="G952" i="1" s="1"/>
  <c r="A953" i="1"/>
  <c r="B953" i="1" s="1"/>
  <c r="C953" i="1"/>
  <c r="D953" i="1"/>
  <c r="E953" i="1"/>
  <c r="F953" i="1"/>
  <c r="G953" i="1" s="1"/>
  <c r="A954" i="1"/>
  <c r="B954" i="1" s="1"/>
  <c r="C954" i="1"/>
  <c r="D954" i="1"/>
  <c r="E954" i="1"/>
  <c r="F954" i="1"/>
  <c r="G954" i="1" s="1"/>
  <c r="A955" i="1"/>
  <c r="B955" i="1"/>
  <c r="C955" i="1"/>
  <c r="D955" i="1"/>
  <c r="E955" i="1"/>
  <c r="F955" i="1"/>
  <c r="G955" i="1" s="1"/>
  <c r="A956" i="1"/>
  <c r="B956" i="1"/>
  <c r="C956" i="1"/>
  <c r="D956" i="1"/>
  <c r="E956" i="1"/>
  <c r="F956" i="1"/>
  <c r="G956" i="1"/>
  <c r="A957" i="1"/>
  <c r="B957" i="1" s="1"/>
  <c r="C957" i="1"/>
  <c r="D957" i="1"/>
  <c r="E957" i="1"/>
  <c r="F957" i="1"/>
  <c r="G957" i="1" s="1"/>
  <c r="A958" i="1"/>
  <c r="B958" i="1"/>
  <c r="C958" i="1"/>
  <c r="D958" i="1"/>
  <c r="E958" i="1"/>
  <c r="F958" i="1"/>
  <c r="G958" i="1" s="1"/>
  <c r="A959" i="1"/>
  <c r="B959" i="1"/>
  <c r="C959" i="1"/>
  <c r="D959" i="1"/>
  <c r="E959" i="1"/>
  <c r="F959" i="1"/>
  <c r="G959" i="1"/>
  <c r="A960" i="1"/>
  <c r="B960" i="1" s="1"/>
  <c r="C960" i="1"/>
  <c r="D960" i="1"/>
  <c r="E960" i="1"/>
  <c r="F960" i="1"/>
  <c r="G960" i="1"/>
  <c r="A961" i="1"/>
  <c r="B961" i="1" s="1"/>
  <c r="C961" i="1"/>
  <c r="D961" i="1"/>
  <c r="E961" i="1"/>
  <c r="F961" i="1"/>
  <c r="G961" i="1" s="1"/>
  <c r="A962" i="1"/>
  <c r="B962" i="1"/>
  <c r="C962" i="1"/>
  <c r="D962" i="1"/>
  <c r="E962" i="1"/>
  <c r="F962" i="1"/>
  <c r="G962" i="1" s="1"/>
  <c r="A963" i="1"/>
  <c r="B963" i="1" s="1"/>
  <c r="C963" i="1"/>
  <c r="D963" i="1"/>
  <c r="E963" i="1"/>
  <c r="F963" i="1"/>
  <c r="G963" i="1" s="1"/>
  <c r="A964" i="1"/>
  <c r="B964" i="1" s="1"/>
  <c r="C964" i="1"/>
  <c r="D964" i="1"/>
  <c r="E964" i="1"/>
  <c r="F964" i="1"/>
  <c r="G964" i="1" s="1"/>
  <c r="A965" i="1"/>
  <c r="B965" i="1" s="1"/>
  <c r="C965" i="1"/>
  <c r="D965" i="1"/>
  <c r="E965" i="1"/>
  <c r="F965" i="1"/>
  <c r="G965" i="1" s="1"/>
  <c r="A966" i="1"/>
  <c r="B966" i="1" s="1"/>
  <c r="C966" i="1"/>
  <c r="D966" i="1"/>
  <c r="E966" i="1"/>
  <c r="F966" i="1"/>
  <c r="G966" i="1" s="1"/>
  <c r="A967" i="1"/>
  <c r="B967" i="1" s="1"/>
  <c r="C967" i="1"/>
  <c r="D967" i="1"/>
  <c r="E967" i="1"/>
  <c r="F967" i="1"/>
  <c r="G967" i="1" s="1"/>
  <c r="A968" i="1"/>
  <c r="B968" i="1" s="1"/>
  <c r="C968" i="1"/>
  <c r="D968" i="1"/>
  <c r="E968" i="1"/>
  <c r="F968" i="1"/>
  <c r="G968" i="1"/>
  <c r="A969" i="1"/>
  <c r="B969" i="1" s="1"/>
  <c r="C969" i="1"/>
  <c r="D969" i="1"/>
  <c r="E969" i="1"/>
  <c r="F969" i="1"/>
  <c r="G969" i="1" s="1"/>
  <c r="A970" i="1"/>
  <c r="B970" i="1" s="1"/>
  <c r="C970" i="1"/>
  <c r="D970" i="1"/>
  <c r="E970" i="1"/>
  <c r="F970" i="1"/>
  <c r="G970" i="1" s="1"/>
  <c r="A971" i="1"/>
  <c r="B971" i="1"/>
  <c r="C971" i="1"/>
  <c r="D971" i="1"/>
  <c r="E971" i="1"/>
  <c r="F971" i="1"/>
  <c r="G971" i="1" s="1"/>
  <c r="A972" i="1"/>
  <c r="B972" i="1" s="1"/>
  <c r="C972" i="1"/>
  <c r="D972" i="1"/>
  <c r="E972" i="1"/>
  <c r="F972" i="1"/>
  <c r="G972" i="1" s="1"/>
  <c r="A973" i="1"/>
  <c r="B973" i="1" s="1"/>
  <c r="C973" i="1"/>
  <c r="D973" i="1"/>
  <c r="E973" i="1"/>
  <c r="F973" i="1"/>
  <c r="G973" i="1" s="1"/>
  <c r="A974" i="1"/>
  <c r="B974" i="1" s="1"/>
  <c r="C974" i="1"/>
  <c r="D974" i="1"/>
  <c r="E974" i="1"/>
  <c r="F974" i="1"/>
  <c r="G974" i="1" s="1"/>
  <c r="A975" i="1"/>
  <c r="B975" i="1" s="1"/>
  <c r="C975" i="1"/>
  <c r="D975" i="1"/>
  <c r="E975" i="1"/>
  <c r="F975" i="1"/>
  <c r="G975" i="1" s="1"/>
  <c r="A976" i="1"/>
  <c r="B976" i="1" s="1"/>
  <c r="C976" i="1"/>
  <c r="D976" i="1"/>
  <c r="E976" i="1"/>
  <c r="F976" i="1"/>
  <c r="G976" i="1" s="1"/>
  <c r="A977" i="1"/>
  <c r="B977" i="1" s="1"/>
  <c r="C977" i="1"/>
  <c r="D977" i="1"/>
  <c r="E977" i="1"/>
  <c r="F977" i="1"/>
  <c r="G977" i="1" s="1"/>
  <c r="A978" i="1"/>
  <c r="B978" i="1" s="1"/>
  <c r="C978" i="1"/>
  <c r="D978" i="1"/>
  <c r="E978" i="1"/>
  <c r="F978" i="1"/>
  <c r="G978" i="1" s="1"/>
  <c r="A979" i="1"/>
  <c r="B979" i="1"/>
  <c r="C979" i="1"/>
  <c r="D979" i="1"/>
  <c r="E979" i="1"/>
  <c r="F979" i="1"/>
  <c r="G979" i="1" s="1"/>
  <c r="A980" i="1"/>
  <c r="B980" i="1" s="1"/>
  <c r="C980" i="1"/>
  <c r="D980" i="1"/>
  <c r="E980" i="1"/>
  <c r="F980" i="1"/>
  <c r="G980" i="1" s="1"/>
  <c r="A981" i="1"/>
  <c r="B981" i="1" s="1"/>
  <c r="C981" i="1"/>
  <c r="D981" i="1"/>
  <c r="E981" i="1"/>
  <c r="F981" i="1"/>
  <c r="G981" i="1" s="1"/>
  <c r="A982" i="1"/>
  <c r="B982" i="1"/>
  <c r="C982" i="1"/>
  <c r="D982" i="1"/>
  <c r="E982" i="1"/>
  <c r="F982" i="1"/>
  <c r="G982" i="1" s="1"/>
  <c r="A983" i="1"/>
  <c r="B983" i="1" s="1"/>
  <c r="C983" i="1"/>
  <c r="D983" i="1"/>
  <c r="E983" i="1"/>
  <c r="F983" i="1"/>
  <c r="G983" i="1" s="1"/>
  <c r="A984" i="1"/>
  <c r="B984" i="1" s="1"/>
  <c r="C984" i="1"/>
  <c r="D984" i="1"/>
  <c r="E984" i="1"/>
  <c r="F984" i="1"/>
  <c r="G984" i="1"/>
  <c r="A985" i="1"/>
  <c r="B985" i="1" s="1"/>
  <c r="C985" i="1"/>
  <c r="D985" i="1"/>
  <c r="E985" i="1"/>
  <c r="F985" i="1"/>
  <c r="G985" i="1" s="1"/>
  <c r="A986" i="1"/>
  <c r="B986" i="1"/>
  <c r="C986" i="1"/>
  <c r="D986" i="1"/>
  <c r="E986" i="1"/>
  <c r="F986" i="1"/>
  <c r="G986" i="1" s="1"/>
  <c r="A987" i="1"/>
  <c r="B987" i="1" s="1"/>
  <c r="C987" i="1"/>
  <c r="D987" i="1"/>
  <c r="E987" i="1"/>
  <c r="F987" i="1"/>
  <c r="G987" i="1" s="1"/>
  <c r="A988" i="1"/>
  <c r="B988" i="1" s="1"/>
  <c r="C988" i="1"/>
  <c r="D988" i="1"/>
  <c r="E988" i="1"/>
  <c r="F988" i="1"/>
  <c r="G988" i="1" s="1"/>
  <c r="A989" i="1"/>
  <c r="B989" i="1" s="1"/>
  <c r="C989" i="1"/>
  <c r="D989" i="1"/>
  <c r="E989" i="1"/>
  <c r="F989" i="1"/>
  <c r="G989" i="1" s="1"/>
  <c r="A990" i="1"/>
  <c r="B990" i="1" s="1"/>
  <c r="C990" i="1"/>
  <c r="D990" i="1"/>
  <c r="E990" i="1"/>
  <c r="F990" i="1"/>
  <c r="G990" i="1" s="1"/>
  <c r="A991" i="1"/>
  <c r="B991" i="1" s="1"/>
  <c r="C991" i="1"/>
  <c r="D991" i="1"/>
  <c r="E991" i="1"/>
  <c r="F991" i="1"/>
  <c r="G991" i="1" s="1"/>
  <c r="A992" i="1"/>
  <c r="B992" i="1" s="1"/>
  <c r="C992" i="1"/>
  <c r="D992" i="1"/>
  <c r="E992" i="1"/>
  <c r="F992" i="1"/>
  <c r="G992" i="1" s="1"/>
  <c r="A993" i="1"/>
  <c r="B993" i="1" s="1"/>
  <c r="C993" i="1"/>
  <c r="D993" i="1"/>
  <c r="E993" i="1"/>
  <c r="F993" i="1"/>
  <c r="G993" i="1"/>
  <c r="A994" i="1"/>
  <c r="B994" i="1" s="1"/>
  <c r="C994" i="1"/>
  <c r="D994" i="1"/>
  <c r="E994" i="1"/>
  <c r="F994" i="1"/>
  <c r="G994" i="1" s="1"/>
  <c r="A995" i="1"/>
  <c r="B995" i="1"/>
  <c r="C995" i="1"/>
  <c r="D995" i="1"/>
  <c r="E995" i="1"/>
  <c r="F995" i="1"/>
  <c r="G995" i="1" s="1"/>
  <c r="A996" i="1"/>
  <c r="B996" i="1" s="1"/>
  <c r="C996" i="1"/>
  <c r="D996" i="1"/>
  <c r="E996" i="1"/>
  <c r="F996" i="1"/>
  <c r="G996" i="1" s="1"/>
  <c r="A997" i="1"/>
  <c r="B997" i="1" s="1"/>
  <c r="C997" i="1"/>
  <c r="D997" i="1"/>
  <c r="E997" i="1"/>
  <c r="F997" i="1"/>
  <c r="G997" i="1" s="1"/>
  <c r="A998" i="1"/>
  <c r="B998" i="1" s="1"/>
  <c r="C998" i="1"/>
  <c r="D998" i="1"/>
  <c r="E998" i="1"/>
  <c r="F998" i="1"/>
  <c r="G998" i="1" s="1"/>
  <c r="A999" i="1"/>
  <c r="B999" i="1" s="1"/>
  <c r="C999" i="1"/>
  <c r="D999" i="1"/>
  <c r="E999" i="1"/>
  <c r="F999" i="1"/>
  <c r="G999" i="1"/>
  <c r="A1000" i="1"/>
  <c r="B1000" i="1" s="1"/>
  <c r="C1000" i="1"/>
  <c r="D1000" i="1"/>
  <c r="E1000" i="1"/>
  <c r="F1000" i="1"/>
  <c r="G1000" i="1" s="1"/>
  <c r="A1001" i="1"/>
  <c r="B1001" i="1" s="1"/>
  <c r="C1001" i="1"/>
  <c r="D1001" i="1"/>
  <c r="E1001" i="1"/>
  <c r="F1001" i="1"/>
  <c r="G1001" i="1" s="1"/>
  <c r="A1002" i="1"/>
  <c r="B1002" i="1"/>
  <c r="C1002" i="1"/>
  <c r="D1002" i="1"/>
  <c r="E1002" i="1"/>
  <c r="F1002" i="1"/>
  <c r="G1002" i="1" s="1"/>
  <c r="A1003" i="1"/>
  <c r="B1003" i="1" s="1"/>
  <c r="C1003" i="1"/>
  <c r="D1003" i="1"/>
  <c r="E1003" i="1"/>
  <c r="F1003" i="1"/>
  <c r="G1003" i="1" s="1"/>
  <c r="A1004" i="1"/>
  <c r="B1004" i="1"/>
  <c r="C1004" i="1"/>
  <c r="D1004" i="1"/>
  <c r="E1004" i="1"/>
  <c r="F1004" i="1"/>
  <c r="G1004" i="1" s="1"/>
  <c r="A1005" i="1"/>
  <c r="B1005" i="1" s="1"/>
  <c r="C1005" i="1"/>
  <c r="D1005" i="1"/>
  <c r="E1005" i="1"/>
  <c r="F1005" i="1"/>
  <c r="G1005" i="1" s="1"/>
  <c r="A1006" i="1"/>
  <c r="B1006" i="1"/>
  <c r="C1006" i="1"/>
  <c r="D1006" i="1"/>
  <c r="E1006" i="1"/>
  <c r="F1006" i="1"/>
  <c r="G1006" i="1" s="1"/>
  <c r="A1007" i="1"/>
  <c r="B1007" i="1" s="1"/>
  <c r="C1007" i="1"/>
  <c r="D1007" i="1"/>
  <c r="E1007" i="1"/>
  <c r="F1007" i="1"/>
  <c r="G1007" i="1" s="1"/>
  <c r="A1008" i="1"/>
  <c r="B1008" i="1" s="1"/>
  <c r="C1008" i="1"/>
  <c r="D1008" i="1"/>
  <c r="E1008" i="1"/>
  <c r="F1008" i="1"/>
  <c r="G1008" i="1" s="1"/>
  <c r="A1009" i="1"/>
  <c r="B1009" i="1" s="1"/>
  <c r="C1009" i="1"/>
  <c r="D1009" i="1"/>
  <c r="E1009" i="1"/>
  <c r="F1009" i="1"/>
  <c r="G1009" i="1" s="1"/>
  <c r="A1010" i="1"/>
  <c r="B1010" i="1" s="1"/>
  <c r="C1010" i="1"/>
  <c r="D1010" i="1"/>
  <c r="E1010" i="1"/>
  <c r="F1010" i="1"/>
  <c r="G1010" i="1" s="1"/>
  <c r="A1011" i="1"/>
  <c r="B1011" i="1" s="1"/>
  <c r="C1011" i="1"/>
  <c r="D1011" i="1"/>
  <c r="E1011" i="1"/>
  <c r="F1011" i="1"/>
  <c r="G1011" i="1" s="1"/>
  <c r="A1012" i="1"/>
  <c r="B1012" i="1" s="1"/>
  <c r="C1012" i="1"/>
  <c r="D1012" i="1"/>
  <c r="E1012" i="1"/>
  <c r="F1012" i="1"/>
  <c r="G1012" i="1" s="1"/>
  <c r="A1013" i="1"/>
  <c r="B1013" i="1" s="1"/>
  <c r="C1013" i="1"/>
  <c r="D1013" i="1"/>
  <c r="E1013" i="1"/>
  <c r="F1013" i="1"/>
  <c r="G1013" i="1" s="1"/>
  <c r="A1014" i="1"/>
  <c r="B1014" i="1" s="1"/>
  <c r="C1014" i="1"/>
  <c r="D1014" i="1"/>
  <c r="E1014" i="1"/>
  <c r="F1014" i="1"/>
  <c r="G1014" i="1" s="1"/>
  <c r="A1015" i="1"/>
  <c r="B1015" i="1" s="1"/>
  <c r="C1015" i="1"/>
  <c r="D1015" i="1"/>
  <c r="E1015" i="1"/>
  <c r="F1015" i="1"/>
  <c r="G1015" i="1" s="1"/>
  <c r="A1016" i="1"/>
  <c r="B1016" i="1" s="1"/>
  <c r="C1016" i="1"/>
  <c r="D1016" i="1"/>
  <c r="E1016" i="1"/>
  <c r="F1016" i="1"/>
  <c r="G1016" i="1" s="1"/>
  <c r="A1017" i="1"/>
  <c r="B1017" i="1" s="1"/>
  <c r="C1017" i="1"/>
  <c r="D1017" i="1"/>
  <c r="E1017" i="1"/>
  <c r="F1017" i="1"/>
  <c r="G1017" i="1" s="1"/>
  <c r="A1018" i="1"/>
  <c r="B1018" i="1" s="1"/>
  <c r="C1018" i="1"/>
  <c r="D1018" i="1"/>
  <c r="E1018" i="1"/>
  <c r="F1018" i="1"/>
  <c r="G1018" i="1" s="1"/>
  <c r="A1019" i="1"/>
  <c r="B1019" i="1" s="1"/>
  <c r="C1019" i="1"/>
  <c r="D1019" i="1"/>
  <c r="E1019" i="1"/>
  <c r="F1019" i="1"/>
  <c r="G1019" i="1" s="1"/>
  <c r="A1020" i="1"/>
  <c r="B1020" i="1"/>
  <c r="C1020" i="1"/>
  <c r="D1020" i="1"/>
  <c r="E1020" i="1"/>
  <c r="F1020" i="1"/>
  <c r="G1020" i="1"/>
  <c r="A1021" i="1"/>
  <c r="B1021" i="1" s="1"/>
  <c r="C1021" i="1"/>
  <c r="D1021" i="1"/>
  <c r="E1021" i="1"/>
  <c r="F1021" i="1"/>
  <c r="G1021" i="1" s="1"/>
  <c r="A1022" i="1"/>
  <c r="B1022" i="1" s="1"/>
  <c r="C1022" i="1"/>
  <c r="D1022" i="1"/>
  <c r="E1022" i="1"/>
  <c r="F1022" i="1"/>
  <c r="G1022" i="1" s="1"/>
  <c r="A1023" i="1"/>
  <c r="B1023" i="1" s="1"/>
  <c r="C1023" i="1"/>
  <c r="D1023" i="1"/>
  <c r="E1023" i="1"/>
  <c r="F1023" i="1"/>
  <c r="G1023" i="1" s="1"/>
  <c r="A1024" i="1"/>
  <c r="B1024" i="1" s="1"/>
  <c r="C1024" i="1"/>
  <c r="D1024" i="1"/>
  <c r="E1024" i="1"/>
  <c r="F1024" i="1"/>
  <c r="G1024" i="1" s="1"/>
  <c r="A1025" i="1"/>
  <c r="B1025" i="1" s="1"/>
  <c r="C1025" i="1"/>
  <c r="D1025" i="1"/>
  <c r="E1025" i="1"/>
  <c r="F1025" i="1"/>
  <c r="G1025" i="1" s="1"/>
  <c r="A1026" i="1"/>
  <c r="B1026" i="1"/>
  <c r="C1026" i="1"/>
  <c r="D1026" i="1"/>
  <c r="E1026" i="1"/>
  <c r="F1026" i="1"/>
  <c r="G1026" i="1" s="1"/>
  <c r="A1027" i="1"/>
  <c r="B1027" i="1" s="1"/>
  <c r="C1027" i="1"/>
  <c r="D1027" i="1"/>
  <c r="E1027" i="1"/>
  <c r="F1027" i="1"/>
  <c r="G1027" i="1" s="1"/>
  <c r="A1028" i="1"/>
  <c r="B1028" i="1" s="1"/>
  <c r="C1028" i="1"/>
  <c r="D1028" i="1"/>
  <c r="E1028" i="1"/>
  <c r="F1028" i="1"/>
  <c r="G1028" i="1" s="1"/>
  <c r="A1029" i="1"/>
  <c r="B1029" i="1" s="1"/>
  <c r="C1029" i="1"/>
  <c r="D1029" i="1"/>
  <c r="E1029" i="1"/>
  <c r="F1029" i="1"/>
  <c r="G1029" i="1" s="1"/>
  <c r="A1030" i="1"/>
  <c r="B1030" i="1" s="1"/>
  <c r="C1030" i="1"/>
  <c r="D1030" i="1"/>
  <c r="E1030" i="1"/>
  <c r="F1030" i="1"/>
  <c r="G1030" i="1" s="1"/>
  <c r="A1031" i="1"/>
  <c r="B1031" i="1"/>
  <c r="C1031" i="1"/>
  <c r="D1031" i="1"/>
  <c r="E1031" i="1"/>
  <c r="F1031" i="1"/>
  <c r="G1031" i="1" s="1"/>
  <c r="A1032" i="1"/>
  <c r="B1032" i="1" s="1"/>
  <c r="C1032" i="1"/>
  <c r="D1032" i="1"/>
  <c r="E1032" i="1"/>
  <c r="F1032" i="1"/>
  <c r="G1032" i="1" s="1"/>
  <c r="A1033" i="1"/>
  <c r="B1033" i="1" s="1"/>
  <c r="C1033" i="1"/>
  <c r="D1033" i="1"/>
  <c r="E1033" i="1"/>
  <c r="F1033" i="1"/>
  <c r="G1033" i="1" s="1"/>
  <c r="A1034" i="1"/>
  <c r="B1034" i="1" s="1"/>
  <c r="C1034" i="1"/>
  <c r="D1034" i="1"/>
  <c r="E1034" i="1"/>
  <c r="F1034" i="1"/>
  <c r="G1034" i="1" s="1"/>
  <c r="A1035" i="1"/>
  <c r="B1035" i="1" s="1"/>
  <c r="C1035" i="1"/>
  <c r="D1035" i="1"/>
  <c r="E1035" i="1"/>
  <c r="F1035" i="1"/>
  <c r="G1035" i="1" s="1"/>
  <c r="A1036" i="1"/>
  <c r="B1036" i="1" s="1"/>
  <c r="C1036" i="1"/>
  <c r="D1036" i="1"/>
  <c r="E1036" i="1"/>
  <c r="F1036" i="1"/>
  <c r="G1036" i="1" s="1"/>
  <c r="A1037" i="1"/>
  <c r="B1037" i="1" s="1"/>
  <c r="C1037" i="1"/>
  <c r="D1037" i="1"/>
  <c r="E1037" i="1"/>
  <c r="F1037" i="1"/>
  <c r="G1037" i="1" s="1"/>
  <c r="A1038" i="1"/>
  <c r="B1038" i="1" s="1"/>
  <c r="C1038" i="1"/>
  <c r="D1038" i="1"/>
  <c r="E1038" i="1"/>
  <c r="F1038" i="1"/>
  <c r="G1038" i="1" s="1"/>
  <c r="A1039" i="1"/>
  <c r="B1039" i="1"/>
  <c r="C1039" i="1"/>
  <c r="D1039" i="1"/>
  <c r="E1039" i="1"/>
  <c r="F1039" i="1"/>
  <c r="G1039" i="1" s="1"/>
  <c r="A1040" i="1"/>
  <c r="B1040" i="1" s="1"/>
  <c r="C1040" i="1"/>
  <c r="D1040" i="1"/>
  <c r="E1040" i="1"/>
  <c r="F1040" i="1"/>
  <c r="G1040" i="1" s="1"/>
  <c r="A1041" i="1"/>
  <c r="B1041" i="1" s="1"/>
  <c r="C1041" i="1"/>
  <c r="D1041" i="1"/>
  <c r="E1041" i="1"/>
  <c r="F1041" i="1"/>
  <c r="G1041" i="1" s="1"/>
  <c r="A1042" i="1"/>
  <c r="B1042" i="1" s="1"/>
  <c r="C1042" i="1"/>
  <c r="D1042" i="1"/>
  <c r="E1042" i="1"/>
  <c r="F1042" i="1"/>
  <c r="G1042" i="1" s="1"/>
  <c r="A1043" i="1"/>
  <c r="B1043" i="1" s="1"/>
  <c r="C1043" i="1"/>
  <c r="D1043" i="1"/>
  <c r="E1043" i="1"/>
  <c r="F1043" i="1"/>
  <c r="G1043" i="1" s="1"/>
  <c r="A1044" i="1"/>
  <c r="B1044" i="1" s="1"/>
  <c r="C1044" i="1"/>
  <c r="D1044" i="1"/>
  <c r="E1044" i="1"/>
  <c r="F1044" i="1"/>
  <c r="G1044" i="1" s="1"/>
  <c r="A1045" i="1"/>
  <c r="B1045" i="1" s="1"/>
  <c r="C1045" i="1"/>
  <c r="D1045" i="1"/>
  <c r="E1045" i="1"/>
  <c r="F1045" i="1"/>
  <c r="G1045" i="1" s="1"/>
  <c r="A1046" i="1"/>
  <c r="B1046" i="1"/>
  <c r="C1046" i="1"/>
  <c r="D1046" i="1"/>
  <c r="E1046" i="1"/>
  <c r="F1046" i="1"/>
  <c r="G1046" i="1" s="1"/>
  <c r="A1047" i="1"/>
  <c r="B1047" i="1" s="1"/>
  <c r="C1047" i="1"/>
  <c r="D1047" i="1"/>
  <c r="E1047" i="1"/>
  <c r="F1047" i="1"/>
  <c r="G1047" i="1" s="1"/>
  <c r="A1048" i="1"/>
  <c r="B1048" i="1" s="1"/>
  <c r="C1048" i="1"/>
  <c r="D1048" i="1"/>
  <c r="E1048" i="1"/>
  <c r="F1048" i="1"/>
  <c r="G1048" i="1" s="1"/>
  <c r="A1049" i="1"/>
  <c r="B1049" i="1" s="1"/>
  <c r="C1049" i="1"/>
  <c r="D1049" i="1"/>
  <c r="E1049" i="1"/>
  <c r="F1049" i="1"/>
  <c r="G1049" i="1" s="1"/>
  <c r="A1050" i="1"/>
  <c r="B1050" i="1" s="1"/>
  <c r="C1050" i="1"/>
  <c r="D1050" i="1"/>
  <c r="E1050" i="1"/>
  <c r="F1050" i="1"/>
  <c r="G1050" i="1" s="1"/>
  <c r="A1051" i="1"/>
  <c r="B1051" i="1" s="1"/>
  <c r="C1051" i="1"/>
  <c r="D1051" i="1"/>
  <c r="E1051" i="1"/>
  <c r="F1051" i="1"/>
  <c r="G1051" i="1" s="1"/>
  <c r="A1052" i="1"/>
  <c r="B1052" i="1"/>
  <c r="C1052" i="1"/>
  <c r="D1052" i="1"/>
  <c r="E1052" i="1"/>
  <c r="F1052" i="1"/>
  <c r="G1052" i="1" s="1"/>
  <c r="A1053" i="1"/>
  <c r="B1053" i="1" s="1"/>
  <c r="C1053" i="1"/>
  <c r="D1053" i="1"/>
  <c r="E1053" i="1"/>
  <c r="F1053" i="1"/>
  <c r="G1053" i="1" s="1"/>
  <c r="A1054" i="1"/>
  <c r="B1054" i="1" s="1"/>
  <c r="C1054" i="1"/>
  <c r="D1054" i="1"/>
  <c r="E1054" i="1"/>
  <c r="F1054" i="1"/>
  <c r="G1054" i="1" s="1"/>
  <c r="A1055" i="1"/>
  <c r="B1055" i="1" s="1"/>
  <c r="C1055" i="1"/>
  <c r="D1055" i="1"/>
  <c r="E1055" i="1"/>
  <c r="F1055" i="1"/>
  <c r="G1055" i="1" s="1"/>
  <c r="A1056" i="1"/>
  <c r="B1056" i="1"/>
  <c r="C1056" i="1"/>
  <c r="D1056" i="1"/>
  <c r="E1056" i="1"/>
  <c r="F1056" i="1"/>
  <c r="G1056" i="1" s="1"/>
  <c r="A1057" i="1"/>
  <c r="B1057" i="1" s="1"/>
  <c r="C1057" i="1"/>
  <c r="D1057" i="1"/>
  <c r="E1057" i="1"/>
  <c r="F1057" i="1"/>
  <c r="G1057" i="1" s="1"/>
  <c r="A1058" i="1"/>
  <c r="B1058" i="1"/>
  <c r="C1058" i="1"/>
  <c r="D1058" i="1"/>
  <c r="E1058" i="1"/>
  <c r="F1058" i="1"/>
  <c r="G1058" i="1" s="1"/>
  <c r="A1059" i="1"/>
  <c r="B1059" i="1" s="1"/>
  <c r="C1059" i="1"/>
  <c r="D1059" i="1"/>
  <c r="E1059" i="1"/>
  <c r="F1059" i="1"/>
  <c r="G1059" i="1" s="1"/>
  <c r="A1060" i="1"/>
  <c r="B1060" i="1" s="1"/>
  <c r="C1060" i="1"/>
  <c r="D1060" i="1"/>
  <c r="E1060" i="1"/>
  <c r="F1060" i="1"/>
  <c r="G1060" i="1" s="1"/>
  <c r="A1061" i="1"/>
  <c r="B1061" i="1" s="1"/>
  <c r="C1061" i="1"/>
  <c r="D1061" i="1"/>
  <c r="E1061" i="1"/>
  <c r="F1061" i="1"/>
  <c r="G1061" i="1" s="1"/>
  <c r="A1062" i="1"/>
  <c r="B1062" i="1" s="1"/>
  <c r="C1062" i="1"/>
  <c r="D1062" i="1"/>
  <c r="E1062" i="1"/>
  <c r="F1062" i="1"/>
  <c r="G1062" i="1" s="1"/>
  <c r="A1063" i="1"/>
  <c r="B1063" i="1" s="1"/>
  <c r="C1063" i="1"/>
  <c r="D1063" i="1"/>
  <c r="E1063" i="1"/>
  <c r="F1063" i="1"/>
  <c r="G1063" i="1" s="1"/>
  <c r="A1064" i="1"/>
  <c r="B1064" i="1" s="1"/>
  <c r="C1064" i="1"/>
  <c r="D1064" i="1"/>
  <c r="E1064" i="1"/>
  <c r="F1064" i="1"/>
  <c r="G1064" i="1" s="1"/>
  <c r="A1065" i="1"/>
  <c r="B1065" i="1" s="1"/>
  <c r="C1065" i="1"/>
  <c r="D1065" i="1"/>
  <c r="E1065" i="1"/>
  <c r="F1065" i="1"/>
  <c r="G1065" i="1" s="1"/>
  <c r="A1066" i="1"/>
  <c r="B1066" i="1"/>
  <c r="C1066" i="1"/>
  <c r="D1066" i="1"/>
  <c r="E1066" i="1"/>
  <c r="F1066" i="1"/>
  <c r="G1066" i="1" s="1"/>
  <c r="A1067" i="1"/>
  <c r="B1067" i="1" s="1"/>
  <c r="C1067" i="1"/>
  <c r="D1067" i="1"/>
  <c r="E1067" i="1"/>
  <c r="F1067" i="1"/>
  <c r="G1067" i="1" s="1"/>
  <c r="A1068" i="1"/>
  <c r="B1068" i="1"/>
  <c r="C1068" i="1"/>
  <c r="D1068" i="1"/>
  <c r="E1068" i="1"/>
  <c r="F1068" i="1"/>
  <c r="G1068" i="1" s="1"/>
  <c r="A1069" i="1"/>
  <c r="B1069" i="1" s="1"/>
  <c r="C1069" i="1"/>
  <c r="D1069" i="1"/>
  <c r="E1069" i="1"/>
  <c r="F1069" i="1"/>
  <c r="G1069" i="1" s="1"/>
  <c r="A1070" i="1"/>
  <c r="B1070" i="1"/>
  <c r="C1070" i="1"/>
  <c r="D1070" i="1"/>
  <c r="E1070" i="1"/>
  <c r="F1070" i="1"/>
  <c r="G1070" i="1" s="1"/>
  <c r="A1071" i="1"/>
  <c r="B1071" i="1" s="1"/>
  <c r="C1071" i="1"/>
  <c r="D1071" i="1"/>
  <c r="E1071" i="1"/>
  <c r="F1071" i="1"/>
  <c r="G1071" i="1" s="1"/>
  <c r="A1072" i="1"/>
  <c r="B1072" i="1" s="1"/>
  <c r="C1072" i="1"/>
  <c r="D1072" i="1"/>
  <c r="E1072" i="1"/>
  <c r="F1072" i="1"/>
  <c r="G1072" i="1" s="1"/>
  <c r="A1073" i="1"/>
  <c r="B1073" i="1" s="1"/>
  <c r="C1073" i="1"/>
  <c r="D1073" i="1"/>
  <c r="E1073" i="1"/>
  <c r="F1073" i="1"/>
  <c r="G1073" i="1" s="1"/>
  <c r="A1074" i="1"/>
  <c r="B1074" i="1" s="1"/>
  <c r="C1074" i="1"/>
  <c r="D1074" i="1"/>
  <c r="E1074" i="1"/>
  <c r="F1074" i="1"/>
  <c r="G1074" i="1" s="1"/>
  <c r="A1075" i="1"/>
  <c r="B1075" i="1" s="1"/>
  <c r="C1075" i="1"/>
  <c r="D1075" i="1"/>
  <c r="E1075" i="1"/>
  <c r="F1075" i="1"/>
  <c r="G1075" i="1" s="1"/>
  <c r="A1076" i="1"/>
  <c r="B1076" i="1"/>
  <c r="C1076" i="1"/>
  <c r="D1076" i="1"/>
  <c r="E1076" i="1"/>
  <c r="F1076" i="1"/>
  <c r="G1076" i="1" s="1"/>
  <c r="A1077" i="1"/>
  <c r="B1077" i="1" s="1"/>
  <c r="C1077" i="1"/>
  <c r="D1077" i="1"/>
  <c r="E1077" i="1"/>
  <c r="F1077" i="1"/>
  <c r="G1077" i="1" s="1"/>
  <c r="A1078" i="1"/>
  <c r="B1078" i="1" s="1"/>
  <c r="C1078" i="1"/>
  <c r="D1078" i="1"/>
  <c r="E1078" i="1"/>
  <c r="F1078" i="1"/>
  <c r="G1078" i="1" s="1"/>
  <c r="A1079" i="1"/>
  <c r="B1079" i="1" s="1"/>
  <c r="C1079" i="1"/>
  <c r="D1079" i="1"/>
  <c r="E1079" i="1"/>
  <c r="F1079" i="1"/>
  <c r="G1079" i="1" s="1"/>
  <c r="A1080" i="1"/>
  <c r="B1080" i="1" s="1"/>
  <c r="C1080" i="1"/>
  <c r="D1080" i="1"/>
  <c r="E1080" i="1"/>
  <c r="F1080" i="1"/>
  <c r="G1080" i="1" s="1"/>
  <c r="A1081" i="1"/>
  <c r="B1081" i="1" s="1"/>
  <c r="C1081" i="1"/>
  <c r="D1081" i="1"/>
  <c r="E1081" i="1"/>
  <c r="F1081" i="1"/>
  <c r="G1081" i="1" s="1"/>
  <c r="A1082" i="1"/>
  <c r="B1082" i="1" s="1"/>
  <c r="C1082" i="1"/>
  <c r="D1082" i="1"/>
  <c r="E1082" i="1"/>
  <c r="F1082" i="1"/>
  <c r="G1082" i="1" s="1"/>
  <c r="A1083" i="1"/>
  <c r="B1083" i="1" s="1"/>
  <c r="C1083" i="1"/>
  <c r="D1083" i="1"/>
  <c r="E1083" i="1"/>
  <c r="F1083" i="1"/>
  <c r="G1083" i="1" s="1"/>
  <c r="A1084" i="1"/>
  <c r="B1084" i="1" s="1"/>
  <c r="C1084" i="1"/>
  <c r="D1084" i="1"/>
  <c r="E1084" i="1"/>
  <c r="F1084" i="1"/>
  <c r="G1084" i="1" s="1"/>
  <c r="A1085" i="1"/>
  <c r="B1085" i="1" s="1"/>
  <c r="C1085" i="1"/>
  <c r="D1085" i="1"/>
  <c r="E1085" i="1"/>
  <c r="F1085" i="1"/>
  <c r="G1085" i="1" s="1"/>
  <c r="A1086" i="1"/>
  <c r="B1086" i="1" s="1"/>
  <c r="C1086" i="1"/>
  <c r="D1086" i="1"/>
  <c r="E1086" i="1"/>
  <c r="F1086" i="1"/>
  <c r="G1086" i="1" s="1"/>
  <c r="A1087" i="1"/>
  <c r="B1087" i="1"/>
  <c r="C1087" i="1"/>
  <c r="D1087" i="1"/>
  <c r="E1087" i="1"/>
  <c r="F1087" i="1"/>
  <c r="G1087" i="1" s="1"/>
  <c r="A1088" i="1"/>
  <c r="B1088" i="1" s="1"/>
  <c r="C1088" i="1"/>
  <c r="D1088" i="1"/>
  <c r="E1088" i="1"/>
  <c r="F1088" i="1"/>
  <c r="G1088" i="1" s="1"/>
  <c r="A1089" i="1"/>
  <c r="B1089" i="1" s="1"/>
  <c r="C1089" i="1"/>
  <c r="D1089" i="1"/>
  <c r="E1089" i="1"/>
  <c r="F1089" i="1"/>
  <c r="G1089" i="1" s="1"/>
  <c r="A1090" i="1"/>
  <c r="B1090" i="1" s="1"/>
  <c r="C1090" i="1"/>
  <c r="D1090" i="1"/>
  <c r="E1090" i="1"/>
  <c r="F1090" i="1"/>
  <c r="G1090" i="1" s="1"/>
  <c r="A1091" i="1"/>
  <c r="B1091" i="1" s="1"/>
  <c r="C1091" i="1"/>
  <c r="D1091" i="1"/>
  <c r="E1091" i="1"/>
  <c r="F1091" i="1"/>
  <c r="G1091" i="1" s="1"/>
  <c r="A1092" i="1"/>
  <c r="B1092" i="1" s="1"/>
  <c r="C1092" i="1"/>
  <c r="D1092" i="1"/>
  <c r="E1092" i="1"/>
  <c r="F1092" i="1"/>
  <c r="G1092" i="1" s="1"/>
  <c r="A1093" i="1"/>
  <c r="B1093" i="1" s="1"/>
  <c r="C1093" i="1"/>
  <c r="D1093" i="1"/>
  <c r="E1093" i="1"/>
  <c r="F1093" i="1"/>
  <c r="G1093" i="1" s="1"/>
  <c r="A1094" i="1"/>
  <c r="B1094" i="1" s="1"/>
  <c r="C1094" i="1"/>
  <c r="D1094" i="1"/>
  <c r="E1094" i="1"/>
  <c r="F1094" i="1"/>
  <c r="G1094" i="1" s="1"/>
  <c r="A1095" i="1"/>
  <c r="B1095" i="1" s="1"/>
  <c r="C1095" i="1"/>
  <c r="D1095" i="1"/>
  <c r="E1095" i="1"/>
  <c r="F1095" i="1"/>
  <c r="G1095" i="1" s="1"/>
  <c r="A1096" i="1"/>
  <c r="B1096" i="1" s="1"/>
  <c r="C1096" i="1"/>
  <c r="D1096" i="1"/>
  <c r="E1096" i="1"/>
  <c r="F1096" i="1"/>
  <c r="G1096" i="1" s="1"/>
  <c r="A1097" i="1"/>
  <c r="B1097" i="1" s="1"/>
  <c r="C1097" i="1"/>
  <c r="D1097" i="1"/>
  <c r="E1097" i="1"/>
  <c r="F1097" i="1"/>
  <c r="G1097" i="1" s="1"/>
  <c r="A1098" i="1"/>
  <c r="B1098" i="1" s="1"/>
  <c r="C1098" i="1"/>
  <c r="D1098" i="1"/>
  <c r="E1098" i="1"/>
  <c r="F1098" i="1"/>
  <c r="G1098" i="1" s="1"/>
  <c r="A1099" i="1"/>
  <c r="B1099" i="1" s="1"/>
  <c r="C1099" i="1"/>
  <c r="D1099" i="1"/>
  <c r="E1099" i="1"/>
  <c r="F1099" i="1"/>
  <c r="G1099" i="1" s="1"/>
  <c r="A1100" i="1"/>
  <c r="B1100" i="1" s="1"/>
  <c r="C1100" i="1"/>
  <c r="D1100" i="1"/>
  <c r="E1100" i="1"/>
  <c r="F1100" i="1"/>
  <c r="G1100" i="1" s="1"/>
  <c r="A1101" i="1"/>
  <c r="B1101" i="1" s="1"/>
  <c r="C1101" i="1"/>
  <c r="D1101" i="1"/>
  <c r="E1101" i="1"/>
  <c r="F1101" i="1"/>
  <c r="G1101" i="1" s="1"/>
  <c r="A1102" i="1"/>
  <c r="B1102" i="1" s="1"/>
  <c r="C1102" i="1"/>
  <c r="D1102" i="1"/>
  <c r="E1102" i="1"/>
  <c r="F1102" i="1"/>
  <c r="G1102" i="1" s="1"/>
  <c r="A1103" i="1"/>
  <c r="B1103" i="1" s="1"/>
  <c r="C1103" i="1"/>
  <c r="D1103" i="1"/>
  <c r="E1103" i="1"/>
  <c r="F1103" i="1"/>
  <c r="G1103" i="1" s="1"/>
  <c r="A1104" i="1"/>
  <c r="B1104" i="1" s="1"/>
  <c r="C1104" i="1"/>
  <c r="D1104" i="1"/>
  <c r="E1104" i="1"/>
  <c r="F1104" i="1"/>
  <c r="G1104" i="1" s="1"/>
  <c r="A1105" i="1"/>
  <c r="B1105" i="1" s="1"/>
  <c r="C1105" i="1"/>
  <c r="D1105" i="1"/>
  <c r="E1105" i="1"/>
  <c r="F1105" i="1"/>
  <c r="G1105" i="1" s="1"/>
  <c r="A1106" i="1"/>
  <c r="B1106" i="1" s="1"/>
  <c r="C1106" i="1"/>
  <c r="D1106" i="1"/>
  <c r="E1106" i="1"/>
  <c r="F1106" i="1"/>
  <c r="G1106" i="1" s="1"/>
  <c r="A1107" i="1"/>
  <c r="B1107" i="1" s="1"/>
  <c r="C1107" i="1"/>
  <c r="D1107" i="1"/>
  <c r="E1107" i="1"/>
  <c r="F1107" i="1"/>
  <c r="G1107" i="1" s="1"/>
  <c r="A1108" i="1"/>
  <c r="B1108" i="1" s="1"/>
  <c r="C1108" i="1"/>
  <c r="D1108" i="1"/>
  <c r="E1108" i="1"/>
  <c r="F1108" i="1"/>
  <c r="G1108" i="1" s="1"/>
  <c r="A1109" i="1"/>
  <c r="B1109" i="1" s="1"/>
  <c r="C1109" i="1"/>
  <c r="D1109" i="1"/>
  <c r="E1109" i="1"/>
  <c r="F1109" i="1"/>
  <c r="G1109" i="1" s="1"/>
  <c r="A1110" i="1"/>
  <c r="B1110" i="1" s="1"/>
  <c r="C1110" i="1"/>
  <c r="D1110" i="1"/>
  <c r="E1110" i="1"/>
  <c r="F1110" i="1"/>
  <c r="G1110" i="1" s="1"/>
  <c r="A1111" i="1"/>
  <c r="B1111" i="1"/>
  <c r="C1111" i="1"/>
  <c r="D1111" i="1"/>
  <c r="E1111" i="1"/>
  <c r="F1111" i="1"/>
  <c r="G1111" i="1" s="1"/>
  <c r="A1112" i="1"/>
  <c r="B1112" i="1" s="1"/>
  <c r="C1112" i="1"/>
  <c r="D1112" i="1"/>
  <c r="E1112" i="1"/>
  <c r="F1112" i="1"/>
  <c r="G1112" i="1" s="1"/>
  <c r="A1113" i="1"/>
  <c r="B1113" i="1" s="1"/>
  <c r="C1113" i="1"/>
  <c r="D1113" i="1"/>
  <c r="E1113" i="1"/>
  <c r="F1113" i="1"/>
  <c r="G1113" i="1"/>
  <c r="A1114" i="1"/>
  <c r="B1114" i="1" s="1"/>
  <c r="C1114" i="1"/>
  <c r="D1114" i="1"/>
  <c r="E1114" i="1"/>
  <c r="F1114" i="1"/>
  <c r="G1114" i="1" s="1"/>
  <c r="A1115" i="1"/>
  <c r="B1115" i="1"/>
  <c r="C1115" i="1"/>
  <c r="D1115" i="1"/>
  <c r="E1115" i="1"/>
  <c r="F1115" i="1"/>
  <c r="G1115" i="1"/>
  <c r="A1116" i="1"/>
  <c r="B1116" i="1"/>
  <c r="C1116" i="1"/>
  <c r="D1116" i="1"/>
  <c r="E1116" i="1"/>
  <c r="F1116" i="1"/>
  <c r="G1116" i="1" s="1"/>
  <c r="A1117" i="1"/>
  <c r="B1117" i="1" s="1"/>
  <c r="C1117" i="1"/>
  <c r="D1117" i="1"/>
  <c r="E1117" i="1"/>
  <c r="F1117" i="1"/>
  <c r="G1117" i="1" s="1"/>
  <c r="A1118" i="1"/>
  <c r="B1118" i="1"/>
  <c r="C1118" i="1"/>
  <c r="D1118" i="1"/>
  <c r="E1118" i="1"/>
  <c r="F1118" i="1"/>
  <c r="G1118" i="1" s="1"/>
  <c r="A1119" i="1"/>
  <c r="B1119" i="1" s="1"/>
  <c r="C1119" i="1"/>
  <c r="D1119" i="1"/>
  <c r="E1119" i="1"/>
  <c r="F1119" i="1"/>
  <c r="G1119" i="1" s="1"/>
  <c r="A1120" i="1"/>
  <c r="B1120" i="1" s="1"/>
  <c r="C1120" i="1"/>
  <c r="D1120" i="1"/>
  <c r="E1120" i="1"/>
  <c r="F1120" i="1"/>
  <c r="G1120" i="1" s="1"/>
  <c r="A1121" i="1"/>
  <c r="B1121" i="1" s="1"/>
  <c r="C1121" i="1"/>
  <c r="D1121" i="1"/>
  <c r="E1121" i="1"/>
  <c r="F1121" i="1"/>
  <c r="G1121" i="1" s="1"/>
  <c r="A1122" i="1"/>
  <c r="B1122" i="1" s="1"/>
  <c r="C1122" i="1"/>
  <c r="D1122" i="1"/>
  <c r="E1122" i="1"/>
  <c r="F1122" i="1"/>
  <c r="G1122" i="1" s="1"/>
  <c r="A1123" i="1"/>
  <c r="B1123" i="1" s="1"/>
  <c r="C1123" i="1"/>
  <c r="D1123" i="1"/>
  <c r="E1123" i="1"/>
  <c r="F1123" i="1"/>
  <c r="G1123" i="1"/>
  <c r="A1124" i="1"/>
  <c r="B1124" i="1" s="1"/>
  <c r="C1124" i="1"/>
  <c r="D1124" i="1"/>
  <c r="E1124" i="1"/>
  <c r="F1124" i="1"/>
  <c r="G1124" i="1" s="1"/>
  <c r="A1125" i="1"/>
  <c r="B1125" i="1" s="1"/>
  <c r="C1125" i="1"/>
  <c r="D1125" i="1"/>
  <c r="E1125" i="1"/>
  <c r="F1125" i="1"/>
  <c r="G1125" i="1" s="1"/>
  <c r="A1126" i="1"/>
  <c r="B1126" i="1" s="1"/>
  <c r="C1126" i="1"/>
  <c r="D1126" i="1"/>
  <c r="E1126" i="1"/>
  <c r="F1126" i="1"/>
  <c r="G1126" i="1" s="1"/>
  <c r="A1127" i="1"/>
  <c r="B1127" i="1"/>
  <c r="C1127" i="1"/>
  <c r="D1127" i="1"/>
  <c r="E1127" i="1"/>
  <c r="F1127" i="1"/>
  <c r="G1127" i="1" s="1"/>
  <c r="A1128" i="1"/>
  <c r="B1128" i="1"/>
  <c r="C1128" i="1"/>
  <c r="D1128" i="1"/>
  <c r="E1128" i="1"/>
  <c r="F1128" i="1"/>
  <c r="G1128" i="1" s="1"/>
  <c r="A1129" i="1"/>
  <c r="B1129" i="1" s="1"/>
  <c r="C1129" i="1"/>
  <c r="D1129" i="1"/>
  <c r="E1129" i="1"/>
  <c r="F1129" i="1"/>
  <c r="G1129" i="1" s="1"/>
  <c r="A1130" i="1"/>
  <c r="B1130" i="1"/>
  <c r="C1130" i="1"/>
  <c r="D1130" i="1"/>
  <c r="E1130" i="1"/>
  <c r="F1130" i="1"/>
  <c r="G1130" i="1" s="1"/>
  <c r="A1131" i="1"/>
  <c r="B1131" i="1" s="1"/>
  <c r="C1131" i="1"/>
  <c r="D1131" i="1"/>
  <c r="E1131" i="1"/>
  <c r="F1131" i="1"/>
  <c r="G1131" i="1" s="1"/>
  <c r="A1132" i="1"/>
  <c r="B1132" i="1" s="1"/>
  <c r="C1132" i="1"/>
  <c r="D1132" i="1"/>
  <c r="E1132" i="1"/>
  <c r="F1132" i="1"/>
  <c r="G1132" i="1" s="1"/>
  <c r="A1133" i="1"/>
  <c r="B1133" i="1" s="1"/>
  <c r="C1133" i="1"/>
  <c r="D1133" i="1"/>
  <c r="E1133" i="1"/>
  <c r="F1133" i="1"/>
  <c r="G1133" i="1" s="1"/>
  <c r="A1134" i="1"/>
  <c r="B1134" i="1" s="1"/>
  <c r="C1134" i="1"/>
  <c r="D1134" i="1"/>
  <c r="E1134" i="1"/>
  <c r="F1134" i="1"/>
  <c r="G1134" i="1" s="1"/>
  <c r="A1135" i="1"/>
  <c r="B1135" i="1"/>
  <c r="C1135" i="1"/>
  <c r="D1135" i="1"/>
  <c r="E1135" i="1"/>
  <c r="F1135" i="1"/>
  <c r="G1135" i="1" s="1"/>
  <c r="A1136" i="1"/>
  <c r="B1136" i="1"/>
  <c r="C1136" i="1"/>
  <c r="D1136" i="1"/>
  <c r="E1136" i="1"/>
  <c r="F1136" i="1"/>
  <c r="G1136" i="1"/>
  <c r="A1137" i="1"/>
  <c r="B1137" i="1" s="1"/>
  <c r="C1137" i="1"/>
  <c r="D1137" i="1"/>
  <c r="E1137" i="1"/>
  <c r="F1137" i="1"/>
  <c r="G1137" i="1" s="1"/>
  <c r="A1138" i="1"/>
  <c r="B1138" i="1" s="1"/>
  <c r="C1138" i="1"/>
  <c r="D1138" i="1"/>
  <c r="E1138" i="1"/>
  <c r="F1138" i="1"/>
  <c r="G1138" i="1" s="1"/>
  <c r="A1139" i="1"/>
  <c r="B1139" i="1"/>
  <c r="C1139" i="1"/>
  <c r="D1139" i="1"/>
  <c r="E1139" i="1"/>
  <c r="F1139" i="1"/>
  <c r="G1139" i="1" s="1"/>
  <c r="A1140" i="1"/>
  <c r="B1140" i="1" s="1"/>
  <c r="C1140" i="1"/>
  <c r="D1140" i="1"/>
  <c r="E1140" i="1"/>
  <c r="F1140" i="1"/>
  <c r="G1140" i="1" s="1"/>
  <c r="A1141" i="1"/>
  <c r="B1141" i="1" s="1"/>
  <c r="C1141" i="1"/>
  <c r="D1141" i="1"/>
  <c r="E1141" i="1"/>
  <c r="F1141" i="1"/>
  <c r="G1141" i="1" s="1"/>
  <c r="A1142" i="1"/>
  <c r="B1142" i="1" s="1"/>
  <c r="C1142" i="1"/>
  <c r="D1142" i="1"/>
  <c r="E1142" i="1"/>
  <c r="F1142" i="1"/>
  <c r="G1142" i="1" s="1"/>
  <c r="A1143" i="1"/>
  <c r="B1143" i="1" s="1"/>
  <c r="C1143" i="1"/>
  <c r="D1143" i="1"/>
  <c r="E1143" i="1"/>
  <c r="F1143" i="1"/>
  <c r="G1143" i="1" s="1"/>
  <c r="A1144" i="1"/>
  <c r="B1144" i="1" s="1"/>
  <c r="C1144" i="1"/>
  <c r="D1144" i="1"/>
  <c r="E1144" i="1"/>
  <c r="F1144" i="1"/>
  <c r="G1144" i="1" s="1"/>
  <c r="A1145" i="1"/>
  <c r="B1145" i="1" s="1"/>
  <c r="C1145" i="1"/>
  <c r="D1145" i="1"/>
  <c r="E1145" i="1"/>
  <c r="F1145" i="1"/>
  <c r="G1145" i="1" s="1"/>
  <c r="A1146" i="1"/>
  <c r="B1146" i="1" s="1"/>
  <c r="C1146" i="1"/>
  <c r="D1146" i="1"/>
  <c r="E1146" i="1"/>
  <c r="F1146" i="1"/>
  <c r="G1146" i="1" s="1"/>
  <c r="A1147" i="1"/>
  <c r="B1147" i="1"/>
  <c r="C1147" i="1"/>
  <c r="D1147" i="1"/>
  <c r="E1147" i="1"/>
  <c r="F1147" i="1"/>
  <c r="G1147" i="1" s="1"/>
  <c r="A1148" i="1"/>
  <c r="B1148" i="1" s="1"/>
  <c r="C1148" i="1"/>
  <c r="D1148" i="1"/>
  <c r="E1148" i="1"/>
  <c r="F1148" i="1"/>
  <c r="G1148" i="1" s="1"/>
  <c r="A1149" i="1"/>
  <c r="B1149" i="1" s="1"/>
  <c r="C1149" i="1"/>
  <c r="D1149" i="1"/>
  <c r="E1149" i="1"/>
  <c r="F1149" i="1"/>
  <c r="G1149" i="1" s="1"/>
  <c r="A1150" i="1"/>
  <c r="B1150" i="1"/>
  <c r="C1150" i="1"/>
  <c r="D1150" i="1"/>
  <c r="E1150" i="1"/>
  <c r="F1150" i="1"/>
  <c r="G1150" i="1" s="1"/>
  <c r="A1151" i="1"/>
  <c r="B1151" i="1" s="1"/>
  <c r="C1151" i="1"/>
  <c r="D1151" i="1"/>
  <c r="E1151" i="1"/>
  <c r="F1151" i="1"/>
  <c r="G1151" i="1" s="1"/>
  <c r="A1152" i="1"/>
  <c r="B1152" i="1" s="1"/>
  <c r="C1152" i="1"/>
  <c r="D1152" i="1"/>
  <c r="E1152" i="1"/>
  <c r="F1152" i="1"/>
  <c r="G1152" i="1" s="1"/>
  <c r="A1153" i="1"/>
  <c r="B1153" i="1" s="1"/>
  <c r="C1153" i="1"/>
  <c r="D1153" i="1"/>
  <c r="E1153" i="1"/>
  <c r="F1153" i="1"/>
  <c r="G1153" i="1" s="1"/>
  <c r="A1154" i="1"/>
  <c r="B1154" i="1" s="1"/>
  <c r="C1154" i="1"/>
  <c r="D1154" i="1"/>
  <c r="E1154" i="1"/>
  <c r="F1154" i="1"/>
  <c r="G1154" i="1" s="1"/>
  <c r="A1155" i="1"/>
  <c r="B1155" i="1" s="1"/>
  <c r="C1155" i="1"/>
  <c r="D1155" i="1"/>
  <c r="E1155" i="1"/>
  <c r="F1155" i="1"/>
  <c r="G1155" i="1"/>
  <c r="A1156" i="1"/>
  <c r="B1156" i="1" s="1"/>
  <c r="C1156" i="1"/>
  <c r="D1156" i="1"/>
  <c r="E1156" i="1"/>
  <c r="F1156" i="1"/>
  <c r="G1156" i="1" s="1"/>
  <c r="A1157" i="1"/>
  <c r="B1157" i="1" s="1"/>
  <c r="C1157" i="1"/>
  <c r="D1157" i="1"/>
  <c r="E1157" i="1"/>
  <c r="F1157" i="1"/>
  <c r="G1157" i="1" s="1"/>
  <c r="A1158" i="1"/>
  <c r="B1158" i="1"/>
  <c r="C1158" i="1"/>
  <c r="D1158" i="1"/>
  <c r="E1158" i="1"/>
  <c r="F1158" i="1"/>
  <c r="G1158" i="1" s="1"/>
  <c r="A1159" i="1"/>
  <c r="B1159" i="1"/>
  <c r="C1159" i="1"/>
  <c r="D1159" i="1"/>
  <c r="E1159" i="1"/>
  <c r="F1159" i="1"/>
  <c r="G1159" i="1" s="1"/>
  <c r="A1160" i="1"/>
  <c r="B1160" i="1" s="1"/>
  <c r="C1160" i="1"/>
  <c r="D1160" i="1"/>
  <c r="E1160" i="1"/>
  <c r="F1160" i="1"/>
  <c r="G1160" i="1"/>
  <c r="A1161" i="1"/>
  <c r="B1161" i="1" s="1"/>
  <c r="C1161" i="1"/>
  <c r="D1161" i="1"/>
  <c r="E1161" i="1"/>
  <c r="F1161" i="1"/>
  <c r="G1161" i="1" s="1"/>
  <c r="A1162" i="1"/>
  <c r="B1162" i="1" s="1"/>
  <c r="C1162" i="1"/>
  <c r="D1162" i="1"/>
  <c r="E1162" i="1"/>
  <c r="F1162" i="1"/>
  <c r="G1162" i="1" s="1"/>
  <c r="A1163" i="1"/>
  <c r="B1163" i="1" s="1"/>
  <c r="C1163" i="1"/>
  <c r="D1163" i="1"/>
  <c r="E1163" i="1"/>
  <c r="F1163" i="1"/>
  <c r="G1163" i="1" s="1"/>
  <c r="A1164" i="1"/>
  <c r="B1164" i="1"/>
  <c r="C1164" i="1"/>
  <c r="D1164" i="1"/>
  <c r="E1164" i="1"/>
  <c r="F1164" i="1"/>
  <c r="G1164" i="1" s="1"/>
  <c r="A1165" i="1"/>
  <c r="B1165" i="1" s="1"/>
  <c r="C1165" i="1"/>
  <c r="D1165" i="1"/>
  <c r="E1165" i="1"/>
  <c r="F1165" i="1"/>
  <c r="G1165" i="1" s="1"/>
  <c r="A1166" i="1"/>
  <c r="B1166" i="1" s="1"/>
  <c r="C1166" i="1"/>
  <c r="D1166" i="1"/>
  <c r="E1166" i="1"/>
  <c r="F1166" i="1"/>
  <c r="G1166" i="1" s="1"/>
  <c r="A1167" i="1"/>
  <c r="B1167" i="1" s="1"/>
  <c r="C1167" i="1"/>
  <c r="D1167" i="1"/>
  <c r="E1167" i="1"/>
  <c r="F1167" i="1"/>
  <c r="G1167" i="1"/>
  <c r="A1168" i="1"/>
  <c r="B1168" i="1" s="1"/>
  <c r="C1168" i="1"/>
  <c r="D1168" i="1"/>
  <c r="E1168" i="1"/>
  <c r="F1168" i="1"/>
  <c r="G1168" i="1" s="1"/>
  <c r="A1169" i="1"/>
  <c r="B1169" i="1" s="1"/>
  <c r="C1169" i="1"/>
  <c r="D1169" i="1"/>
  <c r="E1169" i="1"/>
  <c r="F1169" i="1"/>
  <c r="G1169" i="1" s="1"/>
  <c r="A1170" i="1"/>
  <c r="B1170" i="1"/>
  <c r="C1170" i="1"/>
  <c r="D1170" i="1"/>
  <c r="E1170" i="1"/>
  <c r="F1170" i="1"/>
  <c r="G1170" i="1" s="1"/>
  <c r="A1171" i="1"/>
  <c r="B1171" i="1" s="1"/>
  <c r="C1171" i="1"/>
  <c r="D1171" i="1"/>
  <c r="E1171" i="1"/>
  <c r="F1171" i="1"/>
  <c r="G1171" i="1" s="1"/>
  <c r="A1172" i="1"/>
  <c r="B1172" i="1" s="1"/>
  <c r="C1172" i="1"/>
  <c r="D1172" i="1"/>
  <c r="E1172" i="1"/>
  <c r="F1172" i="1"/>
  <c r="G1172" i="1" s="1"/>
  <c r="A1173" i="1"/>
  <c r="B1173" i="1" s="1"/>
  <c r="C1173" i="1"/>
  <c r="D1173" i="1"/>
  <c r="E1173" i="1"/>
  <c r="F1173" i="1"/>
  <c r="G1173" i="1" s="1"/>
  <c r="A1174" i="1"/>
  <c r="B1174" i="1" s="1"/>
  <c r="C1174" i="1"/>
  <c r="D1174" i="1"/>
  <c r="E1174" i="1"/>
  <c r="F1174" i="1"/>
  <c r="G1174" i="1" s="1"/>
  <c r="A1175" i="1"/>
  <c r="B1175" i="1" s="1"/>
  <c r="C1175" i="1"/>
  <c r="D1175" i="1"/>
  <c r="E1175" i="1"/>
  <c r="F1175" i="1"/>
  <c r="G1175" i="1" s="1"/>
  <c r="A1176" i="1"/>
  <c r="B1176" i="1" s="1"/>
  <c r="C1176" i="1"/>
  <c r="D1176" i="1"/>
  <c r="E1176" i="1"/>
  <c r="F1176" i="1"/>
  <c r="G1176" i="1" s="1"/>
  <c r="A1177" i="1"/>
  <c r="B1177" i="1" s="1"/>
  <c r="C1177" i="1"/>
  <c r="D1177" i="1"/>
  <c r="E1177" i="1"/>
  <c r="F1177" i="1"/>
  <c r="G1177" i="1"/>
  <c r="A1178" i="1"/>
  <c r="B1178" i="1"/>
  <c r="C1178" i="1"/>
  <c r="D1178" i="1"/>
  <c r="E1178" i="1"/>
  <c r="F1178" i="1"/>
  <c r="G1178" i="1" s="1"/>
  <c r="A1179" i="1"/>
  <c r="B1179" i="1" s="1"/>
  <c r="C1179" i="1"/>
  <c r="D1179" i="1"/>
  <c r="E1179" i="1"/>
  <c r="F1179" i="1"/>
  <c r="G1179" i="1" s="1"/>
  <c r="A1180" i="1"/>
  <c r="B1180" i="1" s="1"/>
  <c r="C1180" i="1"/>
  <c r="D1180" i="1"/>
  <c r="E1180" i="1"/>
  <c r="F1180" i="1"/>
  <c r="G1180" i="1" s="1"/>
  <c r="A1181" i="1"/>
  <c r="B1181" i="1" s="1"/>
  <c r="C1181" i="1"/>
  <c r="D1181" i="1"/>
  <c r="E1181" i="1"/>
  <c r="F1181" i="1"/>
  <c r="G1181" i="1" s="1"/>
  <c r="A1182" i="1"/>
  <c r="B1182" i="1" s="1"/>
  <c r="C1182" i="1"/>
  <c r="D1182" i="1"/>
  <c r="E1182" i="1"/>
  <c r="F1182" i="1"/>
  <c r="G1182" i="1" s="1"/>
  <c r="A1183" i="1"/>
  <c r="B1183" i="1" s="1"/>
  <c r="C1183" i="1"/>
  <c r="D1183" i="1"/>
  <c r="E1183" i="1"/>
  <c r="F1183" i="1"/>
  <c r="G1183" i="1" s="1"/>
  <c r="A1184" i="1"/>
  <c r="B1184" i="1" s="1"/>
  <c r="C1184" i="1"/>
  <c r="D1184" i="1"/>
  <c r="E1184" i="1"/>
  <c r="F1184" i="1"/>
  <c r="G1184" i="1" s="1"/>
  <c r="A1185" i="1"/>
  <c r="B1185" i="1" s="1"/>
  <c r="C1185" i="1"/>
  <c r="D1185" i="1"/>
  <c r="E1185" i="1"/>
  <c r="F1185" i="1"/>
  <c r="G1185" i="1" s="1"/>
  <c r="A1186" i="1"/>
  <c r="B1186" i="1" s="1"/>
  <c r="C1186" i="1"/>
  <c r="D1186" i="1"/>
  <c r="E1186" i="1"/>
  <c r="F1186" i="1"/>
  <c r="G1186" i="1" s="1"/>
  <c r="A1187" i="1"/>
  <c r="B1187" i="1"/>
  <c r="C1187" i="1"/>
  <c r="D1187" i="1"/>
  <c r="E1187" i="1"/>
  <c r="F1187" i="1"/>
  <c r="G1187" i="1" s="1"/>
  <c r="A1188" i="1"/>
  <c r="B1188" i="1" s="1"/>
  <c r="C1188" i="1"/>
  <c r="D1188" i="1"/>
  <c r="E1188" i="1"/>
  <c r="F1188" i="1"/>
  <c r="G1188" i="1" s="1"/>
  <c r="A1189" i="1"/>
  <c r="B1189" i="1" s="1"/>
  <c r="C1189" i="1"/>
  <c r="D1189" i="1"/>
  <c r="E1189" i="1"/>
  <c r="F1189" i="1"/>
  <c r="G1189" i="1" s="1"/>
  <c r="A1190" i="1"/>
  <c r="B1190" i="1" s="1"/>
  <c r="C1190" i="1"/>
  <c r="D1190" i="1"/>
  <c r="E1190" i="1"/>
  <c r="F1190" i="1"/>
  <c r="G1190" i="1" s="1"/>
  <c r="A1191" i="1"/>
  <c r="B1191" i="1"/>
  <c r="C1191" i="1"/>
  <c r="D1191" i="1"/>
  <c r="E1191" i="1"/>
  <c r="F1191" i="1"/>
  <c r="G1191" i="1" s="1"/>
  <c r="A1192" i="1"/>
  <c r="B1192" i="1" s="1"/>
  <c r="C1192" i="1"/>
  <c r="D1192" i="1"/>
  <c r="E1192" i="1"/>
  <c r="F1192" i="1"/>
  <c r="G1192" i="1" s="1"/>
  <c r="A1193" i="1"/>
  <c r="B1193" i="1" s="1"/>
  <c r="C1193" i="1"/>
  <c r="D1193" i="1"/>
  <c r="E1193" i="1"/>
  <c r="F1193" i="1"/>
  <c r="G1193" i="1" s="1"/>
  <c r="A1194" i="1"/>
  <c r="B1194" i="1"/>
  <c r="C1194" i="1"/>
  <c r="D1194" i="1"/>
  <c r="E1194" i="1"/>
  <c r="F1194" i="1"/>
  <c r="G1194" i="1" s="1"/>
  <c r="A1195" i="1"/>
  <c r="B1195" i="1" s="1"/>
  <c r="C1195" i="1"/>
  <c r="D1195" i="1"/>
  <c r="E1195" i="1"/>
  <c r="F1195" i="1"/>
  <c r="G1195" i="1" s="1"/>
  <c r="A1196" i="1"/>
  <c r="B1196" i="1"/>
  <c r="C1196" i="1"/>
  <c r="D1196" i="1"/>
  <c r="E1196" i="1"/>
  <c r="F1196" i="1"/>
  <c r="G1196" i="1" s="1"/>
  <c r="A1197" i="1"/>
  <c r="B1197" i="1" s="1"/>
  <c r="C1197" i="1"/>
  <c r="D1197" i="1"/>
  <c r="E1197" i="1"/>
  <c r="F1197" i="1"/>
  <c r="G1197" i="1" s="1"/>
  <c r="A1198" i="1"/>
  <c r="B1198" i="1" s="1"/>
  <c r="C1198" i="1"/>
  <c r="D1198" i="1"/>
  <c r="E1198" i="1"/>
  <c r="F1198" i="1"/>
  <c r="G1198" i="1" s="1"/>
  <c r="A1199" i="1"/>
  <c r="B1199" i="1" s="1"/>
  <c r="C1199" i="1"/>
  <c r="D1199" i="1"/>
  <c r="E1199" i="1"/>
  <c r="F1199" i="1"/>
  <c r="G1199" i="1" s="1"/>
  <c r="A1200" i="1"/>
  <c r="B1200" i="1"/>
  <c r="C1200" i="1"/>
  <c r="D1200" i="1"/>
  <c r="E1200" i="1"/>
  <c r="F1200" i="1"/>
  <c r="G1200" i="1" s="1"/>
  <c r="A1201" i="1"/>
  <c r="B1201" i="1" s="1"/>
  <c r="C1201" i="1"/>
  <c r="D1201" i="1"/>
  <c r="E1201" i="1"/>
  <c r="F1201" i="1"/>
  <c r="G1201" i="1" s="1"/>
  <c r="A1202" i="1"/>
  <c r="B1202" i="1" s="1"/>
  <c r="C1202" i="1"/>
  <c r="D1202" i="1"/>
  <c r="E1202" i="1"/>
  <c r="F1202" i="1"/>
  <c r="G1202" i="1" s="1"/>
  <c r="A1203" i="1"/>
  <c r="B1203" i="1" s="1"/>
  <c r="C1203" i="1"/>
  <c r="D1203" i="1"/>
  <c r="E1203" i="1"/>
  <c r="F1203" i="1"/>
  <c r="G1203" i="1" s="1"/>
  <c r="A1204" i="1"/>
  <c r="B1204" i="1" s="1"/>
  <c r="C1204" i="1"/>
  <c r="D1204" i="1"/>
  <c r="E1204" i="1"/>
  <c r="F1204" i="1"/>
  <c r="G1204" i="1" s="1"/>
  <c r="A1205" i="1"/>
  <c r="B1205" i="1" s="1"/>
  <c r="C1205" i="1"/>
  <c r="D1205" i="1"/>
  <c r="E1205" i="1"/>
  <c r="F1205" i="1"/>
  <c r="G1205" i="1" s="1"/>
  <c r="A1206" i="1"/>
  <c r="B1206" i="1"/>
  <c r="C1206" i="1"/>
  <c r="D1206" i="1"/>
  <c r="E1206" i="1"/>
  <c r="F1206" i="1"/>
  <c r="G1206" i="1" s="1"/>
  <c r="A1207" i="1"/>
  <c r="B1207" i="1" s="1"/>
  <c r="C1207" i="1"/>
  <c r="D1207" i="1"/>
  <c r="E1207" i="1"/>
  <c r="F1207" i="1"/>
  <c r="G1207" i="1" s="1"/>
  <c r="A1208" i="1"/>
  <c r="B1208" i="1"/>
  <c r="C1208" i="1"/>
  <c r="D1208" i="1"/>
  <c r="E1208" i="1"/>
  <c r="F1208" i="1"/>
  <c r="G1208" i="1" s="1"/>
  <c r="A1209" i="1"/>
  <c r="B1209" i="1" s="1"/>
  <c r="C1209" i="1"/>
  <c r="D1209" i="1"/>
  <c r="E1209" i="1"/>
  <c r="F1209" i="1"/>
  <c r="G1209" i="1" s="1"/>
  <c r="A1210" i="1"/>
  <c r="B1210" i="1" s="1"/>
  <c r="C1210" i="1"/>
  <c r="D1210" i="1"/>
  <c r="E1210" i="1"/>
  <c r="F1210" i="1"/>
  <c r="G1210" i="1" s="1"/>
  <c r="A1211" i="1"/>
  <c r="B1211" i="1" s="1"/>
  <c r="C1211" i="1"/>
  <c r="D1211" i="1"/>
  <c r="E1211" i="1"/>
  <c r="F1211" i="1"/>
  <c r="G1211" i="1" s="1"/>
  <c r="A1212" i="1"/>
  <c r="B1212" i="1" s="1"/>
  <c r="C1212" i="1"/>
  <c r="D1212" i="1"/>
  <c r="E1212" i="1"/>
  <c r="F1212" i="1"/>
  <c r="G1212" i="1" s="1"/>
  <c r="A1213" i="1"/>
  <c r="B1213" i="1" s="1"/>
  <c r="C1213" i="1"/>
  <c r="D1213" i="1"/>
  <c r="E1213" i="1"/>
  <c r="F1213" i="1"/>
  <c r="G1213" i="1" s="1"/>
  <c r="A1214" i="1"/>
  <c r="B1214" i="1" s="1"/>
  <c r="C1214" i="1"/>
  <c r="D1214" i="1"/>
  <c r="E1214" i="1"/>
  <c r="F1214" i="1"/>
  <c r="G1214" i="1" s="1"/>
  <c r="A1215" i="1"/>
  <c r="B1215" i="1"/>
  <c r="C1215" i="1"/>
  <c r="D1215" i="1"/>
  <c r="E1215" i="1"/>
  <c r="F1215" i="1"/>
  <c r="G1215" i="1" s="1"/>
  <c r="A1216" i="1"/>
  <c r="B1216" i="1" s="1"/>
  <c r="C1216" i="1"/>
  <c r="D1216" i="1"/>
  <c r="E1216" i="1"/>
  <c r="F1216" i="1"/>
  <c r="G1216" i="1" s="1"/>
  <c r="A1217" i="1"/>
  <c r="B1217" i="1" s="1"/>
  <c r="C1217" i="1"/>
  <c r="D1217" i="1"/>
  <c r="E1217" i="1"/>
  <c r="F1217" i="1"/>
  <c r="G1217" i="1" s="1"/>
  <c r="A1218" i="1"/>
  <c r="B1218" i="1" s="1"/>
  <c r="C1218" i="1"/>
  <c r="D1218" i="1"/>
  <c r="E1218" i="1"/>
  <c r="F1218" i="1"/>
  <c r="G1218" i="1" s="1"/>
  <c r="A1219" i="1"/>
  <c r="B1219" i="1"/>
  <c r="C1219" i="1"/>
  <c r="D1219" i="1"/>
  <c r="E1219" i="1"/>
  <c r="F1219" i="1"/>
  <c r="G1219" i="1" s="1"/>
  <c r="A1220" i="1"/>
  <c r="B1220" i="1" s="1"/>
  <c r="C1220" i="1"/>
  <c r="D1220" i="1"/>
  <c r="E1220" i="1"/>
  <c r="F1220" i="1"/>
  <c r="G1220" i="1" s="1"/>
  <c r="A1221" i="1"/>
  <c r="B1221" i="1" s="1"/>
  <c r="C1221" i="1"/>
  <c r="D1221" i="1"/>
  <c r="E1221" i="1"/>
  <c r="F1221" i="1"/>
  <c r="G1221" i="1" s="1"/>
  <c r="A1222" i="1"/>
  <c r="B1222" i="1" s="1"/>
  <c r="C1222" i="1"/>
  <c r="D1222" i="1"/>
  <c r="E1222" i="1"/>
  <c r="F1222" i="1"/>
  <c r="G1222" i="1" s="1"/>
  <c r="A1223" i="1"/>
  <c r="B1223" i="1" s="1"/>
  <c r="C1223" i="1"/>
  <c r="D1223" i="1"/>
  <c r="E1223" i="1"/>
  <c r="F1223" i="1"/>
  <c r="G1223" i="1" s="1"/>
  <c r="A1224" i="1"/>
  <c r="B1224" i="1" s="1"/>
  <c r="C1224" i="1"/>
  <c r="D1224" i="1"/>
  <c r="E1224" i="1"/>
  <c r="F1224" i="1"/>
  <c r="G1224" i="1"/>
  <c r="A1225" i="1"/>
  <c r="B1225" i="1" s="1"/>
  <c r="C1225" i="1"/>
  <c r="D1225" i="1"/>
  <c r="E1225" i="1"/>
  <c r="F1225" i="1"/>
  <c r="G1225" i="1" s="1"/>
  <c r="A1226" i="1"/>
  <c r="B1226" i="1"/>
  <c r="C1226" i="1"/>
  <c r="D1226" i="1"/>
  <c r="E1226" i="1"/>
  <c r="F1226" i="1"/>
  <c r="G1226" i="1" s="1"/>
  <c r="A1227" i="1"/>
  <c r="B1227" i="1" s="1"/>
  <c r="C1227" i="1"/>
  <c r="D1227" i="1"/>
  <c r="E1227" i="1"/>
  <c r="F1227" i="1"/>
  <c r="G1227" i="1" s="1"/>
  <c r="A1228" i="1"/>
  <c r="B1228" i="1" s="1"/>
  <c r="C1228" i="1"/>
  <c r="D1228" i="1"/>
  <c r="E1228" i="1"/>
  <c r="F1228" i="1"/>
  <c r="G1228" i="1" s="1"/>
  <c r="A1229" i="1"/>
  <c r="B1229" i="1" s="1"/>
  <c r="C1229" i="1"/>
  <c r="D1229" i="1"/>
  <c r="E1229" i="1"/>
  <c r="F1229" i="1"/>
  <c r="G1229" i="1" s="1"/>
  <c r="A1230" i="1"/>
  <c r="B1230" i="1" s="1"/>
  <c r="C1230" i="1"/>
  <c r="D1230" i="1"/>
  <c r="E1230" i="1"/>
  <c r="F1230" i="1"/>
  <c r="G1230" i="1" s="1"/>
  <c r="A1231" i="1"/>
  <c r="B1231" i="1" s="1"/>
  <c r="C1231" i="1"/>
  <c r="D1231" i="1"/>
  <c r="E1231" i="1"/>
  <c r="F1231" i="1"/>
  <c r="G1231" i="1" s="1"/>
  <c r="A1232" i="1"/>
  <c r="B1232" i="1" s="1"/>
  <c r="C1232" i="1"/>
  <c r="D1232" i="1"/>
  <c r="E1232" i="1"/>
  <c r="F1232" i="1"/>
  <c r="G1232" i="1" s="1"/>
  <c r="A1233" i="1"/>
  <c r="B1233" i="1" s="1"/>
  <c r="C1233" i="1"/>
  <c r="D1233" i="1"/>
  <c r="E1233" i="1"/>
  <c r="F1233" i="1"/>
  <c r="G1233" i="1" s="1"/>
  <c r="A1234" i="1"/>
  <c r="B1234" i="1"/>
  <c r="C1234" i="1"/>
  <c r="D1234" i="1"/>
  <c r="E1234" i="1"/>
  <c r="F1234" i="1"/>
  <c r="G1234" i="1" s="1"/>
  <c r="A1235" i="1"/>
  <c r="B1235" i="1" s="1"/>
  <c r="C1235" i="1"/>
  <c r="D1235" i="1"/>
  <c r="E1235" i="1"/>
  <c r="F1235" i="1"/>
  <c r="G1235" i="1" s="1"/>
  <c r="A1236" i="1"/>
  <c r="B1236" i="1" s="1"/>
  <c r="C1236" i="1"/>
  <c r="D1236" i="1"/>
  <c r="E1236" i="1"/>
  <c r="F1236" i="1"/>
  <c r="G1236" i="1" s="1"/>
  <c r="A1237" i="1"/>
  <c r="B1237" i="1" s="1"/>
  <c r="C1237" i="1"/>
  <c r="D1237" i="1"/>
  <c r="E1237" i="1"/>
  <c r="F1237" i="1"/>
  <c r="G1237" i="1" s="1"/>
  <c r="A1238" i="1"/>
  <c r="B1238" i="1"/>
  <c r="C1238" i="1"/>
  <c r="D1238" i="1"/>
  <c r="E1238" i="1"/>
  <c r="F1238" i="1"/>
  <c r="G1238" i="1" s="1"/>
  <c r="A1239" i="1"/>
  <c r="B1239" i="1"/>
  <c r="C1239" i="1"/>
  <c r="D1239" i="1"/>
  <c r="E1239" i="1"/>
  <c r="F1239" i="1"/>
  <c r="G1239" i="1" s="1"/>
  <c r="A1240" i="1"/>
  <c r="B1240" i="1" s="1"/>
  <c r="C1240" i="1"/>
  <c r="D1240" i="1"/>
  <c r="E1240" i="1"/>
  <c r="F1240" i="1"/>
  <c r="G1240" i="1" s="1"/>
  <c r="A1241" i="1"/>
  <c r="B1241" i="1" s="1"/>
  <c r="C1241" i="1"/>
  <c r="D1241" i="1"/>
  <c r="E1241" i="1"/>
  <c r="F1241" i="1"/>
  <c r="G1241" i="1" s="1"/>
  <c r="A1242" i="1"/>
  <c r="B1242" i="1" s="1"/>
  <c r="C1242" i="1"/>
  <c r="D1242" i="1"/>
  <c r="E1242" i="1"/>
  <c r="F1242" i="1"/>
  <c r="G1242" i="1" s="1"/>
  <c r="A1243" i="1"/>
  <c r="B1243" i="1" s="1"/>
  <c r="C1243" i="1"/>
  <c r="D1243" i="1"/>
  <c r="E1243" i="1"/>
  <c r="F1243" i="1"/>
  <c r="G1243" i="1"/>
  <c r="A1244" i="1"/>
  <c r="B1244" i="1"/>
  <c r="C1244" i="1"/>
  <c r="D1244" i="1"/>
  <c r="E1244" i="1"/>
  <c r="F1244" i="1"/>
  <c r="G1244" i="1" s="1"/>
  <c r="A1245" i="1"/>
  <c r="B1245" i="1" s="1"/>
  <c r="C1245" i="1"/>
  <c r="D1245" i="1"/>
  <c r="E1245" i="1"/>
  <c r="F1245" i="1"/>
  <c r="G1245" i="1" s="1"/>
  <c r="A1246" i="1"/>
  <c r="B1246" i="1" s="1"/>
  <c r="C1246" i="1"/>
  <c r="D1246" i="1"/>
  <c r="E1246" i="1"/>
  <c r="F1246" i="1"/>
  <c r="G1246" i="1" s="1"/>
  <c r="A1247" i="1"/>
  <c r="B1247" i="1" s="1"/>
  <c r="C1247" i="1"/>
  <c r="D1247" i="1"/>
  <c r="E1247" i="1"/>
  <c r="F1247" i="1"/>
  <c r="G1247" i="1" s="1"/>
  <c r="A1248" i="1"/>
  <c r="B1248" i="1" s="1"/>
  <c r="C1248" i="1"/>
  <c r="D1248" i="1"/>
  <c r="E1248" i="1"/>
  <c r="F1248" i="1"/>
  <c r="G1248" i="1" s="1"/>
  <c r="A1249" i="1"/>
  <c r="B1249" i="1" s="1"/>
  <c r="C1249" i="1"/>
  <c r="D1249" i="1"/>
  <c r="E1249" i="1"/>
  <c r="F1249" i="1"/>
  <c r="G1249" i="1" s="1"/>
  <c r="A1250" i="1"/>
  <c r="B1250" i="1" s="1"/>
  <c r="C1250" i="1"/>
  <c r="D1250" i="1"/>
  <c r="E1250" i="1"/>
  <c r="F1250" i="1"/>
  <c r="G1250" i="1" s="1"/>
  <c r="A1251" i="1"/>
  <c r="B1251" i="1" s="1"/>
  <c r="C1251" i="1"/>
  <c r="D1251" i="1"/>
  <c r="E1251" i="1"/>
  <c r="F1251" i="1"/>
  <c r="G1251" i="1" s="1"/>
  <c r="A1252" i="1"/>
  <c r="B1252" i="1" s="1"/>
  <c r="C1252" i="1"/>
  <c r="D1252" i="1"/>
  <c r="E1252" i="1"/>
  <c r="F1252" i="1"/>
  <c r="G1252" i="1" s="1"/>
  <c r="A1253" i="1"/>
  <c r="B1253" i="1" s="1"/>
  <c r="C1253" i="1"/>
  <c r="D1253" i="1"/>
  <c r="E1253" i="1"/>
  <c r="F1253" i="1"/>
  <c r="G1253" i="1" s="1"/>
  <c r="A1254" i="1"/>
  <c r="B1254" i="1" s="1"/>
  <c r="C1254" i="1"/>
  <c r="D1254" i="1"/>
  <c r="E1254" i="1"/>
  <c r="F1254" i="1"/>
  <c r="G1254" i="1" s="1"/>
  <c r="A1255" i="1"/>
  <c r="B1255" i="1" s="1"/>
  <c r="C1255" i="1"/>
  <c r="D1255" i="1"/>
  <c r="E1255" i="1"/>
  <c r="F1255" i="1"/>
  <c r="G1255" i="1" s="1"/>
  <c r="A1256" i="1"/>
  <c r="B1256" i="1" s="1"/>
  <c r="C1256" i="1"/>
  <c r="D1256" i="1"/>
  <c r="E1256" i="1"/>
  <c r="F1256" i="1"/>
  <c r="G1256" i="1" s="1"/>
  <c r="A1257" i="1"/>
  <c r="B1257" i="1"/>
  <c r="C1257" i="1"/>
  <c r="D1257" i="1"/>
  <c r="E1257" i="1"/>
  <c r="F1257" i="1"/>
  <c r="G1257" i="1" s="1"/>
  <c r="A1258" i="1"/>
  <c r="B1258" i="1"/>
  <c r="C1258" i="1"/>
  <c r="D1258" i="1"/>
  <c r="E1258" i="1"/>
  <c r="F1258" i="1"/>
  <c r="G1258" i="1"/>
  <c r="A1259" i="1"/>
  <c r="B1259" i="1" s="1"/>
  <c r="C1259" i="1"/>
  <c r="D1259" i="1"/>
  <c r="E1259" i="1"/>
  <c r="F1259" i="1"/>
  <c r="G1259" i="1" s="1"/>
  <c r="A1260" i="1"/>
  <c r="B1260" i="1"/>
  <c r="C1260" i="1"/>
  <c r="D1260" i="1"/>
  <c r="E1260" i="1"/>
  <c r="F1260" i="1"/>
  <c r="G1260" i="1" s="1"/>
  <c r="A1261" i="1"/>
  <c r="B1261" i="1" s="1"/>
  <c r="C1261" i="1"/>
  <c r="D1261" i="1"/>
  <c r="E1261" i="1"/>
  <c r="F1261" i="1"/>
  <c r="G1261" i="1" s="1"/>
  <c r="A1262" i="1"/>
  <c r="B1262" i="1" s="1"/>
  <c r="C1262" i="1"/>
  <c r="D1262" i="1"/>
  <c r="E1262" i="1"/>
  <c r="F1262" i="1"/>
  <c r="G1262" i="1" s="1"/>
  <c r="A1263" i="1"/>
  <c r="B1263" i="1" s="1"/>
  <c r="C1263" i="1"/>
  <c r="D1263" i="1"/>
  <c r="E1263" i="1"/>
  <c r="F1263" i="1"/>
  <c r="G1263" i="1" s="1"/>
  <c r="A1264" i="1"/>
  <c r="B1264" i="1" s="1"/>
  <c r="C1264" i="1"/>
  <c r="D1264" i="1"/>
  <c r="E1264" i="1"/>
  <c r="F1264" i="1"/>
  <c r="G1264" i="1"/>
  <c r="A1265" i="1"/>
  <c r="B1265" i="1" s="1"/>
  <c r="C1265" i="1"/>
  <c r="D1265" i="1"/>
  <c r="E1265" i="1"/>
  <c r="F1265" i="1"/>
  <c r="G1265" i="1" s="1"/>
  <c r="A1266" i="1"/>
  <c r="B1266" i="1" s="1"/>
  <c r="C1266" i="1"/>
  <c r="D1266" i="1"/>
  <c r="E1266" i="1"/>
  <c r="F1266" i="1"/>
  <c r="G1266" i="1" s="1"/>
  <c r="A1267" i="1"/>
  <c r="B1267" i="1" s="1"/>
  <c r="C1267" i="1"/>
  <c r="D1267" i="1"/>
  <c r="E1267" i="1"/>
  <c r="F1267" i="1"/>
  <c r="G1267" i="1" s="1"/>
  <c r="A1268" i="1"/>
  <c r="B1268" i="1" s="1"/>
  <c r="C1268" i="1"/>
  <c r="D1268" i="1"/>
  <c r="E1268" i="1"/>
  <c r="F1268" i="1"/>
  <c r="G1268" i="1" s="1"/>
  <c r="A1269" i="1"/>
  <c r="B1269" i="1" s="1"/>
  <c r="C1269" i="1"/>
  <c r="D1269" i="1"/>
  <c r="E1269" i="1"/>
  <c r="F1269" i="1"/>
  <c r="G1269" i="1" s="1"/>
  <c r="A1270" i="1"/>
  <c r="B1270" i="1" s="1"/>
  <c r="C1270" i="1"/>
  <c r="D1270" i="1"/>
  <c r="E1270" i="1"/>
  <c r="F1270" i="1"/>
  <c r="G1270" i="1" s="1"/>
  <c r="A1271" i="1"/>
  <c r="B1271" i="1" s="1"/>
  <c r="C1271" i="1"/>
  <c r="D1271" i="1"/>
  <c r="E1271" i="1"/>
  <c r="F1271" i="1"/>
  <c r="G1271" i="1" s="1"/>
  <c r="A1272" i="1"/>
  <c r="B1272" i="1" s="1"/>
  <c r="C1272" i="1"/>
  <c r="D1272" i="1"/>
  <c r="E1272" i="1"/>
  <c r="F1272" i="1"/>
  <c r="G1272" i="1" s="1"/>
  <c r="A1273" i="1"/>
  <c r="B1273" i="1" s="1"/>
  <c r="C1273" i="1"/>
  <c r="D1273" i="1"/>
  <c r="E1273" i="1"/>
  <c r="F1273" i="1"/>
  <c r="G1273" i="1" s="1"/>
  <c r="A1274" i="1"/>
  <c r="B1274" i="1" s="1"/>
  <c r="C1274" i="1"/>
  <c r="D1274" i="1"/>
  <c r="E1274" i="1"/>
  <c r="F1274" i="1"/>
  <c r="G1274" i="1" s="1"/>
  <c r="A1275" i="1"/>
  <c r="B1275" i="1" s="1"/>
  <c r="C1275" i="1"/>
  <c r="D1275" i="1"/>
  <c r="E1275" i="1"/>
  <c r="F1275" i="1"/>
  <c r="G1275" i="1" s="1"/>
  <c r="A1276" i="1"/>
  <c r="B1276" i="1" s="1"/>
  <c r="C1276" i="1"/>
  <c r="D1276" i="1"/>
  <c r="E1276" i="1"/>
  <c r="F1276" i="1"/>
  <c r="G1276" i="1" s="1"/>
  <c r="A1277" i="1"/>
  <c r="B1277" i="1" s="1"/>
  <c r="C1277" i="1"/>
  <c r="D1277" i="1"/>
  <c r="E1277" i="1"/>
  <c r="F1277" i="1"/>
  <c r="G1277" i="1" s="1"/>
  <c r="A1278" i="1"/>
  <c r="B1278" i="1" s="1"/>
  <c r="C1278" i="1"/>
  <c r="D1278" i="1"/>
  <c r="E1278" i="1"/>
  <c r="F1278" i="1"/>
  <c r="G1278" i="1" s="1"/>
  <c r="A1279" i="1"/>
  <c r="B1279" i="1" s="1"/>
  <c r="C1279" i="1"/>
  <c r="D1279" i="1"/>
  <c r="E1279" i="1"/>
  <c r="F1279" i="1"/>
  <c r="G1279" i="1"/>
  <c r="A1280" i="1"/>
  <c r="B1280" i="1" s="1"/>
  <c r="C1280" i="1"/>
  <c r="D1280" i="1"/>
  <c r="E1280" i="1"/>
  <c r="F1280" i="1"/>
  <c r="G1280" i="1" s="1"/>
  <c r="A1281" i="1"/>
  <c r="B1281" i="1" s="1"/>
  <c r="C1281" i="1"/>
  <c r="D1281" i="1"/>
  <c r="E1281" i="1"/>
  <c r="F1281" i="1"/>
  <c r="G1281" i="1" s="1"/>
  <c r="A1282" i="1"/>
  <c r="B1282" i="1" s="1"/>
  <c r="C1282" i="1"/>
  <c r="D1282" i="1"/>
  <c r="E1282" i="1"/>
  <c r="F1282" i="1"/>
  <c r="G1282" i="1" s="1"/>
  <c r="A1283" i="1"/>
  <c r="B1283" i="1" s="1"/>
  <c r="C1283" i="1"/>
  <c r="D1283" i="1"/>
  <c r="E1283" i="1"/>
  <c r="F1283" i="1"/>
  <c r="G1283" i="1" s="1"/>
  <c r="A1284" i="1"/>
  <c r="B1284" i="1" s="1"/>
  <c r="C1284" i="1"/>
  <c r="D1284" i="1"/>
  <c r="E1284" i="1"/>
  <c r="F1284" i="1"/>
  <c r="G1284" i="1" s="1"/>
  <c r="A1285" i="1"/>
  <c r="B1285" i="1"/>
  <c r="C1285" i="1"/>
  <c r="D1285" i="1"/>
  <c r="E1285" i="1"/>
  <c r="F1285" i="1"/>
  <c r="G1285" i="1" s="1"/>
  <c r="A1286" i="1"/>
  <c r="B1286" i="1" s="1"/>
  <c r="C1286" i="1"/>
  <c r="D1286" i="1"/>
  <c r="E1286" i="1"/>
  <c r="F1286" i="1"/>
  <c r="G1286" i="1" s="1"/>
  <c r="A1287" i="1"/>
  <c r="B1287" i="1" s="1"/>
  <c r="C1287" i="1"/>
  <c r="D1287" i="1"/>
  <c r="E1287" i="1"/>
  <c r="F1287" i="1"/>
  <c r="G1287" i="1" s="1"/>
  <c r="A1288" i="1"/>
  <c r="B1288" i="1" s="1"/>
  <c r="C1288" i="1"/>
  <c r="D1288" i="1"/>
  <c r="E1288" i="1"/>
  <c r="F1288" i="1"/>
  <c r="G1288" i="1" s="1"/>
  <c r="A1289" i="1"/>
  <c r="B1289" i="1" s="1"/>
  <c r="C1289" i="1"/>
  <c r="D1289" i="1"/>
  <c r="E1289" i="1"/>
  <c r="F1289" i="1"/>
  <c r="G1289" i="1" s="1"/>
  <c r="A1290" i="1"/>
  <c r="B1290" i="1" s="1"/>
  <c r="C1290" i="1"/>
  <c r="D1290" i="1"/>
  <c r="E1290" i="1"/>
  <c r="F1290" i="1"/>
  <c r="G1290" i="1" s="1"/>
  <c r="A1291" i="1"/>
  <c r="B1291" i="1" s="1"/>
  <c r="C1291" i="1"/>
  <c r="D1291" i="1"/>
  <c r="E1291" i="1"/>
  <c r="F1291" i="1"/>
  <c r="G1291" i="1" s="1"/>
  <c r="A1292" i="1"/>
  <c r="B1292" i="1"/>
  <c r="C1292" i="1"/>
  <c r="D1292" i="1"/>
  <c r="E1292" i="1"/>
  <c r="F1292" i="1"/>
  <c r="G1292" i="1" s="1"/>
  <c r="A1293" i="1"/>
  <c r="B1293" i="1" s="1"/>
  <c r="C1293" i="1"/>
  <c r="D1293" i="1"/>
  <c r="E1293" i="1"/>
  <c r="F1293" i="1"/>
  <c r="G1293" i="1" s="1"/>
  <c r="A1294" i="1"/>
  <c r="B1294" i="1" s="1"/>
  <c r="C1294" i="1"/>
  <c r="D1294" i="1"/>
  <c r="E1294" i="1"/>
  <c r="F1294" i="1"/>
  <c r="G1294" i="1" s="1"/>
  <c r="A1295" i="1"/>
  <c r="B1295" i="1" s="1"/>
  <c r="C1295" i="1"/>
  <c r="D1295" i="1"/>
  <c r="E1295" i="1"/>
  <c r="F1295" i="1"/>
  <c r="G1295" i="1" s="1"/>
  <c r="A1296" i="1"/>
  <c r="B1296" i="1" s="1"/>
  <c r="C1296" i="1"/>
  <c r="D1296" i="1"/>
  <c r="E1296" i="1"/>
  <c r="F1296" i="1"/>
  <c r="G1296" i="1" s="1"/>
  <c r="A1297" i="1"/>
  <c r="B1297" i="1" s="1"/>
  <c r="C1297" i="1"/>
  <c r="D1297" i="1"/>
  <c r="E1297" i="1"/>
  <c r="F1297" i="1"/>
  <c r="G1297" i="1" s="1"/>
  <c r="A1298" i="1"/>
  <c r="B1298" i="1" s="1"/>
  <c r="C1298" i="1"/>
  <c r="D1298" i="1"/>
  <c r="E1298" i="1"/>
  <c r="F1298" i="1"/>
  <c r="G1298" i="1" s="1"/>
  <c r="A1299" i="1"/>
  <c r="B1299" i="1" s="1"/>
  <c r="C1299" i="1"/>
  <c r="D1299" i="1"/>
  <c r="E1299" i="1"/>
  <c r="F1299" i="1"/>
  <c r="G1299" i="1" s="1"/>
  <c r="A1300" i="1"/>
  <c r="B1300" i="1" s="1"/>
  <c r="C1300" i="1"/>
  <c r="D1300" i="1"/>
  <c r="E1300" i="1"/>
  <c r="F1300" i="1"/>
  <c r="G1300" i="1" s="1"/>
  <c r="A1301" i="1"/>
  <c r="B1301" i="1" s="1"/>
  <c r="C1301" i="1"/>
  <c r="D1301" i="1"/>
  <c r="E1301" i="1"/>
  <c r="F1301" i="1"/>
  <c r="G1301" i="1" s="1"/>
  <c r="A1302" i="1"/>
  <c r="B1302" i="1" s="1"/>
  <c r="C1302" i="1"/>
  <c r="D1302" i="1"/>
  <c r="E1302" i="1"/>
  <c r="F1302" i="1"/>
  <c r="G1302" i="1" s="1"/>
  <c r="A1303" i="1"/>
  <c r="B1303" i="1" s="1"/>
  <c r="C1303" i="1"/>
  <c r="D1303" i="1"/>
  <c r="E1303" i="1"/>
  <c r="F1303" i="1"/>
  <c r="G1303" i="1" s="1"/>
  <c r="A1304" i="1"/>
  <c r="B1304" i="1" s="1"/>
  <c r="C1304" i="1"/>
  <c r="D1304" i="1"/>
  <c r="E1304" i="1"/>
  <c r="F1304" i="1"/>
  <c r="G1304" i="1" s="1"/>
  <c r="A1305" i="1"/>
  <c r="B1305" i="1" s="1"/>
  <c r="C1305" i="1"/>
  <c r="D1305" i="1"/>
  <c r="E1305" i="1"/>
  <c r="F1305" i="1"/>
  <c r="G1305" i="1" s="1"/>
  <c r="A1306" i="1"/>
  <c r="B1306" i="1" s="1"/>
  <c r="C1306" i="1"/>
  <c r="D1306" i="1"/>
  <c r="E1306" i="1"/>
  <c r="F1306" i="1"/>
  <c r="G1306" i="1" s="1"/>
  <c r="A1307" i="1"/>
  <c r="B1307" i="1" s="1"/>
  <c r="C1307" i="1"/>
  <c r="D1307" i="1"/>
  <c r="E1307" i="1"/>
  <c r="F1307" i="1"/>
  <c r="G1307" i="1" s="1"/>
  <c r="A1308" i="1"/>
  <c r="B1308" i="1"/>
  <c r="C1308" i="1"/>
  <c r="D1308" i="1"/>
  <c r="E1308" i="1"/>
  <c r="F1308" i="1"/>
  <c r="G1308" i="1" s="1"/>
  <c r="A1309" i="1"/>
  <c r="B1309" i="1" s="1"/>
  <c r="C1309" i="1"/>
  <c r="D1309" i="1"/>
  <c r="E1309" i="1"/>
  <c r="F1309" i="1"/>
  <c r="G1309" i="1" s="1"/>
  <c r="A1310" i="1"/>
  <c r="B1310" i="1" s="1"/>
  <c r="C1310" i="1"/>
  <c r="D1310" i="1"/>
  <c r="E1310" i="1"/>
  <c r="F1310" i="1"/>
  <c r="G1310" i="1" s="1"/>
  <c r="A1311" i="1"/>
  <c r="B1311" i="1" s="1"/>
  <c r="C1311" i="1"/>
  <c r="D1311" i="1"/>
  <c r="E1311" i="1"/>
  <c r="F1311" i="1"/>
  <c r="G1311" i="1" s="1"/>
  <c r="A1312" i="1"/>
  <c r="B1312" i="1" s="1"/>
  <c r="C1312" i="1"/>
  <c r="D1312" i="1"/>
  <c r="E1312" i="1"/>
  <c r="F1312" i="1"/>
  <c r="G1312" i="1" s="1"/>
  <c r="A1313" i="1"/>
  <c r="B1313" i="1" s="1"/>
  <c r="C1313" i="1"/>
  <c r="D1313" i="1"/>
  <c r="E1313" i="1"/>
  <c r="F1313" i="1"/>
  <c r="G1313" i="1" s="1"/>
  <c r="A1314" i="1"/>
  <c r="B1314" i="1" s="1"/>
  <c r="C1314" i="1"/>
  <c r="D1314" i="1"/>
  <c r="E1314" i="1"/>
  <c r="F1314" i="1"/>
  <c r="G1314" i="1" s="1"/>
  <c r="A1315" i="1"/>
  <c r="B1315" i="1"/>
  <c r="C1315" i="1"/>
  <c r="D1315" i="1"/>
  <c r="E1315" i="1"/>
  <c r="F1315" i="1"/>
  <c r="G1315" i="1" s="1"/>
  <c r="A1316" i="1"/>
  <c r="B1316" i="1" s="1"/>
  <c r="C1316" i="1"/>
  <c r="D1316" i="1"/>
  <c r="E1316" i="1"/>
  <c r="F1316" i="1"/>
  <c r="G1316" i="1" s="1"/>
  <c r="A1317" i="1"/>
  <c r="B1317" i="1" s="1"/>
  <c r="C1317" i="1"/>
  <c r="D1317" i="1"/>
  <c r="E1317" i="1"/>
  <c r="F1317" i="1"/>
  <c r="G1317" i="1" s="1"/>
  <c r="A1318" i="1"/>
  <c r="B1318" i="1" s="1"/>
  <c r="C1318" i="1"/>
  <c r="D1318" i="1"/>
  <c r="E1318" i="1"/>
  <c r="F1318" i="1"/>
  <c r="G1318" i="1" s="1"/>
  <c r="A1319" i="1"/>
  <c r="B1319" i="1" s="1"/>
  <c r="C1319" i="1"/>
  <c r="D1319" i="1"/>
  <c r="E1319" i="1"/>
  <c r="F1319" i="1"/>
  <c r="G1319" i="1" s="1"/>
  <c r="A1320" i="1"/>
  <c r="B1320" i="1"/>
  <c r="C1320" i="1"/>
  <c r="D1320" i="1"/>
  <c r="E1320" i="1"/>
  <c r="F1320" i="1"/>
  <c r="G1320" i="1" s="1"/>
  <c r="A1321" i="1"/>
  <c r="B1321" i="1" s="1"/>
  <c r="C1321" i="1"/>
  <c r="D1321" i="1"/>
  <c r="E1321" i="1"/>
  <c r="F1321" i="1"/>
  <c r="G1321" i="1" s="1"/>
  <c r="A1322" i="1"/>
  <c r="B1322" i="1" s="1"/>
  <c r="C1322" i="1"/>
  <c r="D1322" i="1"/>
  <c r="E1322" i="1"/>
  <c r="F1322" i="1"/>
  <c r="G1322" i="1" s="1"/>
  <c r="A1323" i="1"/>
  <c r="B1323" i="1" s="1"/>
  <c r="C1323" i="1"/>
  <c r="D1323" i="1"/>
  <c r="E1323" i="1"/>
  <c r="F1323" i="1"/>
  <c r="G1323" i="1" s="1"/>
  <c r="A1324" i="1"/>
  <c r="B1324" i="1" s="1"/>
  <c r="C1324" i="1"/>
  <c r="D1324" i="1"/>
  <c r="E1324" i="1"/>
  <c r="F1324" i="1"/>
  <c r="G1324" i="1" s="1"/>
  <c r="A1325" i="1"/>
  <c r="B1325" i="1" s="1"/>
  <c r="C1325" i="1"/>
  <c r="D1325" i="1"/>
  <c r="E1325" i="1"/>
  <c r="F1325" i="1"/>
  <c r="G1325" i="1" s="1"/>
  <c r="A1326" i="1"/>
  <c r="B1326" i="1" s="1"/>
  <c r="C1326" i="1"/>
  <c r="D1326" i="1"/>
  <c r="E1326" i="1"/>
  <c r="F1326" i="1"/>
  <c r="G1326" i="1" s="1"/>
  <c r="A1327" i="1"/>
  <c r="B1327" i="1" s="1"/>
  <c r="C1327" i="1"/>
  <c r="D1327" i="1"/>
  <c r="E1327" i="1"/>
  <c r="F1327" i="1"/>
  <c r="G1327" i="1" s="1"/>
  <c r="A1328" i="1"/>
  <c r="B1328" i="1" s="1"/>
  <c r="C1328" i="1"/>
  <c r="D1328" i="1"/>
  <c r="E1328" i="1"/>
  <c r="F1328" i="1"/>
  <c r="G1328" i="1" s="1"/>
  <c r="A1329" i="1"/>
  <c r="B1329" i="1" s="1"/>
  <c r="C1329" i="1"/>
  <c r="D1329" i="1"/>
  <c r="E1329" i="1"/>
  <c r="F1329" i="1"/>
  <c r="G1329" i="1" s="1"/>
  <c r="A1330" i="1"/>
  <c r="B1330" i="1" s="1"/>
  <c r="C1330" i="1"/>
  <c r="D1330" i="1"/>
  <c r="E1330" i="1"/>
  <c r="F1330" i="1"/>
  <c r="G1330" i="1" s="1"/>
  <c r="A1331" i="1"/>
  <c r="B1331" i="1" s="1"/>
  <c r="C1331" i="1"/>
  <c r="D1331" i="1"/>
  <c r="E1331" i="1"/>
  <c r="F1331" i="1"/>
  <c r="G1331" i="1" s="1"/>
  <c r="A1332" i="1"/>
  <c r="B1332" i="1" s="1"/>
  <c r="C1332" i="1"/>
  <c r="D1332" i="1"/>
  <c r="E1332" i="1"/>
  <c r="F1332" i="1"/>
  <c r="G1332" i="1" s="1"/>
  <c r="A1333" i="1"/>
  <c r="B1333" i="1" s="1"/>
  <c r="C1333" i="1"/>
  <c r="D1333" i="1"/>
  <c r="E1333" i="1"/>
  <c r="F1333" i="1"/>
  <c r="G1333" i="1" s="1"/>
  <c r="A1334" i="1"/>
  <c r="B1334" i="1" s="1"/>
  <c r="C1334" i="1"/>
  <c r="D1334" i="1"/>
  <c r="E1334" i="1"/>
  <c r="F1334" i="1"/>
  <c r="G1334" i="1" s="1"/>
  <c r="A1335" i="1"/>
  <c r="B1335" i="1" s="1"/>
  <c r="C1335" i="1"/>
  <c r="D1335" i="1"/>
  <c r="E1335" i="1"/>
  <c r="F1335" i="1"/>
  <c r="G1335" i="1" s="1"/>
  <c r="A1336" i="1"/>
  <c r="B1336" i="1" s="1"/>
  <c r="C1336" i="1"/>
  <c r="D1336" i="1"/>
  <c r="E1336" i="1"/>
  <c r="F1336" i="1"/>
  <c r="G1336" i="1" s="1"/>
  <c r="A1337" i="1"/>
  <c r="B1337" i="1" s="1"/>
  <c r="C1337" i="1"/>
  <c r="D1337" i="1"/>
  <c r="E1337" i="1"/>
  <c r="F1337" i="1"/>
  <c r="G1337" i="1" s="1"/>
  <c r="A1338" i="1"/>
  <c r="B1338" i="1"/>
  <c r="C1338" i="1"/>
  <c r="D1338" i="1"/>
  <c r="E1338" i="1"/>
  <c r="F1338" i="1"/>
  <c r="G1338" i="1" s="1"/>
  <c r="A1339" i="1"/>
  <c r="B1339" i="1" s="1"/>
  <c r="C1339" i="1"/>
  <c r="D1339" i="1"/>
  <c r="E1339" i="1"/>
  <c r="F1339" i="1"/>
  <c r="G1339" i="1" s="1"/>
  <c r="A1340" i="1"/>
  <c r="B1340" i="1" s="1"/>
  <c r="C1340" i="1"/>
  <c r="D1340" i="1"/>
  <c r="E1340" i="1"/>
  <c r="F1340" i="1"/>
  <c r="G1340" i="1" s="1"/>
  <c r="A1341" i="1"/>
  <c r="B1341" i="1" s="1"/>
  <c r="C1341" i="1"/>
  <c r="D1341" i="1"/>
  <c r="E1341" i="1"/>
  <c r="F1341" i="1"/>
  <c r="G1341" i="1" s="1"/>
  <c r="A1342" i="1"/>
  <c r="B1342" i="1" s="1"/>
  <c r="C1342" i="1"/>
  <c r="D1342" i="1"/>
  <c r="E1342" i="1"/>
  <c r="F1342" i="1"/>
  <c r="G1342" i="1" s="1"/>
  <c r="A1343" i="1"/>
  <c r="B1343" i="1" s="1"/>
  <c r="C1343" i="1"/>
  <c r="D1343" i="1"/>
  <c r="E1343" i="1"/>
  <c r="F1343" i="1"/>
  <c r="G1343" i="1" s="1"/>
  <c r="A1344" i="1"/>
  <c r="B1344" i="1"/>
  <c r="C1344" i="1"/>
  <c r="D1344" i="1"/>
  <c r="E1344" i="1"/>
  <c r="F1344" i="1"/>
  <c r="G1344" i="1" s="1"/>
  <c r="A1345" i="1"/>
  <c r="B1345" i="1" s="1"/>
  <c r="C1345" i="1"/>
  <c r="D1345" i="1"/>
  <c r="E1345" i="1"/>
  <c r="F1345" i="1"/>
  <c r="G1345" i="1" s="1"/>
  <c r="A1346" i="1"/>
  <c r="B1346" i="1" s="1"/>
  <c r="C1346" i="1"/>
  <c r="D1346" i="1"/>
  <c r="E1346" i="1"/>
  <c r="F1346" i="1"/>
  <c r="G1346" i="1" s="1"/>
  <c r="A1347" i="1"/>
  <c r="B1347" i="1" s="1"/>
  <c r="C1347" i="1"/>
  <c r="D1347" i="1"/>
  <c r="E1347" i="1"/>
  <c r="F1347" i="1"/>
  <c r="G1347" i="1" s="1"/>
  <c r="A1348" i="1"/>
  <c r="B1348" i="1" s="1"/>
  <c r="C1348" i="1"/>
  <c r="D1348" i="1"/>
  <c r="E1348" i="1"/>
  <c r="F1348" i="1"/>
  <c r="G1348" i="1" s="1"/>
  <c r="A1349" i="1"/>
  <c r="B1349" i="1" s="1"/>
  <c r="C1349" i="1"/>
  <c r="D1349" i="1"/>
  <c r="E1349" i="1"/>
  <c r="F1349" i="1"/>
  <c r="G1349" i="1" s="1"/>
  <c r="A1350" i="1"/>
  <c r="B1350" i="1" s="1"/>
  <c r="C1350" i="1"/>
  <c r="D1350" i="1"/>
  <c r="E1350" i="1"/>
  <c r="F1350" i="1"/>
  <c r="G1350" i="1" s="1"/>
  <c r="A1351" i="1"/>
  <c r="B1351" i="1" s="1"/>
  <c r="C1351" i="1"/>
  <c r="D1351" i="1"/>
  <c r="E1351" i="1"/>
  <c r="F1351" i="1"/>
  <c r="G1351" i="1" s="1"/>
  <c r="A1352" i="1"/>
  <c r="B1352" i="1" s="1"/>
  <c r="C1352" i="1"/>
  <c r="D1352" i="1"/>
  <c r="E1352" i="1"/>
  <c r="F1352" i="1"/>
  <c r="G1352" i="1" s="1"/>
  <c r="A1353" i="1"/>
  <c r="B1353" i="1" s="1"/>
  <c r="C1353" i="1"/>
  <c r="D1353" i="1"/>
  <c r="E1353" i="1"/>
  <c r="F1353" i="1"/>
  <c r="G1353" i="1" s="1"/>
  <c r="A1354" i="1"/>
  <c r="B1354" i="1" s="1"/>
  <c r="C1354" i="1"/>
  <c r="D1354" i="1"/>
  <c r="E1354" i="1"/>
  <c r="F1354" i="1"/>
  <c r="G1354" i="1" s="1"/>
  <c r="A1355" i="1"/>
  <c r="B1355" i="1" s="1"/>
  <c r="C1355" i="1"/>
  <c r="D1355" i="1"/>
  <c r="E1355" i="1"/>
  <c r="F1355" i="1"/>
  <c r="G1355" i="1" s="1"/>
  <c r="A1356" i="1"/>
  <c r="B1356" i="1" s="1"/>
  <c r="C1356" i="1"/>
  <c r="D1356" i="1"/>
  <c r="E1356" i="1"/>
  <c r="F1356" i="1"/>
  <c r="G1356" i="1" s="1"/>
  <c r="A1357" i="1"/>
  <c r="B1357" i="1" s="1"/>
  <c r="C1357" i="1"/>
  <c r="D1357" i="1"/>
  <c r="E1357" i="1"/>
  <c r="F1357" i="1"/>
  <c r="G1357" i="1" s="1"/>
  <c r="A1358" i="1"/>
  <c r="B1358" i="1" s="1"/>
  <c r="C1358" i="1"/>
  <c r="D1358" i="1"/>
  <c r="E1358" i="1"/>
  <c r="F1358" i="1"/>
  <c r="G1358" i="1" s="1"/>
  <c r="A1359" i="1"/>
  <c r="B1359" i="1" s="1"/>
  <c r="C1359" i="1"/>
  <c r="D1359" i="1"/>
  <c r="E1359" i="1"/>
  <c r="F1359" i="1"/>
  <c r="G1359" i="1" s="1"/>
  <c r="A1360" i="1"/>
  <c r="B1360" i="1" s="1"/>
  <c r="C1360" i="1"/>
  <c r="D1360" i="1"/>
  <c r="E1360" i="1"/>
  <c r="F1360" i="1"/>
  <c r="G1360" i="1" s="1"/>
  <c r="A1361" i="1"/>
  <c r="B1361" i="1" s="1"/>
  <c r="C1361" i="1"/>
  <c r="D1361" i="1"/>
  <c r="E1361" i="1"/>
  <c r="F1361" i="1"/>
  <c r="G1361" i="1" s="1"/>
  <c r="A1362" i="1"/>
  <c r="B1362" i="1"/>
  <c r="C1362" i="1"/>
  <c r="D1362" i="1"/>
  <c r="E1362" i="1"/>
  <c r="F1362" i="1"/>
  <c r="G1362" i="1" s="1"/>
  <c r="A1363" i="1"/>
  <c r="B1363" i="1" s="1"/>
  <c r="C1363" i="1"/>
  <c r="D1363" i="1"/>
  <c r="E1363" i="1"/>
  <c r="F1363" i="1"/>
  <c r="G1363" i="1" s="1"/>
  <c r="A1364" i="1"/>
  <c r="B1364" i="1" s="1"/>
  <c r="C1364" i="1"/>
  <c r="D1364" i="1"/>
  <c r="E1364" i="1"/>
  <c r="F1364" i="1"/>
  <c r="G1364" i="1" s="1"/>
  <c r="A1365" i="1"/>
  <c r="B1365" i="1"/>
  <c r="C1365" i="1"/>
  <c r="D1365" i="1"/>
  <c r="E1365" i="1"/>
  <c r="F1365" i="1"/>
  <c r="G1365" i="1" s="1"/>
  <c r="A1366" i="1"/>
  <c r="B1366" i="1" s="1"/>
  <c r="C1366" i="1"/>
  <c r="D1366" i="1"/>
  <c r="E1366" i="1"/>
  <c r="F1366" i="1"/>
  <c r="G1366" i="1" s="1"/>
  <c r="A1367" i="1"/>
  <c r="B1367" i="1"/>
  <c r="C1367" i="1"/>
  <c r="D1367" i="1"/>
  <c r="E1367" i="1"/>
  <c r="F1367" i="1"/>
  <c r="G1367" i="1" s="1"/>
  <c r="A1368" i="1"/>
  <c r="B1368" i="1" s="1"/>
  <c r="C1368" i="1"/>
  <c r="D1368" i="1"/>
  <c r="E1368" i="1"/>
  <c r="F1368" i="1"/>
  <c r="G1368" i="1" s="1"/>
  <c r="A1369" i="1"/>
  <c r="B1369" i="1" s="1"/>
  <c r="C1369" i="1"/>
  <c r="D1369" i="1"/>
  <c r="E1369" i="1"/>
  <c r="F1369" i="1"/>
  <c r="G1369" i="1" s="1"/>
  <c r="A1370" i="1"/>
  <c r="B1370" i="1"/>
  <c r="C1370" i="1"/>
  <c r="D1370" i="1"/>
  <c r="E1370" i="1"/>
  <c r="F1370" i="1"/>
  <c r="G1370" i="1" s="1"/>
  <c r="A1371" i="1"/>
  <c r="B1371" i="1"/>
  <c r="C1371" i="1"/>
  <c r="D1371" i="1"/>
  <c r="E1371" i="1"/>
  <c r="F1371" i="1"/>
  <c r="G1371" i="1"/>
  <c r="A1372" i="1"/>
  <c r="B1372" i="1"/>
  <c r="C1372" i="1"/>
  <c r="D1372" i="1"/>
  <c r="E1372" i="1"/>
  <c r="F1372" i="1"/>
  <c r="G1372" i="1" s="1"/>
  <c r="A1373" i="1"/>
  <c r="B1373" i="1" s="1"/>
  <c r="C1373" i="1"/>
  <c r="D1373" i="1"/>
  <c r="E1373" i="1"/>
  <c r="F1373" i="1"/>
  <c r="G1373" i="1" s="1"/>
  <c r="A1374" i="1"/>
  <c r="B1374" i="1" s="1"/>
  <c r="C1374" i="1"/>
  <c r="D1374" i="1"/>
  <c r="E1374" i="1"/>
  <c r="F1374" i="1"/>
  <c r="G1374" i="1" s="1"/>
  <c r="A1375" i="1"/>
  <c r="B1375" i="1" s="1"/>
  <c r="C1375" i="1"/>
  <c r="D1375" i="1"/>
  <c r="E1375" i="1"/>
  <c r="F1375" i="1"/>
  <c r="G1375" i="1" s="1"/>
  <c r="A1376" i="1"/>
  <c r="B1376" i="1" s="1"/>
  <c r="C1376" i="1"/>
  <c r="D1376" i="1"/>
  <c r="E1376" i="1"/>
  <c r="F1376" i="1"/>
  <c r="G1376" i="1" s="1"/>
  <c r="A1377" i="1"/>
  <c r="B1377" i="1" s="1"/>
  <c r="C1377" i="1"/>
  <c r="D1377" i="1"/>
  <c r="E1377" i="1"/>
  <c r="F1377" i="1"/>
  <c r="G1377" i="1" s="1"/>
  <c r="A1378" i="1"/>
  <c r="B1378" i="1" s="1"/>
  <c r="C1378" i="1"/>
  <c r="D1378" i="1"/>
  <c r="E1378" i="1"/>
  <c r="F1378" i="1"/>
  <c r="G1378" i="1" s="1"/>
  <c r="A1379" i="1"/>
  <c r="B1379" i="1" s="1"/>
  <c r="C1379" i="1"/>
  <c r="D1379" i="1"/>
  <c r="E1379" i="1"/>
  <c r="F1379" i="1"/>
  <c r="G1379" i="1" s="1"/>
  <c r="A1380" i="1"/>
  <c r="B1380" i="1" s="1"/>
  <c r="C1380" i="1"/>
  <c r="D1380" i="1"/>
  <c r="E1380" i="1"/>
  <c r="F1380" i="1"/>
  <c r="G1380" i="1" s="1"/>
  <c r="A1381" i="1"/>
  <c r="B1381" i="1" s="1"/>
  <c r="C1381" i="1"/>
  <c r="D1381" i="1"/>
  <c r="E1381" i="1"/>
  <c r="F1381" i="1"/>
  <c r="G1381" i="1" s="1"/>
  <c r="A1382" i="1"/>
  <c r="B1382" i="1"/>
  <c r="C1382" i="1"/>
  <c r="D1382" i="1"/>
  <c r="E1382" i="1"/>
  <c r="F1382" i="1"/>
  <c r="G1382" i="1" s="1"/>
  <c r="A1383" i="1"/>
  <c r="B1383" i="1"/>
  <c r="C1383" i="1"/>
  <c r="D1383" i="1"/>
  <c r="E1383" i="1"/>
  <c r="F1383" i="1"/>
  <c r="G1383" i="1" s="1"/>
  <c r="A1384" i="1"/>
  <c r="B1384" i="1"/>
  <c r="C1384" i="1"/>
  <c r="D1384" i="1"/>
  <c r="E1384" i="1"/>
  <c r="F1384" i="1"/>
  <c r="G1384" i="1" s="1"/>
  <c r="A1385" i="1"/>
  <c r="B1385" i="1" s="1"/>
  <c r="C1385" i="1"/>
  <c r="D1385" i="1"/>
  <c r="E1385" i="1"/>
  <c r="F1385" i="1"/>
  <c r="G1385" i="1" s="1"/>
  <c r="A1386" i="1"/>
  <c r="B1386" i="1"/>
  <c r="C1386" i="1"/>
  <c r="D1386" i="1"/>
  <c r="E1386" i="1"/>
  <c r="F1386" i="1"/>
  <c r="G1386" i="1" s="1"/>
  <c r="A1387" i="1"/>
  <c r="B1387" i="1" s="1"/>
  <c r="C1387" i="1"/>
  <c r="D1387" i="1"/>
  <c r="E1387" i="1"/>
  <c r="F1387" i="1"/>
  <c r="G1387" i="1" s="1"/>
  <c r="A1388" i="1"/>
  <c r="B1388" i="1"/>
  <c r="C1388" i="1"/>
  <c r="D1388" i="1"/>
  <c r="E1388" i="1"/>
  <c r="F1388" i="1"/>
  <c r="G1388" i="1" s="1"/>
  <c r="A1389" i="1"/>
  <c r="B1389" i="1" s="1"/>
  <c r="C1389" i="1"/>
  <c r="D1389" i="1"/>
  <c r="E1389" i="1"/>
  <c r="F1389" i="1"/>
  <c r="G1389" i="1"/>
  <c r="A1390" i="1"/>
  <c r="B1390" i="1" s="1"/>
  <c r="C1390" i="1"/>
  <c r="D1390" i="1"/>
  <c r="E1390" i="1"/>
  <c r="F1390" i="1"/>
  <c r="G1390" i="1" s="1"/>
  <c r="A1391" i="1"/>
  <c r="B1391" i="1" s="1"/>
  <c r="C1391" i="1"/>
  <c r="D1391" i="1"/>
  <c r="E1391" i="1"/>
  <c r="F1391" i="1"/>
  <c r="G1391" i="1" s="1"/>
  <c r="A1392" i="1"/>
  <c r="B1392" i="1" s="1"/>
  <c r="C1392" i="1"/>
  <c r="D1392" i="1"/>
  <c r="E1392" i="1"/>
  <c r="F1392" i="1"/>
  <c r="G1392" i="1" s="1"/>
  <c r="A1393" i="1"/>
  <c r="B1393" i="1"/>
  <c r="C1393" i="1"/>
  <c r="D1393" i="1"/>
  <c r="E1393" i="1"/>
  <c r="F1393" i="1"/>
  <c r="G1393" i="1" s="1"/>
  <c r="A1394" i="1"/>
  <c r="B1394" i="1" s="1"/>
  <c r="C1394" i="1"/>
  <c r="D1394" i="1"/>
  <c r="E1394" i="1"/>
  <c r="F1394" i="1"/>
  <c r="G1394" i="1" s="1"/>
  <c r="A1395" i="1"/>
  <c r="B1395" i="1" s="1"/>
  <c r="C1395" i="1"/>
  <c r="D1395" i="1"/>
  <c r="E1395" i="1"/>
  <c r="F1395" i="1"/>
  <c r="G1395" i="1" s="1"/>
  <c r="A1396" i="1"/>
  <c r="B1396" i="1" s="1"/>
  <c r="C1396" i="1"/>
  <c r="D1396" i="1"/>
  <c r="E1396" i="1"/>
  <c r="F1396" i="1"/>
  <c r="G1396" i="1" s="1"/>
  <c r="A1397" i="1"/>
  <c r="B1397" i="1" s="1"/>
  <c r="C1397" i="1"/>
  <c r="D1397" i="1"/>
  <c r="E1397" i="1"/>
  <c r="F1397" i="1"/>
  <c r="G1397" i="1" s="1"/>
  <c r="A1398" i="1"/>
  <c r="B1398" i="1" s="1"/>
  <c r="C1398" i="1"/>
  <c r="D1398" i="1"/>
  <c r="E1398" i="1"/>
  <c r="F1398" i="1"/>
  <c r="G1398" i="1" s="1"/>
  <c r="A1399" i="1"/>
  <c r="B1399" i="1" s="1"/>
  <c r="C1399" i="1"/>
  <c r="D1399" i="1"/>
  <c r="E1399" i="1"/>
  <c r="F1399" i="1"/>
  <c r="G1399" i="1" s="1"/>
  <c r="A1400" i="1"/>
  <c r="B1400" i="1" s="1"/>
  <c r="C1400" i="1"/>
  <c r="D1400" i="1"/>
  <c r="E1400" i="1"/>
  <c r="F1400" i="1"/>
  <c r="G1400" i="1" s="1"/>
  <c r="A1401" i="1"/>
  <c r="B1401" i="1" s="1"/>
  <c r="C1401" i="1"/>
  <c r="D1401" i="1"/>
  <c r="E1401" i="1"/>
  <c r="F1401" i="1"/>
  <c r="G1401" i="1" s="1"/>
  <c r="A1402" i="1"/>
  <c r="B1402" i="1" s="1"/>
  <c r="C1402" i="1"/>
  <c r="D1402" i="1"/>
  <c r="E1402" i="1"/>
  <c r="F1402" i="1"/>
  <c r="G1402" i="1" s="1"/>
  <c r="A1403" i="1"/>
  <c r="B1403" i="1" s="1"/>
  <c r="C1403" i="1"/>
  <c r="D1403" i="1"/>
  <c r="E1403" i="1"/>
  <c r="F1403" i="1"/>
  <c r="G1403" i="1" s="1"/>
  <c r="A1404" i="1"/>
  <c r="B1404" i="1" s="1"/>
  <c r="C1404" i="1"/>
  <c r="D1404" i="1"/>
  <c r="E1404" i="1"/>
  <c r="F1404" i="1"/>
  <c r="G1404" i="1" s="1"/>
  <c r="A1405" i="1"/>
  <c r="B1405" i="1" s="1"/>
  <c r="C1405" i="1"/>
  <c r="D1405" i="1"/>
  <c r="E1405" i="1"/>
  <c r="F1405" i="1"/>
  <c r="G1405" i="1"/>
  <c r="A1406" i="1"/>
  <c r="B1406" i="1" s="1"/>
  <c r="C1406" i="1"/>
  <c r="D1406" i="1"/>
  <c r="E1406" i="1"/>
  <c r="F1406" i="1"/>
  <c r="G1406" i="1" s="1"/>
  <c r="A1407" i="1"/>
  <c r="B1407" i="1"/>
  <c r="C1407" i="1"/>
  <c r="D1407" i="1"/>
  <c r="E1407" i="1"/>
  <c r="F1407" i="1"/>
  <c r="G1407" i="1" s="1"/>
  <c r="A1408" i="1"/>
  <c r="B1408" i="1" s="1"/>
  <c r="C1408" i="1"/>
  <c r="D1408" i="1"/>
  <c r="E1408" i="1"/>
  <c r="F1408" i="1"/>
  <c r="G1408" i="1"/>
  <c r="A1409" i="1"/>
  <c r="B1409" i="1" s="1"/>
  <c r="C1409" i="1"/>
  <c r="D1409" i="1"/>
  <c r="E1409" i="1"/>
  <c r="F1409" i="1"/>
  <c r="G1409" i="1" s="1"/>
  <c r="A1410" i="1"/>
  <c r="B1410" i="1" s="1"/>
  <c r="C1410" i="1"/>
  <c r="D1410" i="1"/>
  <c r="E1410" i="1"/>
  <c r="F1410" i="1"/>
  <c r="G1410" i="1" s="1"/>
  <c r="A1411" i="1"/>
  <c r="B1411" i="1" s="1"/>
  <c r="C1411" i="1"/>
  <c r="D1411" i="1"/>
  <c r="E1411" i="1"/>
  <c r="F1411" i="1"/>
  <c r="G1411" i="1" s="1"/>
  <c r="A1412" i="1"/>
  <c r="B1412" i="1" s="1"/>
  <c r="C1412" i="1"/>
  <c r="D1412" i="1"/>
  <c r="E1412" i="1"/>
  <c r="F1412" i="1"/>
  <c r="G1412" i="1" s="1"/>
  <c r="A1413" i="1"/>
  <c r="B1413" i="1"/>
  <c r="C1413" i="1"/>
  <c r="D1413" i="1"/>
  <c r="E1413" i="1"/>
  <c r="F1413" i="1"/>
  <c r="G1413" i="1" s="1"/>
  <c r="A1414" i="1"/>
  <c r="B1414" i="1" s="1"/>
  <c r="C1414" i="1"/>
  <c r="D1414" i="1"/>
  <c r="E1414" i="1"/>
  <c r="F1414" i="1"/>
  <c r="G1414" i="1" s="1"/>
  <c r="A1415" i="1"/>
  <c r="B1415" i="1" s="1"/>
  <c r="C1415" i="1"/>
  <c r="D1415" i="1"/>
  <c r="E1415" i="1"/>
  <c r="F1415" i="1"/>
  <c r="G1415" i="1" s="1"/>
  <c r="A1416" i="1"/>
  <c r="B1416" i="1" s="1"/>
  <c r="C1416" i="1"/>
  <c r="D1416" i="1"/>
  <c r="E1416" i="1"/>
  <c r="F1416" i="1"/>
  <c r="G1416" i="1" s="1"/>
  <c r="A1417" i="1"/>
  <c r="B1417" i="1" s="1"/>
  <c r="C1417" i="1"/>
  <c r="D1417" i="1"/>
  <c r="E1417" i="1"/>
  <c r="F1417" i="1"/>
  <c r="G1417" i="1" s="1"/>
  <c r="A1418" i="1"/>
  <c r="B1418" i="1" s="1"/>
  <c r="C1418" i="1"/>
  <c r="D1418" i="1"/>
  <c r="E1418" i="1"/>
  <c r="F1418" i="1"/>
  <c r="G1418" i="1" s="1"/>
  <c r="A1419" i="1"/>
  <c r="B1419" i="1" s="1"/>
  <c r="C1419" i="1"/>
  <c r="D1419" i="1"/>
  <c r="E1419" i="1"/>
  <c r="F1419" i="1"/>
  <c r="G1419" i="1" s="1"/>
  <c r="A1420" i="1"/>
  <c r="B1420" i="1" s="1"/>
  <c r="C1420" i="1"/>
  <c r="D1420" i="1"/>
  <c r="E1420" i="1"/>
  <c r="F1420" i="1"/>
  <c r="G1420" i="1" s="1"/>
  <c r="A1421" i="1"/>
  <c r="B1421" i="1" s="1"/>
  <c r="C1421" i="1"/>
  <c r="D1421" i="1"/>
  <c r="E1421" i="1"/>
  <c r="F1421" i="1"/>
  <c r="G1421" i="1" s="1"/>
  <c r="A1422" i="1"/>
  <c r="B1422" i="1" s="1"/>
  <c r="C1422" i="1"/>
  <c r="D1422" i="1"/>
  <c r="E1422" i="1"/>
  <c r="F1422" i="1"/>
  <c r="G1422" i="1" s="1"/>
  <c r="A1423" i="1"/>
  <c r="B1423" i="1"/>
  <c r="C1423" i="1"/>
  <c r="D1423" i="1"/>
  <c r="E1423" i="1"/>
  <c r="F1423" i="1"/>
  <c r="G1423" i="1" s="1"/>
  <c r="A1424" i="1"/>
  <c r="B1424" i="1" s="1"/>
  <c r="C1424" i="1"/>
  <c r="D1424" i="1"/>
  <c r="E1424" i="1"/>
  <c r="F1424" i="1"/>
  <c r="G1424" i="1" s="1"/>
  <c r="A1425" i="1"/>
  <c r="B1425" i="1" s="1"/>
  <c r="C1425" i="1"/>
  <c r="D1425" i="1"/>
  <c r="E1425" i="1"/>
  <c r="F1425" i="1"/>
  <c r="G1425" i="1" s="1"/>
  <c r="A1426" i="1"/>
  <c r="B1426" i="1" s="1"/>
  <c r="C1426" i="1"/>
  <c r="D1426" i="1"/>
  <c r="E1426" i="1"/>
  <c r="F1426" i="1"/>
  <c r="G1426" i="1" s="1"/>
  <c r="A1427" i="1"/>
  <c r="B1427" i="1" s="1"/>
  <c r="C1427" i="1"/>
  <c r="D1427" i="1"/>
  <c r="E1427" i="1"/>
  <c r="F1427" i="1"/>
  <c r="G1427" i="1" s="1"/>
  <c r="A1428" i="1"/>
  <c r="B1428" i="1"/>
  <c r="C1428" i="1"/>
  <c r="D1428" i="1"/>
  <c r="E1428" i="1"/>
  <c r="F1428" i="1"/>
  <c r="G1428" i="1" s="1"/>
  <c r="A1429" i="1"/>
  <c r="B1429" i="1" s="1"/>
  <c r="C1429" i="1"/>
  <c r="D1429" i="1"/>
  <c r="E1429" i="1"/>
  <c r="F1429" i="1"/>
  <c r="G1429" i="1" s="1"/>
  <c r="A1430" i="1"/>
  <c r="B1430" i="1"/>
  <c r="C1430" i="1"/>
  <c r="D1430" i="1"/>
  <c r="E1430" i="1"/>
  <c r="F1430" i="1"/>
  <c r="G1430" i="1" s="1"/>
  <c r="A1431" i="1"/>
  <c r="B1431" i="1"/>
  <c r="C1431" i="1"/>
  <c r="D1431" i="1"/>
  <c r="E1431" i="1"/>
  <c r="F1431" i="1"/>
  <c r="G1431" i="1" s="1"/>
  <c r="A1432" i="1"/>
  <c r="B1432" i="1"/>
  <c r="C1432" i="1"/>
  <c r="D1432" i="1"/>
  <c r="E1432" i="1"/>
  <c r="F1432" i="1"/>
  <c r="G1432" i="1"/>
  <c r="A1433" i="1"/>
  <c r="B1433" i="1" s="1"/>
  <c r="C1433" i="1"/>
  <c r="D1433" i="1"/>
  <c r="E1433" i="1"/>
  <c r="F1433" i="1"/>
  <c r="G1433" i="1" s="1"/>
  <c r="A1434" i="1"/>
  <c r="B1434" i="1" s="1"/>
  <c r="C1434" i="1"/>
  <c r="D1434" i="1"/>
  <c r="E1434" i="1"/>
  <c r="F1434" i="1"/>
  <c r="G1434" i="1" s="1"/>
  <c r="A1435" i="1"/>
  <c r="B1435" i="1" s="1"/>
  <c r="C1435" i="1"/>
  <c r="D1435" i="1"/>
  <c r="E1435" i="1"/>
  <c r="F1435" i="1"/>
  <c r="G1435" i="1" s="1"/>
  <c r="A1436" i="1"/>
  <c r="B1436" i="1" s="1"/>
  <c r="C1436" i="1"/>
  <c r="D1436" i="1"/>
  <c r="E1436" i="1"/>
  <c r="F1436" i="1"/>
  <c r="G1436" i="1" s="1"/>
  <c r="A1437" i="1"/>
  <c r="B1437" i="1" s="1"/>
  <c r="C1437" i="1"/>
  <c r="D1437" i="1"/>
  <c r="E1437" i="1"/>
  <c r="F1437" i="1"/>
  <c r="G1437" i="1" s="1"/>
  <c r="A1438" i="1"/>
  <c r="B1438" i="1" s="1"/>
  <c r="C1438" i="1"/>
  <c r="D1438" i="1"/>
  <c r="E1438" i="1"/>
  <c r="F1438" i="1"/>
  <c r="G1438" i="1" s="1"/>
  <c r="A1439" i="1"/>
  <c r="B1439" i="1" s="1"/>
  <c r="C1439" i="1"/>
  <c r="D1439" i="1"/>
  <c r="E1439" i="1"/>
  <c r="F1439" i="1"/>
  <c r="G1439" i="1" s="1"/>
  <c r="A1440" i="1"/>
  <c r="B1440" i="1" s="1"/>
  <c r="C1440" i="1"/>
  <c r="D1440" i="1"/>
  <c r="E1440" i="1"/>
  <c r="F1440" i="1"/>
  <c r="G1440" i="1" s="1"/>
  <c r="A1441" i="1"/>
  <c r="B1441" i="1" s="1"/>
  <c r="C1441" i="1"/>
  <c r="D1441" i="1"/>
  <c r="E1441" i="1"/>
  <c r="F1441" i="1"/>
  <c r="G1441" i="1" s="1"/>
  <c r="A1442" i="1"/>
  <c r="B1442" i="1" s="1"/>
  <c r="C1442" i="1"/>
  <c r="D1442" i="1"/>
  <c r="E1442" i="1"/>
  <c r="F1442" i="1"/>
  <c r="G1442" i="1"/>
  <c r="A1443" i="1"/>
  <c r="B1443" i="1"/>
  <c r="C1443" i="1"/>
  <c r="D1443" i="1"/>
  <c r="E1443" i="1"/>
  <c r="F1443" i="1"/>
  <c r="G1443" i="1" s="1"/>
  <c r="A1444" i="1"/>
  <c r="B1444" i="1" s="1"/>
  <c r="C1444" i="1"/>
  <c r="D1444" i="1"/>
  <c r="E1444" i="1"/>
  <c r="F1444" i="1"/>
  <c r="G1444" i="1" s="1"/>
  <c r="A1445" i="1"/>
  <c r="B1445" i="1" s="1"/>
  <c r="C1445" i="1"/>
  <c r="D1445" i="1"/>
  <c r="E1445" i="1"/>
  <c r="F1445" i="1"/>
  <c r="G1445" i="1" s="1"/>
  <c r="A1446" i="1"/>
  <c r="B1446" i="1" s="1"/>
  <c r="C1446" i="1"/>
  <c r="D1446" i="1"/>
  <c r="E1446" i="1"/>
  <c r="F1446" i="1"/>
  <c r="G1446" i="1" s="1"/>
  <c r="A1447" i="1"/>
  <c r="B1447" i="1" s="1"/>
  <c r="C1447" i="1"/>
  <c r="D1447" i="1"/>
  <c r="E1447" i="1"/>
  <c r="F1447" i="1"/>
  <c r="G1447" i="1" s="1"/>
  <c r="A1448" i="1"/>
  <c r="B1448" i="1" s="1"/>
  <c r="C1448" i="1"/>
  <c r="D1448" i="1"/>
  <c r="E1448" i="1"/>
  <c r="F1448" i="1"/>
  <c r="G1448" i="1" s="1"/>
  <c r="A1449" i="1"/>
  <c r="B1449" i="1" s="1"/>
  <c r="C1449" i="1"/>
  <c r="D1449" i="1"/>
  <c r="E1449" i="1"/>
  <c r="F1449" i="1"/>
  <c r="G1449" i="1" s="1"/>
  <c r="A1450" i="1"/>
  <c r="B1450" i="1" s="1"/>
  <c r="C1450" i="1"/>
  <c r="D1450" i="1"/>
  <c r="E1450" i="1"/>
  <c r="F1450" i="1"/>
  <c r="G1450" i="1" s="1"/>
  <c r="A1451" i="1"/>
  <c r="B1451" i="1" s="1"/>
  <c r="C1451" i="1"/>
  <c r="D1451" i="1"/>
  <c r="E1451" i="1"/>
  <c r="F1451" i="1"/>
  <c r="G1451" i="1" s="1"/>
  <c r="A1452" i="1"/>
  <c r="B1452" i="1" s="1"/>
  <c r="C1452" i="1"/>
  <c r="D1452" i="1"/>
  <c r="E1452" i="1"/>
  <c r="F1452" i="1"/>
  <c r="G1452" i="1" s="1"/>
  <c r="A1453" i="1"/>
  <c r="B1453" i="1" s="1"/>
  <c r="C1453" i="1"/>
  <c r="D1453" i="1"/>
  <c r="E1453" i="1"/>
  <c r="F1453" i="1"/>
  <c r="G1453" i="1" s="1"/>
  <c r="A1454" i="1"/>
  <c r="B1454" i="1" s="1"/>
  <c r="C1454" i="1"/>
  <c r="D1454" i="1"/>
  <c r="E1454" i="1"/>
  <c r="F1454" i="1"/>
  <c r="G1454" i="1" s="1"/>
  <c r="A1455" i="1"/>
  <c r="B1455" i="1" s="1"/>
  <c r="C1455" i="1"/>
  <c r="D1455" i="1"/>
  <c r="E1455" i="1"/>
  <c r="F1455" i="1"/>
  <c r="G1455" i="1"/>
  <c r="A1456" i="1"/>
  <c r="B1456" i="1" s="1"/>
  <c r="C1456" i="1"/>
  <c r="D1456" i="1"/>
  <c r="E1456" i="1"/>
  <c r="F1456" i="1"/>
  <c r="G1456" i="1" s="1"/>
  <c r="A1457" i="1"/>
  <c r="B1457" i="1" s="1"/>
  <c r="C1457" i="1"/>
  <c r="D1457" i="1"/>
  <c r="E1457" i="1"/>
  <c r="F1457" i="1"/>
  <c r="G1457" i="1" s="1"/>
  <c r="A1458" i="1"/>
  <c r="B1458" i="1" s="1"/>
  <c r="C1458" i="1"/>
  <c r="D1458" i="1"/>
  <c r="E1458" i="1"/>
  <c r="F1458" i="1"/>
  <c r="G1458" i="1" s="1"/>
  <c r="A1459" i="1"/>
  <c r="B1459" i="1"/>
  <c r="C1459" i="1"/>
  <c r="D1459" i="1"/>
  <c r="E1459" i="1"/>
  <c r="F1459" i="1"/>
  <c r="G1459" i="1" s="1"/>
  <c r="A1460" i="1"/>
  <c r="B1460" i="1" s="1"/>
  <c r="C1460" i="1"/>
  <c r="D1460" i="1"/>
  <c r="E1460" i="1"/>
  <c r="F1460" i="1"/>
  <c r="G1460" i="1" s="1"/>
  <c r="A1461" i="1"/>
  <c r="B1461" i="1" s="1"/>
  <c r="C1461" i="1"/>
  <c r="D1461" i="1"/>
  <c r="E1461" i="1"/>
  <c r="F1461" i="1"/>
  <c r="G1461" i="1" s="1"/>
  <c r="A1462" i="1"/>
  <c r="B1462" i="1" s="1"/>
  <c r="C1462" i="1"/>
  <c r="D1462" i="1"/>
  <c r="E1462" i="1"/>
  <c r="F1462" i="1"/>
  <c r="G1462" i="1" s="1"/>
  <c r="A1463" i="1"/>
  <c r="B1463" i="1" s="1"/>
  <c r="C1463" i="1"/>
  <c r="D1463" i="1"/>
  <c r="E1463" i="1"/>
  <c r="F1463" i="1"/>
  <c r="G1463" i="1" s="1"/>
  <c r="A1464" i="1"/>
  <c r="B1464" i="1" s="1"/>
  <c r="C1464" i="1"/>
  <c r="D1464" i="1"/>
  <c r="E1464" i="1"/>
  <c r="F1464" i="1"/>
  <c r="G1464" i="1" s="1"/>
  <c r="A1465" i="1"/>
  <c r="B1465" i="1" s="1"/>
  <c r="C1465" i="1"/>
  <c r="D1465" i="1"/>
  <c r="E1465" i="1"/>
  <c r="F1465" i="1"/>
  <c r="G1465" i="1" s="1"/>
  <c r="A1466" i="1"/>
  <c r="B1466" i="1" s="1"/>
  <c r="C1466" i="1"/>
  <c r="D1466" i="1"/>
  <c r="E1466" i="1"/>
  <c r="F1466" i="1"/>
  <c r="G1466" i="1" s="1"/>
  <c r="A1467" i="1"/>
  <c r="B1467" i="1" s="1"/>
  <c r="C1467" i="1"/>
  <c r="D1467" i="1"/>
  <c r="E1467" i="1"/>
  <c r="F1467" i="1"/>
  <c r="G1467" i="1" s="1"/>
  <c r="A1468" i="1"/>
  <c r="B1468" i="1" s="1"/>
  <c r="C1468" i="1"/>
  <c r="D1468" i="1"/>
  <c r="E1468" i="1"/>
  <c r="F1468" i="1"/>
  <c r="G1468" i="1" s="1"/>
  <c r="A1469" i="1"/>
  <c r="B1469" i="1" s="1"/>
  <c r="C1469" i="1"/>
  <c r="D1469" i="1"/>
  <c r="E1469" i="1"/>
  <c r="F1469" i="1"/>
  <c r="G1469" i="1" s="1"/>
  <c r="A1470" i="1"/>
  <c r="B1470" i="1" s="1"/>
  <c r="C1470" i="1"/>
  <c r="D1470" i="1"/>
  <c r="E1470" i="1"/>
  <c r="F1470" i="1"/>
  <c r="G1470" i="1" s="1"/>
  <c r="A1471" i="1"/>
  <c r="B1471" i="1"/>
  <c r="C1471" i="1"/>
  <c r="D1471" i="1"/>
  <c r="E1471" i="1"/>
  <c r="F1471" i="1"/>
  <c r="G1471" i="1" s="1"/>
  <c r="A1472" i="1"/>
  <c r="B1472" i="1" s="1"/>
  <c r="C1472" i="1"/>
  <c r="D1472" i="1"/>
  <c r="E1472" i="1"/>
  <c r="F1472" i="1"/>
  <c r="G1472" i="1" s="1"/>
  <c r="A1473" i="1"/>
  <c r="B1473" i="1" s="1"/>
  <c r="C1473" i="1"/>
  <c r="D1473" i="1"/>
  <c r="E1473" i="1"/>
  <c r="F1473" i="1"/>
  <c r="G1473" i="1" s="1"/>
  <c r="A1474" i="1"/>
  <c r="B1474" i="1" s="1"/>
  <c r="C1474" i="1"/>
  <c r="D1474" i="1"/>
  <c r="E1474" i="1"/>
  <c r="F1474" i="1"/>
  <c r="G1474" i="1" s="1"/>
  <c r="A1475" i="1"/>
  <c r="B1475" i="1" s="1"/>
  <c r="C1475" i="1"/>
  <c r="D1475" i="1"/>
  <c r="E1475" i="1"/>
  <c r="F1475" i="1"/>
  <c r="G1475" i="1" s="1"/>
  <c r="A1476" i="1"/>
  <c r="B1476" i="1" s="1"/>
  <c r="C1476" i="1"/>
  <c r="D1476" i="1"/>
  <c r="E1476" i="1"/>
  <c r="F1476" i="1"/>
  <c r="G1476" i="1" s="1"/>
  <c r="A1477" i="1"/>
  <c r="B1477" i="1" s="1"/>
  <c r="C1477" i="1"/>
  <c r="D1477" i="1"/>
  <c r="E1477" i="1"/>
  <c r="F1477" i="1"/>
  <c r="G1477" i="1" s="1"/>
  <c r="A1478" i="1"/>
  <c r="B1478" i="1" s="1"/>
  <c r="C1478" i="1"/>
  <c r="D1478" i="1"/>
  <c r="E1478" i="1"/>
  <c r="F1478" i="1"/>
  <c r="G1478" i="1" s="1"/>
  <c r="A1479" i="1"/>
  <c r="B1479" i="1" s="1"/>
  <c r="C1479" i="1"/>
  <c r="D1479" i="1"/>
  <c r="E1479" i="1"/>
  <c r="F1479" i="1"/>
  <c r="G1479" i="1" s="1"/>
  <c r="A1480" i="1"/>
  <c r="B1480" i="1" s="1"/>
  <c r="C1480" i="1"/>
  <c r="D1480" i="1"/>
  <c r="E1480" i="1"/>
  <c r="F1480" i="1"/>
  <c r="G1480" i="1" s="1"/>
  <c r="A1481" i="1"/>
  <c r="B1481" i="1" s="1"/>
  <c r="C1481" i="1"/>
  <c r="D1481" i="1"/>
  <c r="E1481" i="1"/>
  <c r="F1481" i="1"/>
  <c r="G1481" i="1" s="1"/>
  <c r="A1482" i="1"/>
  <c r="B1482" i="1"/>
  <c r="C1482" i="1"/>
  <c r="D1482" i="1"/>
  <c r="E1482" i="1"/>
  <c r="F1482" i="1"/>
  <c r="G1482" i="1" s="1"/>
  <c r="A1483" i="1"/>
  <c r="B1483" i="1" s="1"/>
  <c r="C1483" i="1"/>
  <c r="D1483" i="1"/>
  <c r="E1483" i="1"/>
  <c r="F1483" i="1"/>
  <c r="G1483" i="1" s="1"/>
  <c r="A1484" i="1"/>
  <c r="B1484" i="1" s="1"/>
  <c r="C1484" i="1"/>
  <c r="D1484" i="1"/>
  <c r="E1484" i="1"/>
  <c r="F1484" i="1"/>
  <c r="G1484" i="1" s="1"/>
  <c r="A1485" i="1"/>
  <c r="B1485" i="1" s="1"/>
  <c r="C1485" i="1"/>
  <c r="D1485" i="1"/>
  <c r="E1485" i="1"/>
  <c r="F1485" i="1"/>
  <c r="G1485" i="1" s="1"/>
  <c r="A1486" i="1"/>
  <c r="B1486" i="1" s="1"/>
  <c r="C1486" i="1"/>
  <c r="D1486" i="1"/>
  <c r="E1486" i="1"/>
  <c r="F1486" i="1"/>
  <c r="G1486" i="1"/>
  <c r="A1487" i="1"/>
  <c r="B1487" i="1" s="1"/>
  <c r="C1487" i="1"/>
  <c r="D1487" i="1"/>
  <c r="E1487" i="1"/>
  <c r="F1487" i="1"/>
  <c r="G1487" i="1" s="1"/>
  <c r="A1488" i="1"/>
  <c r="B1488" i="1" s="1"/>
  <c r="C1488" i="1"/>
  <c r="D1488" i="1"/>
  <c r="E1488" i="1"/>
  <c r="F1488" i="1"/>
  <c r="G1488" i="1" s="1"/>
  <c r="A1489" i="1"/>
  <c r="B1489" i="1"/>
  <c r="C1489" i="1"/>
  <c r="D1489" i="1"/>
  <c r="E1489" i="1"/>
  <c r="F1489" i="1"/>
  <c r="G1489" i="1" s="1"/>
  <c r="A1490" i="1"/>
  <c r="B1490" i="1" s="1"/>
  <c r="C1490" i="1"/>
  <c r="D1490" i="1"/>
  <c r="E1490" i="1"/>
  <c r="F1490" i="1"/>
  <c r="G1490" i="1" s="1"/>
  <c r="A1491" i="1"/>
  <c r="B1491" i="1" s="1"/>
  <c r="C1491" i="1"/>
  <c r="D1491" i="1"/>
  <c r="E1491" i="1"/>
  <c r="F1491" i="1"/>
  <c r="G1491" i="1" s="1"/>
  <c r="A1492" i="1"/>
  <c r="B1492" i="1" s="1"/>
  <c r="C1492" i="1"/>
  <c r="D1492" i="1"/>
  <c r="E1492" i="1"/>
  <c r="F1492" i="1"/>
  <c r="G1492" i="1" s="1"/>
  <c r="A1493" i="1"/>
  <c r="B1493" i="1" s="1"/>
  <c r="C1493" i="1"/>
  <c r="D1493" i="1"/>
  <c r="E1493" i="1"/>
  <c r="F1493" i="1"/>
  <c r="G1493" i="1" s="1"/>
  <c r="A1494" i="1"/>
  <c r="B1494" i="1"/>
  <c r="C1494" i="1"/>
  <c r="D1494" i="1"/>
  <c r="E1494" i="1"/>
  <c r="F1494" i="1"/>
  <c r="G1494" i="1" s="1"/>
  <c r="A1495" i="1"/>
  <c r="B1495" i="1" s="1"/>
  <c r="C1495" i="1"/>
  <c r="D1495" i="1"/>
  <c r="E1495" i="1"/>
  <c r="F1495" i="1"/>
  <c r="G1495" i="1" s="1"/>
  <c r="A1496" i="1"/>
  <c r="B1496" i="1" s="1"/>
  <c r="C1496" i="1"/>
  <c r="D1496" i="1"/>
  <c r="E1496" i="1"/>
  <c r="F1496" i="1"/>
  <c r="G1496" i="1" s="1"/>
  <c r="A1497" i="1"/>
  <c r="B1497" i="1" s="1"/>
  <c r="C1497" i="1"/>
  <c r="D1497" i="1"/>
  <c r="E1497" i="1"/>
  <c r="F1497" i="1"/>
  <c r="G1497" i="1" s="1"/>
  <c r="A1498" i="1"/>
  <c r="B1498" i="1" s="1"/>
  <c r="C1498" i="1"/>
  <c r="D1498" i="1"/>
  <c r="E1498" i="1"/>
  <c r="F1498" i="1"/>
  <c r="G1498" i="1" s="1"/>
  <c r="A1499" i="1"/>
  <c r="B1499" i="1" s="1"/>
  <c r="C1499" i="1"/>
  <c r="D1499" i="1"/>
  <c r="E1499" i="1"/>
  <c r="F1499" i="1"/>
  <c r="G1499" i="1" s="1"/>
  <c r="A1500" i="1"/>
  <c r="B1500" i="1" s="1"/>
  <c r="C1500" i="1"/>
  <c r="D1500" i="1"/>
  <c r="E1500" i="1"/>
  <c r="F1500" i="1"/>
  <c r="G1500" i="1" s="1"/>
  <c r="A1501" i="1"/>
  <c r="B1501" i="1" s="1"/>
  <c r="C1501" i="1"/>
  <c r="D1501" i="1"/>
  <c r="E1501" i="1"/>
  <c r="F1501" i="1"/>
  <c r="G1501" i="1" s="1"/>
  <c r="A1502" i="1"/>
  <c r="B1502" i="1" s="1"/>
  <c r="C1502" i="1"/>
  <c r="D1502" i="1"/>
  <c r="E1502" i="1"/>
  <c r="F1502" i="1"/>
  <c r="G1502" i="1" s="1"/>
  <c r="A1503" i="1"/>
  <c r="B1503" i="1" s="1"/>
  <c r="C1503" i="1"/>
  <c r="D1503" i="1"/>
  <c r="E1503" i="1"/>
  <c r="F1503" i="1"/>
  <c r="G1503" i="1" s="1"/>
  <c r="A1504" i="1"/>
  <c r="B1504" i="1" s="1"/>
  <c r="C1504" i="1"/>
  <c r="D1504" i="1"/>
  <c r="E1504" i="1"/>
  <c r="F1504" i="1"/>
  <c r="G1504" i="1" s="1"/>
  <c r="A1505" i="1"/>
  <c r="B1505" i="1" s="1"/>
  <c r="C1505" i="1"/>
  <c r="D1505" i="1"/>
  <c r="E1505" i="1"/>
  <c r="F1505" i="1"/>
  <c r="G1505" i="1" s="1"/>
  <c r="A1506" i="1"/>
  <c r="B1506" i="1"/>
  <c r="C1506" i="1"/>
  <c r="D1506" i="1"/>
  <c r="E1506" i="1"/>
  <c r="F1506" i="1"/>
  <c r="G1506" i="1" s="1"/>
  <c r="A1507" i="1"/>
  <c r="B1507" i="1" s="1"/>
  <c r="C1507" i="1"/>
  <c r="D1507" i="1"/>
  <c r="E1507" i="1"/>
  <c r="F1507" i="1"/>
  <c r="G1507" i="1" s="1"/>
  <c r="A1508" i="1"/>
  <c r="B1508" i="1"/>
  <c r="C1508" i="1"/>
  <c r="D1508" i="1"/>
  <c r="E1508" i="1"/>
  <c r="F1508" i="1"/>
  <c r="G1508" i="1" s="1"/>
  <c r="A1509" i="1"/>
  <c r="B1509" i="1" s="1"/>
  <c r="C1509" i="1"/>
  <c r="D1509" i="1"/>
  <c r="E1509" i="1"/>
  <c r="F1509" i="1"/>
  <c r="G1509" i="1" s="1"/>
  <c r="A1510" i="1"/>
  <c r="B1510" i="1" s="1"/>
  <c r="C1510" i="1"/>
  <c r="D1510" i="1"/>
  <c r="E1510" i="1"/>
  <c r="F1510" i="1"/>
  <c r="G1510" i="1" s="1"/>
  <c r="A1511" i="1"/>
  <c r="B1511" i="1" s="1"/>
  <c r="C1511" i="1"/>
  <c r="D1511" i="1"/>
  <c r="E1511" i="1"/>
  <c r="F1511" i="1"/>
  <c r="G1511" i="1" s="1"/>
  <c r="A1512" i="1"/>
  <c r="B1512" i="1" s="1"/>
  <c r="C1512" i="1"/>
  <c r="D1512" i="1"/>
  <c r="E1512" i="1"/>
  <c r="F1512" i="1"/>
  <c r="G1512" i="1" s="1"/>
  <c r="A1513" i="1"/>
  <c r="B1513" i="1" s="1"/>
  <c r="C1513" i="1"/>
  <c r="D1513" i="1"/>
  <c r="E1513" i="1"/>
  <c r="F1513" i="1"/>
  <c r="G1513" i="1" s="1"/>
  <c r="A1514" i="1"/>
  <c r="B1514" i="1" s="1"/>
  <c r="C1514" i="1"/>
  <c r="D1514" i="1"/>
  <c r="E1514" i="1"/>
  <c r="F1514" i="1"/>
  <c r="G1514" i="1"/>
  <c r="A1515" i="1"/>
  <c r="B1515" i="1" s="1"/>
  <c r="C1515" i="1"/>
  <c r="D1515" i="1"/>
  <c r="E1515" i="1"/>
  <c r="F1515" i="1"/>
  <c r="G1515" i="1" s="1"/>
  <c r="A1516" i="1"/>
  <c r="B1516" i="1"/>
  <c r="C1516" i="1"/>
  <c r="D1516" i="1"/>
  <c r="E1516" i="1"/>
  <c r="F1516" i="1"/>
  <c r="G1516" i="1"/>
  <c r="A1517" i="1"/>
  <c r="B1517" i="1" s="1"/>
  <c r="C1517" i="1"/>
  <c r="D1517" i="1"/>
  <c r="E1517" i="1"/>
  <c r="F1517" i="1"/>
  <c r="G1517" i="1" s="1"/>
  <c r="A1518" i="1"/>
  <c r="B1518" i="1" s="1"/>
  <c r="C1518" i="1"/>
  <c r="D1518" i="1"/>
  <c r="E1518" i="1"/>
  <c r="F1518" i="1"/>
  <c r="G1518" i="1" s="1"/>
  <c r="A1519" i="1"/>
  <c r="B1519" i="1"/>
  <c r="C1519" i="1"/>
  <c r="D1519" i="1"/>
  <c r="E1519" i="1"/>
  <c r="F1519" i="1"/>
  <c r="G1519" i="1" s="1"/>
  <c r="A1520" i="1"/>
  <c r="B1520" i="1" s="1"/>
  <c r="C1520" i="1"/>
  <c r="D1520" i="1"/>
  <c r="E1520" i="1"/>
  <c r="F1520" i="1"/>
  <c r="G1520" i="1" s="1"/>
  <c r="A1521" i="1"/>
  <c r="B1521" i="1" s="1"/>
  <c r="C1521" i="1"/>
  <c r="D1521" i="1"/>
  <c r="E1521" i="1"/>
  <c r="F1521" i="1"/>
  <c r="G1521" i="1" s="1"/>
  <c r="A1522" i="1"/>
  <c r="B1522" i="1" s="1"/>
  <c r="C1522" i="1"/>
  <c r="D1522" i="1"/>
  <c r="E1522" i="1"/>
  <c r="F1522" i="1"/>
  <c r="G1522" i="1" s="1"/>
  <c r="A1523" i="1"/>
  <c r="B1523" i="1" s="1"/>
  <c r="C1523" i="1"/>
  <c r="D1523" i="1"/>
  <c r="E1523" i="1"/>
  <c r="F1523" i="1"/>
  <c r="G1523" i="1" s="1"/>
  <c r="A1524" i="1"/>
  <c r="B1524" i="1" s="1"/>
  <c r="C1524" i="1"/>
  <c r="D1524" i="1"/>
  <c r="E1524" i="1"/>
  <c r="F1524" i="1"/>
  <c r="G1524" i="1" s="1"/>
  <c r="A1525" i="1"/>
  <c r="B1525" i="1"/>
  <c r="C1525" i="1"/>
  <c r="D1525" i="1"/>
  <c r="E1525" i="1"/>
  <c r="F1525" i="1"/>
  <c r="G1525" i="1" s="1"/>
  <c r="A1526" i="1"/>
  <c r="B1526" i="1" s="1"/>
  <c r="C1526" i="1"/>
  <c r="D1526" i="1"/>
  <c r="E1526" i="1"/>
  <c r="F1526" i="1"/>
  <c r="G1526" i="1" s="1"/>
  <c r="A1527" i="1"/>
  <c r="B1527" i="1" s="1"/>
  <c r="C1527" i="1"/>
  <c r="D1527" i="1"/>
  <c r="E1527" i="1"/>
  <c r="F1527" i="1"/>
  <c r="G1527" i="1" s="1"/>
  <c r="A1528" i="1"/>
  <c r="B1528" i="1" s="1"/>
  <c r="C1528" i="1"/>
  <c r="D1528" i="1"/>
  <c r="E1528" i="1"/>
  <c r="F1528" i="1"/>
  <c r="G1528" i="1" s="1"/>
  <c r="A1529" i="1"/>
  <c r="B1529" i="1" s="1"/>
  <c r="C1529" i="1"/>
  <c r="D1529" i="1"/>
  <c r="E1529" i="1"/>
  <c r="F1529" i="1"/>
  <c r="G1529" i="1" s="1"/>
  <c r="A1530" i="1"/>
  <c r="B1530" i="1" s="1"/>
  <c r="C1530" i="1"/>
  <c r="D1530" i="1"/>
  <c r="E1530" i="1"/>
  <c r="F1530" i="1"/>
  <c r="G1530" i="1" s="1"/>
  <c r="A1531" i="1"/>
  <c r="B1531" i="1" s="1"/>
  <c r="C1531" i="1"/>
  <c r="D1531" i="1"/>
  <c r="E1531" i="1"/>
  <c r="F1531" i="1"/>
  <c r="G1531" i="1" s="1"/>
  <c r="A1532" i="1"/>
  <c r="B1532" i="1"/>
  <c r="C1532" i="1"/>
  <c r="D1532" i="1"/>
  <c r="E1532" i="1"/>
  <c r="F1532" i="1"/>
  <c r="G1532" i="1" s="1"/>
  <c r="A1533" i="1"/>
  <c r="B1533" i="1" s="1"/>
  <c r="C1533" i="1"/>
  <c r="D1533" i="1"/>
  <c r="E1533" i="1"/>
  <c r="F1533" i="1"/>
  <c r="G1533" i="1" s="1"/>
  <c r="A1534" i="1"/>
  <c r="B1534" i="1" s="1"/>
  <c r="C1534" i="1"/>
  <c r="D1534" i="1"/>
  <c r="E1534" i="1"/>
  <c r="F1534" i="1"/>
  <c r="G1534" i="1"/>
  <c r="A1535" i="1"/>
  <c r="B1535" i="1" s="1"/>
  <c r="C1535" i="1"/>
  <c r="D1535" i="1"/>
  <c r="E1535" i="1"/>
  <c r="F1535" i="1"/>
  <c r="G1535" i="1" s="1"/>
  <c r="A1536" i="1"/>
  <c r="B1536" i="1" s="1"/>
  <c r="C1536" i="1"/>
  <c r="D1536" i="1"/>
  <c r="E1536" i="1"/>
  <c r="F1536" i="1"/>
  <c r="G1536" i="1" s="1"/>
  <c r="A1537" i="1"/>
  <c r="B1537" i="1"/>
  <c r="C1537" i="1"/>
  <c r="D1537" i="1"/>
  <c r="E1537" i="1"/>
  <c r="F1537" i="1"/>
  <c r="G1537" i="1" s="1"/>
  <c r="A1538" i="1"/>
  <c r="B1538" i="1" s="1"/>
  <c r="C1538" i="1"/>
  <c r="D1538" i="1"/>
  <c r="E1538" i="1"/>
  <c r="F1538" i="1"/>
  <c r="G1538" i="1" s="1"/>
  <c r="A1539" i="1"/>
  <c r="B1539" i="1" s="1"/>
  <c r="C1539" i="1"/>
  <c r="D1539" i="1"/>
  <c r="E1539" i="1"/>
  <c r="F1539" i="1"/>
  <c r="G1539" i="1" s="1"/>
  <c r="A1540" i="1"/>
  <c r="B1540" i="1" s="1"/>
  <c r="C1540" i="1"/>
  <c r="D1540" i="1"/>
  <c r="E1540" i="1"/>
  <c r="F1540" i="1"/>
  <c r="G1540" i="1" s="1"/>
  <c r="A1541" i="1"/>
  <c r="B1541" i="1" s="1"/>
  <c r="C1541" i="1"/>
  <c r="D1541" i="1"/>
  <c r="E1541" i="1"/>
  <c r="F1541" i="1"/>
  <c r="G1541" i="1" s="1"/>
  <c r="A1542" i="1"/>
  <c r="B1542" i="1" s="1"/>
  <c r="C1542" i="1"/>
  <c r="D1542" i="1"/>
  <c r="E1542" i="1"/>
  <c r="F1542" i="1"/>
  <c r="G1542" i="1" s="1"/>
  <c r="A1543" i="1"/>
  <c r="B1543" i="1" s="1"/>
  <c r="C1543" i="1"/>
  <c r="D1543" i="1"/>
  <c r="E1543" i="1"/>
  <c r="F1543" i="1"/>
  <c r="G1543" i="1" s="1"/>
  <c r="A1544" i="1"/>
  <c r="B1544" i="1" s="1"/>
  <c r="C1544" i="1"/>
  <c r="D1544" i="1"/>
  <c r="E1544" i="1"/>
  <c r="F1544" i="1"/>
  <c r="G1544" i="1" s="1"/>
  <c r="A1545" i="1"/>
  <c r="B1545" i="1" s="1"/>
  <c r="C1545" i="1"/>
  <c r="D1545" i="1"/>
  <c r="E1545" i="1"/>
  <c r="F1545" i="1"/>
  <c r="G1545" i="1" s="1"/>
  <c r="A1546" i="1"/>
  <c r="B1546" i="1" s="1"/>
  <c r="C1546" i="1"/>
  <c r="D1546" i="1"/>
  <c r="E1546" i="1"/>
  <c r="F1546" i="1"/>
  <c r="G1546" i="1" s="1"/>
  <c r="A1547" i="1"/>
  <c r="B1547" i="1" s="1"/>
  <c r="C1547" i="1"/>
  <c r="D1547" i="1"/>
  <c r="E1547" i="1"/>
  <c r="F1547" i="1"/>
  <c r="G1547" i="1" s="1"/>
  <c r="A1548" i="1"/>
  <c r="B1548" i="1" s="1"/>
  <c r="C1548" i="1"/>
  <c r="D1548" i="1"/>
  <c r="E1548" i="1"/>
  <c r="F1548" i="1"/>
  <c r="G1548" i="1" s="1"/>
  <c r="A1549" i="1"/>
  <c r="B1549" i="1"/>
  <c r="C1549" i="1"/>
  <c r="D1549" i="1"/>
  <c r="E1549" i="1"/>
  <c r="F1549" i="1"/>
  <c r="G1549" i="1" s="1"/>
  <c r="A1550" i="1"/>
  <c r="B1550" i="1"/>
  <c r="C1550" i="1"/>
  <c r="D1550" i="1"/>
  <c r="E1550" i="1"/>
  <c r="F1550" i="1"/>
  <c r="G1550" i="1" s="1"/>
  <c r="A1551" i="1"/>
  <c r="B1551" i="1"/>
  <c r="C1551" i="1"/>
  <c r="D1551" i="1"/>
  <c r="E1551" i="1"/>
  <c r="F1551" i="1"/>
  <c r="G1551" i="1" s="1"/>
  <c r="A1552" i="1"/>
  <c r="B1552" i="1" s="1"/>
  <c r="C1552" i="1"/>
  <c r="D1552" i="1"/>
  <c r="E1552" i="1"/>
  <c r="F1552" i="1"/>
  <c r="G1552" i="1" s="1"/>
  <c r="A1553" i="1"/>
  <c r="B1553" i="1" s="1"/>
  <c r="C1553" i="1"/>
  <c r="D1553" i="1"/>
  <c r="E1553" i="1"/>
  <c r="F1553" i="1"/>
  <c r="G1553" i="1" s="1"/>
  <c r="A1554" i="1"/>
  <c r="B1554" i="1"/>
  <c r="C1554" i="1"/>
  <c r="D1554" i="1"/>
  <c r="E1554" i="1"/>
  <c r="F1554" i="1"/>
  <c r="G1554" i="1" s="1"/>
  <c r="A1555" i="1"/>
  <c r="B1555" i="1"/>
  <c r="C1555" i="1"/>
  <c r="D1555" i="1"/>
  <c r="E1555" i="1"/>
  <c r="F1555" i="1"/>
  <c r="G1555" i="1" s="1"/>
  <c r="A1556" i="1"/>
  <c r="B1556" i="1" s="1"/>
  <c r="C1556" i="1"/>
  <c r="D1556" i="1"/>
  <c r="E1556" i="1"/>
  <c r="F1556" i="1"/>
  <c r="G1556" i="1" s="1"/>
  <c r="A1557" i="1"/>
  <c r="B1557" i="1" s="1"/>
  <c r="C1557" i="1"/>
  <c r="D1557" i="1"/>
  <c r="E1557" i="1"/>
  <c r="F1557" i="1"/>
  <c r="G1557" i="1" s="1"/>
  <c r="A1558" i="1"/>
  <c r="B1558" i="1" s="1"/>
  <c r="C1558" i="1"/>
  <c r="D1558" i="1"/>
  <c r="E1558" i="1"/>
  <c r="F1558" i="1"/>
  <c r="G1558" i="1" s="1"/>
  <c r="A1559" i="1"/>
  <c r="B1559" i="1" s="1"/>
  <c r="C1559" i="1"/>
  <c r="D1559" i="1"/>
  <c r="E1559" i="1"/>
  <c r="F1559" i="1"/>
  <c r="G1559" i="1" s="1"/>
  <c r="A1560" i="1"/>
  <c r="B1560" i="1" s="1"/>
  <c r="C1560" i="1"/>
  <c r="D1560" i="1"/>
  <c r="E1560" i="1"/>
  <c r="F1560" i="1"/>
  <c r="G1560" i="1" s="1"/>
  <c r="A1561" i="1"/>
  <c r="B1561" i="1" s="1"/>
  <c r="C1561" i="1"/>
  <c r="D1561" i="1"/>
  <c r="E1561" i="1"/>
  <c r="F1561" i="1"/>
  <c r="G1561" i="1" s="1"/>
  <c r="A1562" i="1"/>
  <c r="B1562" i="1" s="1"/>
  <c r="C1562" i="1"/>
  <c r="D1562" i="1"/>
  <c r="E1562" i="1"/>
  <c r="F1562" i="1"/>
  <c r="G1562" i="1" s="1"/>
  <c r="A1563" i="1"/>
  <c r="B1563" i="1" s="1"/>
  <c r="C1563" i="1"/>
  <c r="D1563" i="1"/>
  <c r="E1563" i="1"/>
  <c r="F1563" i="1"/>
  <c r="G1563" i="1" s="1"/>
  <c r="A1564" i="1"/>
  <c r="B1564" i="1" s="1"/>
  <c r="C1564" i="1"/>
  <c r="D1564" i="1"/>
  <c r="E1564" i="1"/>
  <c r="F1564" i="1"/>
  <c r="G1564" i="1" s="1"/>
  <c r="A1565" i="1"/>
  <c r="B1565" i="1"/>
  <c r="C1565" i="1"/>
  <c r="D1565" i="1"/>
  <c r="E1565" i="1"/>
  <c r="F1565" i="1"/>
  <c r="G1565" i="1" s="1"/>
  <c r="A1566" i="1"/>
  <c r="B1566" i="1" s="1"/>
  <c r="C1566" i="1"/>
  <c r="D1566" i="1"/>
  <c r="E1566" i="1"/>
  <c r="F1566" i="1"/>
  <c r="G1566" i="1" s="1"/>
  <c r="A1567" i="1"/>
  <c r="B1567" i="1" s="1"/>
  <c r="C1567" i="1"/>
  <c r="D1567" i="1"/>
  <c r="E1567" i="1"/>
  <c r="F1567" i="1"/>
  <c r="G1567" i="1" s="1"/>
  <c r="A1568" i="1"/>
  <c r="B1568" i="1"/>
  <c r="C1568" i="1"/>
  <c r="D1568" i="1"/>
  <c r="E1568" i="1"/>
  <c r="F1568" i="1"/>
  <c r="G1568" i="1" s="1"/>
  <c r="A1569" i="1"/>
  <c r="B1569" i="1" s="1"/>
  <c r="C1569" i="1"/>
  <c r="D1569" i="1"/>
  <c r="E1569" i="1"/>
  <c r="F1569" i="1"/>
  <c r="G1569" i="1" s="1"/>
  <c r="A1570" i="1"/>
  <c r="B1570" i="1" s="1"/>
  <c r="C1570" i="1"/>
  <c r="D1570" i="1"/>
  <c r="E1570" i="1"/>
  <c r="F1570" i="1"/>
  <c r="G1570" i="1" s="1"/>
  <c r="A1571" i="1"/>
  <c r="B1571" i="1" s="1"/>
  <c r="C1571" i="1"/>
  <c r="D1571" i="1"/>
  <c r="E1571" i="1"/>
  <c r="F1571" i="1"/>
  <c r="G1571" i="1" s="1"/>
  <c r="A1572" i="1"/>
  <c r="B1572" i="1" s="1"/>
  <c r="C1572" i="1"/>
  <c r="D1572" i="1"/>
  <c r="E1572" i="1"/>
  <c r="F1572" i="1"/>
  <c r="G1572" i="1" s="1"/>
  <c r="A1573" i="1"/>
  <c r="B1573" i="1"/>
  <c r="C1573" i="1"/>
  <c r="D1573" i="1"/>
  <c r="E1573" i="1"/>
  <c r="F1573" i="1"/>
  <c r="G1573" i="1" s="1"/>
  <c r="A1574" i="1"/>
  <c r="B1574" i="1" s="1"/>
  <c r="C1574" i="1"/>
  <c r="D1574" i="1"/>
  <c r="E1574" i="1"/>
  <c r="F1574" i="1"/>
  <c r="G1574" i="1" s="1"/>
  <c r="A1575" i="1"/>
  <c r="B1575" i="1"/>
  <c r="C1575" i="1"/>
  <c r="D1575" i="1"/>
  <c r="E1575" i="1"/>
  <c r="F1575" i="1"/>
  <c r="G1575" i="1" s="1"/>
  <c r="A1576" i="1"/>
  <c r="B1576" i="1" s="1"/>
  <c r="C1576" i="1"/>
  <c r="D1576" i="1"/>
  <c r="E1576" i="1"/>
  <c r="F1576" i="1"/>
  <c r="G1576" i="1" s="1"/>
  <c r="A1577" i="1"/>
  <c r="B1577" i="1" s="1"/>
  <c r="C1577" i="1"/>
  <c r="D1577" i="1"/>
  <c r="E1577" i="1"/>
  <c r="F1577" i="1"/>
  <c r="G1577" i="1" s="1"/>
  <c r="A1578" i="1"/>
  <c r="B1578" i="1"/>
  <c r="C1578" i="1"/>
  <c r="D1578" i="1"/>
  <c r="E1578" i="1"/>
  <c r="F1578" i="1"/>
  <c r="G1578" i="1" s="1"/>
  <c r="A1579" i="1"/>
  <c r="B1579" i="1" s="1"/>
  <c r="C1579" i="1"/>
  <c r="D1579" i="1"/>
  <c r="E1579" i="1"/>
  <c r="F1579" i="1"/>
  <c r="G1579" i="1" s="1"/>
  <c r="A1580" i="1"/>
  <c r="B1580" i="1" s="1"/>
  <c r="C1580" i="1"/>
  <c r="D1580" i="1"/>
  <c r="E1580" i="1"/>
  <c r="F1580" i="1"/>
  <c r="G1580" i="1" s="1"/>
  <c r="A1581" i="1"/>
  <c r="B1581" i="1"/>
  <c r="C1581" i="1"/>
  <c r="D1581" i="1"/>
  <c r="E1581" i="1"/>
  <c r="F1581" i="1"/>
  <c r="G1581" i="1" s="1"/>
  <c r="A1582" i="1"/>
  <c r="B1582" i="1" s="1"/>
  <c r="C1582" i="1"/>
  <c r="D1582" i="1"/>
  <c r="E1582" i="1"/>
  <c r="F1582" i="1"/>
  <c r="G1582" i="1" s="1"/>
  <c r="A1583" i="1"/>
  <c r="B1583" i="1" s="1"/>
  <c r="C1583" i="1"/>
  <c r="D1583" i="1"/>
  <c r="E1583" i="1"/>
  <c r="F1583" i="1"/>
  <c r="G1583" i="1" s="1"/>
  <c r="A1584" i="1"/>
  <c r="B1584" i="1" s="1"/>
  <c r="C1584" i="1"/>
  <c r="D1584" i="1"/>
  <c r="E1584" i="1"/>
  <c r="F1584" i="1"/>
  <c r="G1584" i="1" s="1"/>
  <c r="A1585" i="1"/>
  <c r="B1585" i="1" s="1"/>
  <c r="C1585" i="1"/>
  <c r="D1585" i="1"/>
  <c r="E1585" i="1"/>
  <c r="F1585" i="1"/>
  <c r="G1585" i="1" s="1"/>
  <c r="A1586" i="1"/>
  <c r="B1586" i="1" s="1"/>
  <c r="C1586" i="1"/>
  <c r="D1586" i="1"/>
  <c r="E1586" i="1"/>
  <c r="F1586" i="1"/>
  <c r="G1586" i="1" s="1"/>
  <c r="A1587" i="1"/>
  <c r="B1587" i="1" s="1"/>
  <c r="C1587" i="1"/>
  <c r="D1587" i="1"/>
  <c r="E1587" i="1"/>
  <c r="F1587" i="1"/>
  <c r="G1587" i="1" s="1"/>
  <c r="A1588" i="1"/>
  <c r="B1588" i="1" s="1"/>
  <c r="C1588" i="1"/>
  <c r="D1588" i="1"/>
  <c r="E1588" i="1"/>
  <c r="F1588" i="1"/>
  <c r="G1588" i="1" s="1"/>
  <c r="A1589" i="1"/>
  <c r="B1589" i="1" s="1"/>
  <c r="C1589" i="1"/>
  <c r="D1589" i="1"/>
  <c r="E1589" i="1"/>
  <c r="F1589" i="1"/>
  <c r="G1589" i="1" s="1"/>
  <c r="A1590" i="1"/>
  <c r="B1590" i="1" s="1"/>
  <c r="C1590" i="1"/>
  <c r="D1590" i="1"/>
  <c r="E1590" i="1"/>
  <c r="F1590" i="1"/>
  <c r="G1590" i="1" s="1"/>
  <c r="A1591" i="1"/>
  <c r="B1591" i="1" s="1"/>
  <c r="C1591" i="1"/>
  <c r="D1591" i="1"/>
  <c r="E1591" i="1"/>
  <c r="F1591" i="1"/>
  <c r="G1591" i="1" s="1"/>
  <c r="A1592" i="1"/>
  <c r="B1592" i="1" s="1"/>
  <c r="C1592" i="1"/>
  <c r="D1592" i="1"/>
  <c r="E1592" i="1"/>
  <c r="F1592" i="1"/>
  <c r="G1592" i="1"/>
  <c r="A1593" i="1"/>
  <c r="B1593" i="1" s="1"/>
  <c r="C1593" i="1"/>
  <c r="D1593" i="1"/>
  <c r="E1593" i="1"/>
  <c r="F1593" i="1"/>
  <c r="G1593" i="1" s="1"/>
  <c r="A1594" i="1"/>
  <c r="B1594" i="1" s="1"/>
  <c r="C1594" i="1"/>
  <c r="D1594" i="1"/>
  <c r="E1594" i="1"/>
  <c r="F1594" i="1"/>
  <c r="G1594" i="1" s="1"/>
  <c r="A1595" i="1"/>
  <c r="B1595" i="1" s="1"/>
  <c r="C1595" i="1"/>
  <c r="D1595" i="1"/>
  <c r="E1595" i="1"/>
  <c r="F1595" i="1"/>
  <c r="G1595" i="1" s="1"/>
  <c r="A1596" i="1"/>
  <c r="B1596" i="1" s="1"/>
  <c r="C1596" i="1"/>
  <c r="D1596" i="1"/>
  <c r="E1596" i="1"/>
  <c r="F1596" i="1"/>
  <c r="G1596" i="1" s="1"/>
  <c r="A1597" i="1"/>
  <c r="B1597" i="1"/>
  <c r="C1597" i="1"/>
  <c r="D1597" i="1"/>
  <c r="E1597" i="1"/>
  <c r="F1597" i="1"/>
  <c r="G1597" i="1" s="1"/>
  <c r="A1598" i="1"/>
  <c r="B1598" i="1" s="1"/>
  <c r="C1598" i="1"/>
  <c r="D1598" i="1"/>
  <c r="E1598" i="1"/>
  <c r="F1598" i="1"/>
  <c r="G1598" i="1" s="1"/>
  <c r="A1599" i="1"/>
  <c r="B1599" i="1" s="1"/>
  <c r="C1599" i="1"/>
  <c r="D1599" i="1"/>
  <c r="E1599" i="1"/>
  <c r="F1599" i="1"/>
  <c r="G1599" i="1" s="1"/>
  <c r="A1600" i="1"/>
  <c r="B1600" i="1" s="1"/>
  <c r="C1600" i="1"/>
  <c r="D1600" i="1"/>
  <c r="E1600" i="1"/>
  <c r="F1600" i="1"/>
  <c r="G1600" i="1" s="1"/>
  <c r="A1601" i="1"/>
  <c r="B1601" i="1" s="1"/>
  <c r="C1601" i="1"/>
  <c r="D1601" i="1"/>
  <c r="E1601" i="1"/>
  <c r="F1601" i="1"/>
  <c r="G1601" i="1" s="1"/>
  <c r="A1602" i="1"/>
  <c r="B1602" i="1"/>
  <c r="C1602" i="1"/>
  <c r="D1602" i="1"/>
  <c r="E1602" i="1"/>
  <c r="F1602" i="1"/>
  <c r="G1602" i="1" s="1"/>
  <c r="A1603" i="1"/>
  <c r="B1603" i="1"/>
  <c r="C1603" i="1"/>
  <c r="D1603" i="1"/>
  <c r="E1603" i="1"/>
  <c r="F1603" i="1"/>
  <c r="G1603" i="1"/>
  <c r="A1604" i="1"/>
  <c r="B1604" i="1" s="1"/>
  <c r="C1604" i="1"/>
  <c r="D1604" i="1"/>
  <c r="E1604" i="1"/>
  <c r="F1604" i="1"/>
  <c r="G1604" i="1" s="1"/>
  <c r="A1605" i="1"/>
  <c r="B1605" i="1"/>
  <c r="C1605" i="1"/>
  <c r="D1605" i="1"/>
  <c r="E1605" i="1"/>
  <c r="F1605" i="1"/>
  <c r="G1605" i="1" s="1"/>
  <c r="A1606" i="1"/>
  <c r="B1606" i="1" s="1"/>
  <c r="C1606" i="1"/>
  <c r="D1606" i="1"/>
  <c r="E1606" i="1"/>
  <c r="F1606" i="1"/>
  <c r="G1606" i="1" s="1"/>
  <c r="A1607" i="1"/>
  <c r="B1607" i="1" s="1"/>
  <c r="C1607" i="1"/>
  <c r="D1607" i="1"/>
  <c r="E1607" i="1"/>
  <c r="F1607" i="1"/>
  <c r="G1607" i="1" s="1"/>
  <c r="A1608" i="1"/>
  <c r="B1608" i="1" s="1"/>
  <c r="C1608" i="1"/>
  <c r="D1608" i="1"/>
  <c r="E1608" i="1"/>
  <c r="F1608" i="1"/>
  <c r="G1608" i="1" s="1"/>
  <c r="A1609" i="1"/>
  <c r="B1609" i="1" s="1"/>
  <c r="C1609" i="1"/>
  <c r="D1609" i="1"/>
  <c r="E1609" i="1"/>
  <c r="F1609" i="1"/>
  <c r="G1609" i="1" s="1"/>
  <c r="A1610" i="1"/>
  <c r="B1610" i="1" s="1"/>
  <c r="C1610" i="1"/>
  <c r="D1610" i="1"/>
  <c r="E1610" i="1"/>
  <c r="F1610" i="1"/>
  <c r="G1610" i="1" s="1"/>
  <c r="A1611" i="1"/>
  <c r="B1611" i="1"/>
  <c r="C1611" i="1"/>
  <c r="D1611" i="1"/>
  <c r="E1611" i="1"/>
  <c r="F1611" i="1"/>
  <c r="G1611" i="1" s="1"/>
  <c r="A1612" i="1"/>
  <c r="B1612" i="1" s="1"/>
  <c r="C1612" i="1"/>
  <c r="D1612" i="1"/>
  <c r="E1612" i="1"/>
  <c r="F1612" i="1"/>
  <c r="G1612" i="1" s="1"/>
  <c r="A1613" i="1"/>
  <c r="B1613" i="1" s="1"/>
  <c r="C1613" i="1"/>
  <c r="D1613" i="1"/>
  <c r="E1613" i="1"/>
  <c r="F1613" i="1"/>
  <c r="G1613" i="1" s="1"/>
  <c r="A1614" i="1"/>
  <c r="B1614" i="1" s="1"/>
  <c r="C1614" i="1"/>
  <c r="D1614" i="1"/>
  <c r="E1614" i="1"/>
  <c r="F1614" i="1"/>
  <c r="G1614" i="1" s="1"/>
  <c r="A1615" i="1"/>
  <c r="B1615" i="1" s="1"/>
  <c r="C1615" i="1"/>
  <c r="D1615" i="1"/>
  <c r="E1615" i="1"/>
  <c r="F1615" i="1"/>
  <c r="G1615" i="1" s="1"/>
  <c r="A1616" i="1"/>
  <c r="B1616" i="1" s="1"/>
  <c r="C1616" i="1"/>
  <c r="D1616" i="1"/>
  <c r="E1616" i="1"/>
  <c r="F1616" i="1"/>
  <c r="G1616" i="1"/>
  <c r="A1617" i="1"/>
  <c r="B1617" i="1" s="1"/>
  <c r="C1617" i="1"/>
  <c r="D1617" i="1"/>
  <c r="E1617" i="1"/>
  <c r="F1617" i="1"/>
  <c r="G1617" i="1" s="1"/>
  <c r="A1618" i="1"/>
  <c r="B1618" i="1" s="1"/>
  <c r="C1618" i="1"/>
  <c r="D1618" i="1"/>
  <c r="E1618" i="1"/>
  <c r="F1618" i="1"/>
  <c r="G1618" i="1" s="1"/>
  <c r="A1619" i="1"/>
  <c r="B1619" i="1" s="1"/>
  <c r="C1619" i="1"/>
  <c r="D1619" i="1"/>
  <c r="E1619" i="1"/>
  <c r="F1619" i="1"/>
  <c r="G1619" i="1" s="1"/>
  <c r="A1620" i="1"/>
  <c r="B1620" i="1" s="1"/>
  <c r="C1620" i="1"/>
  <c r="D1620" i="1"/>
  <c r="E1620" i="1"/>
  <c r="F1620" i="1"/>
  <c r="G1620" i="1" s="1"/>
  <c r="A1621" i="1"/>
  <c r="B1621" i="1" s="1"/>
  <c r="C1621" i="1"/>
  <c r="D1621" i="1"/>
  <c r="E1621" i="1"/>
  <c r="F1621" i="1"/>
  <c r="G1621" i="1" s="1"/>
  <c r="A1622" i="1"/>
  <c r="B1622" i="1" s="1"/>
  <c r="C1622" i="1"/>
  <c r="D1622" i="1"/>
  <c r="E1622" i="1"/>
  <c r="F1622" i="1"/>
  <c r="G1622" i="1" s="1"/>
  <c r="A1623" i="1"/>
  <c r="B1623" i="1" s="1"/>
  <c r="C1623" i="1"/>
  <c r="D1623" i="1"/>
  <c r="E1623" i="1"/>
  <c r="F1623" i="1"/>
  <c r="G1623" i="1" s="1"/>
  <c r="A1624" i="1"/>
  <c r="B1624" i="1" s="1"/>
  <c r="C1624" i="1"/>
  <c r="D1624" i="1"/>
  <c r="E1624" i="1"/>
  <c r="F1624" i="1"/>
  <c r="G1624" i="1" s="1"/>
  <c r="A1625" i="1"/>
  <c r="B1625" i="1" s="1"/>
  <c r="C1625" i="1"/>
  <c r="D1625" i="1"/>
  <c r="E1625" i="1"/>
  <c r="F1625" i="1"/>
  <c r="G1625" i="1" s="1"/>
  <c r="A1626" i="1"/>
  <c r="B1626" i="1" s="1"/>
  <c r="C1626" i="1"/>
  <c r="D1626" i="1"/>
  <c r="E1626" i="1"/>
  <c r="F1626" i="1"/>
  <c r="G1626" i="1" s="1"/>
  <c r="A1627" i="1"/>
  <c r="B1627" i="1" s="1"/>
  <c r="C1627" i="1"/>
  <c r="D1627" i="1"/>
  <c r="E1627" i="1"/>
  <c r="F1627" i="1"/>
  <c r="G1627" i="1" s="1"/>
  <c r="A1628" i="1"/>
  <c r="B1628" i="1" s="1"/>
  <c r="C1628" i="1"/>
  <c r="D1628" i="1"/>
  <c r="E1628" i="1"/>
  <c r="F1628" i="1"/>
  <c r="G1628" i="1"/>
  <c r="A1629" i="1"/>
  <c r="B1629" i="1" s="1"/>
  <c r="C1629" i="1"/>
  <c r="D1629" i="1"/>
  <c r="E1629" i="1"/>
  <c r="F1629" i="1"/>
  <c r="G1629" i="1" s="1"/>
  <c r="A1630" i="1"/>
  <c r="B1630" i="1" s="1"/>
  <c r="C1630" i="1"/>
  <c r="D1630" i="1"/>
  <c r="E1630" i="1"/>
  <c r="F1630" i="1"/>
  <c r="G1630" i="1" s="1"/>
  <c r="A1631" i="1"/>
  <c r="B1631" i="1" s="1"/>
  <c r="C1631" i="1"/>
  <c r="D1631" i="1"/>
  <c r="E1631" i="1"/>
  <c r="F1631" i="1"/>
  <c r="G1631" i="1" s="1"/>
  <c r="A1632" i="1"/>
  <c r="B1632" i="1" s="1"/>
  <c r="C1632" i="1"/>
  <c r="D1632" i="1"/>
  <c r="E1632" i="1"/>
  <c r="F1632" i="1"/>
  <c r="G1632" i="1" s="1"/>
  <c r="A1633" i="1"/>
  <c r="B1633" i="1" s="1"/>
  <c r="C1633" i="1"/>
  <c r="D1633" i="1"/>
  <c r="E1633" i="1"/>
  <c r="F1633" i="1"/>
  <c r="G1633" i="1" s="1"/>
  <c r="A1634" i="1"/>
  <c r="B1634" i="1" s="1"/>
  <c r="C1634" i="1"/>
  <c r="D1634" i="1"/>
  <c r="E1634" i="1"/>
  <c r="F1634" i="1"/>
  <c r="G1634" i="1" s="1"/>
  <c r="A1635" i="1"/>
  <c r="B1635" i="1" s="1"/>
  <c r="C1635" i="1"/>
  <c r="D1635" i="1"/>
  <c r="E1635" i="1"/>
  <c r="F1635" i="1"/>
  <c r="G1635" i="1" s="1"/>
  <c r="A1636" i="1"/>
  <c r="B1636" i="1" s="1"/>
  <c r="C1636" i="1"/>
  <c r="D1636" i="1"/>
  <c r="E1636" i="1"/>
  <c r="F1636" i="1"/>
  <c r="G1636" i="1" s="1"/>
  <c r="A1637" i="1"/>
  <c r="B1637" i="1" s="1"/>
  <c r="C1637" i="1"/>
  <c r="D1637" i="1"/>
  <c r="E1637" i="1"/>
  <c r="F1637" i="1"/>
  <c r="G1637" i="1" s="1"/>
  <c r="A1638" i="1"/>
  <c r="B1638" i="1"/>
  <c r="C1638" i="1"/>
  <c r="D1638" i="1"/>
  <c r="E1638" i="1"/>
  <c r="F1638" i="1"/>
  <c r="G1638" i="1" s="1"/>
  <c r="A1639" i="1"/>
  <c r="B1639" i="1" s="1"/>
  <c r="C1639" i="1"/>
  <c r="D1639" i="1"/>
  <c r="E1639" i="1"/>
  <c r="F1639" i="1"/>
  <c r="G1639" i="1"/>
  <c r="A1640" i="1"/>
  <c r="B1640" i="1"/>
  <c r="C1640" i="1"/>
  <c r="D1640" i="1"/>
  <c r="E1640" i="1"/>
  <c r="F1640" i="1"/>
  <c r="G1640" i="1" s="1"/>
  <c r="A1641" i="1"/>
  <c r="B1641" i="1" s="1"/>
  <c r="C1641" i="1"/>
  <c r="D1641" i="1"/>
  <c r="E1641" i="1"/>
  <c r="F1641" i="1"/>
  <c r="G1641" i="1"/>
  <c r="A1642" i="1"/>
  <c r="B1642" i="1" s="1"/>
  <c r="C1642" i="1"/>
  <c r="D1642" i="1"/>
  <c r="E1642" i="1"/>
  <c r="F1642" i="1"/>
  <c r="G1642" i="1" s="1"/>
  <c r="A1643" i="1"/>
  <c r="B1643" i="1" s="1"/>
  <c r="C1643" i="1"/>
  <c r="D1643" i="1"/>
  <c r="E1643" i="1"/>
  <c r="F1643" i="1"/>
  <c r="G1643" i="1" s="1"/>
  <c r="A1644" i="1"/>
  <c r="B1644" i="1" s="1"/>
  <c r="C1644" i="1"/>
  <c r="D1644" i="1"/>
  <c r="E1644" i="1"/>
  <c r="F1644" i="1"/>
  <c r="G1644" i="1" s="1"/>
  <c r="A1645" i="1"/>
  <c r="B1645" i="1" s="1"/>
  <c r="C1645" i="1"/>
  <c r="D1645" i="1"/>
  <c r="E1645" i="1"/>
  <c r="F1645" i="1"/>
  <c r="G1645" i="1" s="1"/>
  <c r="A1646" i="1"/>
  <c r="B1646" i="1" s="1"/>
  <c r="C1646" i="1"/>
  <c r="D1646" i="1"/>
  <c r="E1646" i="1"/>
  <c r="F1646" i="1"/>
  <c r="G1646" i="1"/>
  <c r="A1647" i="1"/>
  <c r="B1647" i="1" s="1"/>
  <c r="C1647" i="1"/>
  <c r="D1647" i="1"/>
  <c r="E1647" i="1"/>
  <c r="F1647" i="1"/>
  <c r="G1647" i="1" s="1"/>
  <c r="A1648" i="1"/>
  <c r="B1648" i="1" s="1"/>
  <c r="C1648" i="1"/>
  <c r="D1648" i="1"/>
  <c r="E1648" i="1"/>
  <c r="F1648" i="1"/>
  <c r="G1648" i="1" s="1"/>
  <c r="A1649" i="1"/>
  <c r="B1649" i="1" s="1"/>
  <c r="C1649" i="1"/>
  <c r="D1649" i="1"/>
  <c r="E1649" i="1"/>
  <c r="F1649" i="1"/>
  <c r="G1649" i="1" s="1"/>
  <c r="A1650" i="1"/>
  <c r="B1650" i="1" s="1"/>
  <c r="C1650" i="1"/>
  <c r="D1650" i="1"/>
  <c r="E1650" i="1"/>
  <c r="F1650" i="1"/>
  <c r="G1650" i="1" s="1"/>
  <c r="A1651" i="1"/>
  <c r="B1651" i="1" s="1"/>
  <c r="C1651" i="1"/>
  <c r="D1651" i="1"/>
  <c r="E1651" i="1"/>
  <c r="F1651" i="1"/>
  <c r="G1651" i="1" s="1"/>
  <c r="A1652" i="1"/>
  <c r="B1652" i="1" s="1"/>
  <c r="C1652" i="1"/>
  <c r="D1652" i="1"/>
  <c r="E1652" i="1"/>
  <c r="F1652" i="1"/>
  <c r="G1652" i="1" s="1"/>
  <c r="A1653" i="1"/>
  <c r="B1653" i="1"/>
  <c r="C1653" i="1"/>
  <c r="D1653" i="1"/>
  <c r="E1653" i="1"/>
  <c r="F1653" i="1"/>
  <c r="G1653" i="1" s="1"/>
  <c r="A1654" i="1"/>
  <c r="B1654" i="1" s="1"/>
  <c r="C1654" i="1"/>
  <c r="D1654" i="1"/>
  <c r="E1654" i="1"/>
  <c r="F1654" i="1"/>
  <c r="G1654" i="1" s="1"/>
  <c r="A1655" i="1"/>
  <c r="B1655" i="1" s="1"/>
  <c r="C1655" i="1"/>
  <c r="D1655" i="1"/>
  <c r="E1655" i="1"/>
  <c r="F1655" i="1"/>
  <c r="G1655" i="1" s="1"/>
  <c r="A1656" i="1"/>
  <c r="B1656" i="1" s="1"/>
  <c r="C1656" i="1"/>
  <c r="D1656" i="1"/>
  <c r="E1656" i="1"/>
  <c r="F1656" i="1"/>
  <c r="G1656" i="1" s="1"/>
  <c r="A1657" i="1"/>
  <c r="B1657" i="1"/>
  <c r="C1657" i="1"/>
  <c r="D1657" i="1"/>
  <c r="E1657" i="1"/>
  <c r="F1657" i="1"/>
  <c r="G1657" i="1" s="1"/>
  <c r="A1658" i="1"/>
  <c r="B1658" i="1" s="1"/>
  <c r="C1658" i="1"/>
  <c r="D1658" i="1"/>
  <c r="E1658" i="1"/>
  <c r="F1658" i="1"/>
  <c r="G1658" i="1" s="1"/>
  <c r="A1659" i="1"/>
  <c r="B1659" i="1" s="1"/>
  <c r="C1659" i="1"/>
  <c r="D1659" i="1"/>
  <c r="E1659" i="1"/>
  <c r="F1659" i="1"/>
  <c r="G1659" i="1" s="1"/>
  <c r="A1660" i="1"/>
  <c r="B1660" i="1" s="1"/>
  <c r="C1660" i="1"/>
  <c r="D1660" i="1"/>
  <c r="E1660" i="1"/>
  <c r="F1660" i="1"/>
  <c r="G1660" i="1" s="1"/>
  <c r="A1661" i="1"/>
  <c r="B1661" i="1" s="1"/>
  <c r="C1661" i="1"/>
  <c r="D1661" i="1"/>
  <c r="E1661" i="1"/>
  <c r="F1661" i="1"/>
  <c r="G1661" i="1" s="1"/>
  <c r="A1662" i="1"/>
  <c r="B1662" i="1" s="1"/>
  <c r="C1662" i="1"/>
  <c r="D1662" i="1"/>
  <c r="E1662" i="1"/>
  <c r="F1662" i="1"/>
  <c r="G1662" i="1" s="1"/>
  <c r="A1663" i="1"/>
  <c r="B1663" i="1" s="1"/>
  <c r="C1663" i="1"/>
  <c r="D1663" i="1"/>
  <c r="E1663" i="1"/>
  <c r="F1663" i="1"/>
  <c r="G1663" i="1" s="1"/>
  <c r="A1664" i="1"/>
  <c r="B1664" i="1" s="1"/>
  <c r="C1664" i="1"/>
  <c r="D1664" i="1"/>
  <c r="E1664" i="1"/>
  <c r="F1664" i="1"/>
  <c r="G1664" i="1" s="1"/>
  <c r="A1665" i="1"/>
  <c r="B1665" i="1" s="1"/>
  <c r="C1665" i="1"/>
  <c r="D1665" i="1"/>
  <c r="E1665" i="1"/>
  <c r="F1665" i="1"/>
  <c r="G1665" i="1" s="1"/>
  <c r="A1666" i="1"/>
  <c r="B1666" i="1" s="1"/>
  <c r="C1666" i="1"/>
  <c r="D1666" i="1"/>
  <c r="E1666" i="1"/>
  <c r="F1666" i="1"/>
  <c r="G1666" i="1" s="1"/>
  <c r="A1667" i="1"/>
  <c r="B1667" i="1" s="1"/>
  <c r="C1667" i="1"/>
  <c r="D1667" i="1"/>
  <c r="E1667" i="1"/>
  <c r="F1667" i="1"/>
  <c r="G1667" i="1" s="1"/>
  <c r="A1668" i="1"/>
  <c r="B1668" i="1" s="1"/>
  <c r="C1668" i="1"/>
  <c r="D1668" i="1"/>
  <c r="E1668" i="1"/>
  <c r="F1668" i="1"/>
  <c r="G1668" i="1" s="1"/>
  <c r="A1669" i="1"/>
  <c r="B1669" i="1"/>
  <c r="C1669" i="1"/>
  <c r="D1669" i="1"/>
  <c r="E1669" i="1"/>
  <c r="F1669" i="1"/>
  <c r="G1669" i="1" s="1"/>
  <c r="A1670" i="1"/>
  <c r="B1670" i="1" s="1"/>
  <c r="C1670" i="1"/>
  <c r="D1670" i="1"/>
  <c r="E1670" i="1"/>
  <c r="F1670" i="1"/>
  <c r="G1670" i="1" s="1"/>
  <c r="A1671" i="1"/>
  <c r="B1671" i="1" s="1"/>
  <c r="C1671" i="1"/>
  <c r="D1671" i="1"/>
  <c r="E1671" i="1"/>
  <c r="F1671" i="1"/>
  <c r="G1671" i="1" s="1"/>
  <c r="A1672" i="1"/>
  <c r="B1672" i="1"/>
  <c r="C1672" i="1"/>
  <c r="D1672" i="1"/>
  <c r="E1672" i="1"/>
  <c r="F1672" i="1"/>
  <c r="G1672" i="1" s="1"/>
  <c r="A1673" i="1"/>
  <c r="B1673" i="1" s="1"/>
  <c r="C1673" i="1"/>
  <c r="D1673" i="1"/>
  <c r="E1673" i="1"/>
  <c r="F1673" i="1"/>
  <c r="G1673" i="1" s="1"/>
  <c r="A1674" i="1"/>
  <c r="B1674" i="1" s="1"/>
  <c r="C1674" i="1"/>
  <c r="D1674" i="1"/>
  <c r="E1674" i="1"/>
  <c r="F1674" i="1"/>
  <c r="G1674" i="1" s="1"/>
  <c r="A1675" i="1"/>
  <c r="B1675" i="1" s="1"/>
  <c r="C1675" i="1"/>
  <c r="D1675" i="1"/>
  <c r="E1675" i="1"/>
  <c r="F1675" i="1"/>
  <c r="G1675" i="1" s="1"/>
  <c r="A1676" i="1"/>
  <c r="B1676" i="1" s="1"/>
  <c r="C1676" i="1"/>
  <c r="D1676" i="1"/>
  <c r="E1676" i="1"/>
  <c r="F1676" i="1"/>
  <c r="G1676" i="1" s="1"/>
  <c r="A1677" i="1"/>
  <c r="B1677" i="1" s="1"/>
  <c r="C1677" i="1"/>
  <c r="D1677" i="1"/>
  <c r="E1677" i="1"/>
  <c r="F1677" i="1"/>
  <c r="G1677" i="1" s="1"/>
  <c r="A1678" i="1"/>
  <c r="B1678" i="1" s="1"/>
  <c r="C1678" i="1"/>
  <c r="D1678" i="1"/>
  <c r="E1678" i="1"/>
  <c r="F1678" i="1"/>
  <c r="G1678" i="1" s="1"/>
  <c r="A1679" i="1"/>
  <c r="B1679" i="1" s="1"/>
  <c r="C1679" i="1"/>
  <c r="D1679" i="1"/>
  <c r="E1679" i="1"/>
  <c r="F1679" i="1"/>
  <c r="G1679" i="1" s="1"/>
  <c r="A1680" i="1"/>
  <c r="B1680" i="1" s="1"/>
  <c r="C1680" i="1"/>
  <c r="D1680" i="1"/>
  <c r="E1680" i="1"/>
  <c r="F1680" i="1"/>
  <c r="G1680" i="1" s="1"/>
  <c r="A1681" i="1"/>
  <c r="B1681" i="1" s="1"/>
  <c r="C1681" i="1"/>
  <c r="D1681" i="1"/>
  <c r="E1681" i="1"/>
  <c r="F1681" i="1"/>
  <c r="G1681" i="1" s="1"/>
  <c r="A1682" i="1"/>
  <c r="B1682" i="1" s="1"/>
  <c r="C1682" i="1"/>
  <c r="D1682" i="1"/>
  <c r="E1682" i="1"/>
  <c r="F1682" i="1"/>
  <c r="G1682" i="1" s="1"/>
  <c r="A1683" i="1"/>
  <c r="B1683" i="1"/>
  <c r="C1683" i="1"/>
  <c r="D1683" i="1"/>
  <c r="E1683" i="1"/>
  <c r="F1683" i="1"/>
  <c r="G1683" i="1" s="1"/>
  <c r="A1684" i="1"/>
  <c r="B1684" i="1" s="1"/>
  <c r="C1684" i="1"/>
  <c r="D1684" i="1"/>
  <c r="E1684" i="1"/>
  <c r="F1684" i="1"/>
  <c r="G1684" i="1" s="1"/>
  <c r="A1685" i="1"/>
  <c r="B1685" i="1" s="1"/>
  <c r="C1685" i="1"/>
  <c r="D1685" i="1"/>
  <c r="E1685" i="1"/>
  <c r="F1685" i="1"/>
  <c r="G1685" i="1"/>
  <c r="A1686" i="1"/>
  <c r="B1686" i="1" s="1"/>
  <c r="C1686" i="1"/>
  <c r="D1686" i="1"/>
  <c r="E1686" i="1"/>
  <c r="F1686" i="1"/>
  <c r="G1686" i="1" s="1"/>
  <c r="A1687" i="1"/>
  <c r="B1687" i="1" s="1"/>
  <c r="C1687" i="1"/>
  <c r="D1687" i="1"/>
  <c r="E1687" i="1"/>
  <c r="F1687" i="1"/>
  <c r="G1687" i="1" s="1"/>
  <c r="A1688" i="1"/>
  <c r="B1688" i="1" s="1"/>
  <c r="C1688" i="1"/>
  <c r="D1688" i="1"/>
  <c r="E1688" i="1"/>
  <c r="F1688" i="1"/>
  <c r="G1688" i="1" s="1"/>
  <c r="A1689" i="1"/>
  <c r="B1689" i="1" s="1"/>
  <c r="C1689" i="1"/>
  <c r="D1689" i="1"/>
  <c r="E1689" i="1"/>
  <c r="F1689" i="1"/>
  <c r="G1689" i="1" s="1"/>
  <c r="A1690" i="1"/>
  <c r="B1690" i="1" s="1"/>
  <c r="C1690" i="1"/>
  <c r="D1690" i="1"/>
  <c r="E1690" i="1"/>
  <c r="F1690" i="1"/>
  <c r="G1690" i="1" s="1"/>
  <c r="A1691" i="1"/>
  <c r="B1691" i="1" s="1"/>
  <c r="C1691" i="1"/>
  <c r="D1691" i="1"/>
  <c r="E1691" i="1"/>
  <c r="F1691" i="1"/>
  <c r="G1691" i="1" s="1"/>
  <c r="A1692" i="1"/>
  <c r="B1692" i="1"/>
  <c r="C1692" i="1"/>
  <c r="D1692" i="1"/>
  <c r="E1692" i="1"/>
  <c r="F1692" i="1"/>
  <c r="G1692" i="1" s="1"/>
  <c r="A1693" i="1"/>
  <c r="B1693" i="1" s="1"/>
  <c r="C1693" i="1"/>
  <c r="D1693" i="1"/>
  <c r="E1693" i="1"/>
  <c r="F1693" i="1"/>
  <c r="G1693" i="1" s="1"/>
  <c r="A1694" i="1"/>
  <c r="B1694" i="1" s="1"/>
  <c r="C1694" i="1"/>
  <c r="D1694" i="1"/>
  <c r="E1694" i="1"/>
  <c r="F1694" i="1"/>
  <c r="G1694" i="1" s="1"/>
  <c r="A1695" i="1"/>
  <c r="B1695" i="1" s="1"/>
  <c r="C1695" i="1"/>
  <c r="D1695" i="1"/>
  <c r="E1695" i="1"/>
  <c r="F1695" i="1"/>
  <c r="G1695" i="1" s="1"/>
  <c r="A1696" i="1"/>
  <c r="B1696" i="1" s="1"/>
  <c r="C1696" i="1"/>
  <c r="D1696" i="1"/>
  <c r="E1696" i="1"/>
  <c r="F1696" i="1"/>
  <c r="G1696" i="1" s="1"/>
  <c r="A1697" i="1"/>
  <c r="B1697" i="1" s="1"/>
  <c r="C1697" i="1"/>
  <c r="D1697" i="1"/>
  <c r="E1697" i="1"/>
  <c r="F1697" i="1"/>
  <c r="G1697" i="1" s="1"/>
  <c r="A1698" i="1"/>
  <c r="B1698" i="1" s="1"/>
  <c r="C1698" i="1"/>
  <c r="D1698" i="1"/>
  <c r="E1698" i="1"/>
  <c r="F1698" i="1"/>
  <c r="G1698" i="1" s="1"/>
  <c r="A1699" i="1"/>
  <c r="B1699" i="1" s="1"/>
  <c r="C1699" i="1"/>
  <c r="D1699" i="1"/>
  <c r="E1699" i="1"/>
  <c r="F1699" i="1"/>
  <c r="G1699" i="1" s="1"/>
  <c r="A1700" i="1"/>
  <c r="B1700" i="1" s="1"/>
  <c r="C1700" i="1"/>
  <c r="D1700" i="1"/>
  <c r="E1700" i="1"/>
  <c r="F1700" i="1"/>
  <c r="G1700" i="1" s="1"/>
  <c r="A1701" i="1"/>
  <c r="B1701" i="1" s="1"/>
  <c r="C1701" i="1"/>
  <c r="D1701" i="1"/>
  <c r="E1701" i="1"/>
  <c r="F1701" i="1"/>
  <c r="G1701" i="1" s="1"/>
  <c r="A1702" i="1"/>
  <c r="B1702" i="1" s="1"/>
  <c r="C1702" i="1"/>
  <c r="D1702" i="1"/>
  <c r="E1702" i="1"/>
  <c r="F1702" i="1"/>
  <c r="G1702" i="1" s="1"/>
  <c r="A1703" i="1"/>
  <c r="B1703" i="1" s="1"/>
  <c r="C1703" i="1"/>
  <c r="D1703" i="1"/>
  <c r="E1703" i="1"/>
  <c r="F1703" i="1"/>
  <c r="G1703" i="1" s="1"/>
  <c r="A1704" i="1"/>
  <c r="B1704" i="1" s="1"/>
  <c r="C1704" i="1"/>
  <c r="D1704" i="1"/>
  <c r="E1704" i="1"/>
  <c r="F1704" i="1"/>
  <c r="G1704" i="1" s="1"/>
  <c r="A1705" i="1"/>
  <c r="B1705" i="1" s="1"/>
  <c r="C1705" i="1"/>
  <c r="D1705" i="1"/>
  <c r="E1705" i="1"/>
  <c r="F1705" i="1"/>
  <c r="G1705" i="1" s="1"/>
  <c r="A1706" i="1"/>
  <c r="B1706" i="1"/>
  <c r="C1706" i="1"/>
  <c r="D1706" i="1"/>
  <c r="E1706" i="1"/>
  <c r="F1706" i="1"/>
  <c r="G1706" i="1" s="1"/>
  <c r="A1707" i="1"/>
  <c r="B1707" i="1" s="1"/>
  <c r="C1707" i="1"/>
  <c r="D1707" i="1"/>
  <c r="E1707" i="1"/>
  <c r="F1707" i="1"/>
  <c r="G1707" i="1" s="1"/>
  <c r="A1708" i="1"/>
  <c r="B1708" i="1" s="1"/>
  <c r="C1708" i="1"/>
  <c r="D1708" i="1"/>
  <c r="E1708" i="1"/>
  <c r="F1708" i="1"/>
  <c r="G1708" i="1" s="1"/>
  <c r="A1709" i="1"/>
  <c r="B1709" i="1" s="1"/>
  <c r="C1709" i="1"/>
  <c r="D1709" i="1"/>
  <c r="E1709" i="1"/>
  <c r="F1709" i="1"/>
  <c r="G1709" i="1" s="1"/>
  <c r="A1710" i="1"/>
  <c r="B1710" i="1" s="1"/>
  <c r="C1710" i="1"/>
  <c r="D1710" i="1"/>
  <c r="E1710" i="1"/>
  <c r="F1710" i="1"/>
  <c r="G1710" i="1" s="1"/>
  <c r="A1711" i="1"/>
  <c r="B1711" i="1" s="1"/>
  <c r="C1711" i="1"/>
  <c r="D1711" i="1"/>
  <c r="E1711" i="1"/>
  <c r="F1711" i="1"/>
  <c r="G1711" i="1" s="1"/>
  <c r="A1712" i="1"/>
  <c r="B1712" i="1" s="1"/>
  <c r="C1712" i="1"/>
  <c r="D1712" i="1"/>
  <c r="E1712" i="1"/>
  <c r="F1712" i="1"/>
  <c r="G1712" i="1" s="1"/>
  <c r="A1713" i="1"/>
  <c r="B1713" i="1" s="1"/>
  <c r="C1713" i="1"/>
  <c r="D1713" i="1"/>
  <c r="E1713" i="1"/>
  <c r="F1713" i="1"/>
  <c r="G1713" i="1" s="1"/>
  <c r="A1714" i="1"/>
  <c r="B1714" i="1" s="1"/>
  <c r="C1714" i="1"/>
  <c r="D1714" i="1"/>
  <c r="E1714" i="1"/>
  <c r="F1714" i="1"/>
  <c r="G1714" i="1" s="1"/>
  <c r="A1715" i="1"/>
  <c r="B1715" i="1" s="1"/>
  <c r="C1715" i="1"/>
  <c r="D1715" i="1"/>
  <c r="E1715" i="1"/>
  <c r="F1715" i="1"/>
  <c r="G1715" i="1" s="1"/>
  <c r="A1716" i="1"/>
  <c r="B1716" i="1" s="1"/>
  <c r="C1716" i="1"/>
  <c r="D1716" i="1"/>
  <c r="E1716" i="1"/>
  <c r="F1716" i="1"/>
  <c r="G1716" i="1" s="1"/>
  <c r="A1717" i="1"/>
  <c r="B1717" i="1" s="1"/>
  <c r="C1717" i="1"/>
  <c r="D1717" i="1"/>
  <c r="E1717" i="1"/>
  <c r="F1717" i="1"/>
  <c r="G1717" i="1" s="1"/>
  <c r="A1718" i="1"/>
  <c r="B1718" i="1" s="1"/>
  <c r="C1718" i="1"/>
  <c r="D1718" i="1"/>
  <c r="E1718" i="1"/>
  <c r="F1718" i="1"/>
  <c r="G1718" i="1" s="1"/>
  <c r="A1719" i="1"/>
  <c r="B1719" i="1" s="1"/>
  <c r="C1719" i="1"/>
  <c r="D1719" i="1"/>
  <c r="E1719" i="1"/>
  <c r="F1719" i="1"/>
  <c r="G1719" i="1" s="1"/>
  <c r="A1720" i="1"/>
  <c r="B1720" i="1" s="1"/>
  <c r="C1720" i="1"/>
  <c r="D1720" i="1"/>
  <c r="E1720" i="1"/>
  <c r="F1720" i="1"/>
  <c r="G1720" i="1" s="1"/>
  <c r="A1721" i="1"/>
  <c r="B1721" i="1" s="1"/>
  <c r="C1721" i="1"/>
  <c r="D1721" i="1"/>
  <c r="E1721" i="1"/>
  <c r="F1721" i="1"/>
  <c r="G1721" i="1" s="1"/>
  <c r="A1722" i="1"/>
  <c r="B1722" i="1" s="1"/>
  <c r="C1722" i="1"/>
  <c r="D1722" i="1"/>
  <c r="E1722" i="1"/>
  <c r="F1722" i="1"/>
  <c r="G1722" i="1" s="1"/>
  <c r="A1723" i="1"/>
  <c r="B1723" i="1" s="1"/>
  <c r="C1723" i="1"/>
  <c r="D1723" i="1"/>
  <c r="E1723" i="1"/>
  <c r="F1723" i="1"/>
  <c r="G1723" i="1"/>
  <c r="A1724" i="1"/>
  <c r="B1724" i="1" s="1"/>
  <c r="C1724" i="1"/>
  <c r="D1724" i="1"/>
  <c r="E1724" i="1"/>
  <c r="F1724" i="1"/>
  <c r="G1724" i="1" s="1"/>
  <c r="A1725" i="1"/>
  <c r="B1725" i="1" s="1"/>
  <c r="C1725" i="1"/>
  <c r="D1725" i="1"/>
  <c r="E1725" i="1"/>
  <c r="F1725" i="1"/>
  <c r="G1725" i="1" s="1"/>
  <c r="A1726" i="1"/>
  <c r="B1726" i="1" s="1"/>
  <c r="C1726" i="1"/>
  <c r="D1726" i="1"/>
  <c r="E1726" i="1"/>
  <c r="F1726" i="1"/>
  <c r="G1726" i="1" s="1"/>
  <c r="A1727" i="1"/>
  <c r="B1727" i="1" s="1"/>
  <c r="C1727" i="1"/>
  <c r="D1727" i="1"/>
  <c r="E1727" i="1"/>
  <c r="F1727" i="1"/>
  <c r="G1727" i="1" s="1"/>
  <c r="A1728" i="1"/>
  <c r="B1728" i="1"/>
  <c r="C1728" i="1"/>
  <c r="D1728" i="1"/>
  <c r="E1728" i="1"/>
  <c r="F1728" i="1"/>
  <c r="G1728" i="1" s="1"/>
  <c r="A1729" i="1"/>
  <c r="B1729" i="1" s="1"/>
  <c r="C1729" i="1"/>
  <c r="D1729" i="1"/>
  <c r="E1729" i="1"/>
  <c r="F1729" i="1"/>
  <c r="G1729" i="1" s="1"/>
  <c r="A1730" i="1"/>
  <c r="B1730" i="1"/>
  <c r="C1730" i="1"/>
  <c r="D1730" i="1"/>
  <c r="E1730" i="1"/>
  <c r="F1730" i="1"/>
  <c r="G1730" i="1" s="1"/>
  <c r="A1731" i="1"/>
  <c r="B1731" i="1" s="1"/>
  <c r="C1731" i="1"/>
  <c r="D1731" i="1"/>
  <c r="E1731" i="1"/>
  <c r="F1731" i="1"/>
  <c r="G1731" i="1" s="1"/>
  <c r="A1732" i="1"/>
  <c r="B1732" i="1" s="1"/>
  <c r="C1732" i="1"/>
  <c r="D1732" i="1"/>
  <c r="E1732" i="1"/>
  <c r="F1732" i="1"/>
  <c r="G1732" i="1" s="1"/>
  <c r="A1733" i="1"/>
  <c r="B1733" i="1" s="1"/>
  <c r="C1733" i="1"/>
  <c r="D1733" i="1"/>
  <c r="E1733" i="1"/>
  <c r="F1733" i="1"/>
  <c r="G1733" i="1" s="1"/>
  <c r="A1734" i="1"/>
  <c r="B1734" i="1" s="1"/>
  <c r="C1734" i="1"/>
  <c r="D1734" i="1"/>
  <c r="E1734" i="1"/>
  <c r="F1734" i="1"/>
  <c r="G1734" i="1" s="1"/>
  <c r="A1735" i="1"/>
  <c r="B1735" i="1" s="1"/>
  <c r="C1735" i="1"/>
  <c r="D1735" i="1"/>
  <c r="E1735" i="1"/>
  <c r="F1735" i="1"/>
  <c r="G1735" i="1" s="1"/>
  <c r="A1736" i="1"/>
  <c r="B1736" i="1" s="1"/>
  <c r="C1736" i="1"/>
  <c r="D1736" i="1"/>
  <c r="E1736" i="1"/>
  <c r="F1736" i="1"/>
  <c r="G1736" i="1" s="1"/>
  <c r="A1737" i="1"/>
  <c r="B1737" i="1" s="1"/>
  <c r="C1737" i="1"/>
  <c r="D1737" i="1"/>
  <c r="E1737" i="1"/>
  <c r="F1737" i="1"/>
  <c r="G1737" i="1" s="1"/>
  <c r="A1738" i="1"/>
  <c r="B1738" i="1" s="1"/>
  <c r="C1738" i="1"/>
  <c r="D1738" i="1"/>
  <c r="E1738" i="1"/>
  <c r="F1738" i="1"/>
  <c r="G1738" i="1" s="1"/>
  <c r="A1739" i="1"/>
  <c r="B1739" i="1" s="1"/>
  <c r="C1739" i="1"/>
  <c r="D1739" i="1"/>
  <c r="E1739" i="1"/>
  <c r="F1739" i="1"/>
  <c r="G1739" i="1" s="1"/>
  <c r="A1740" i="1"/>
  <c r="B1740" i="1" s="1"/>
  <c r="C1740" i="1"/>
  <c r="D1740" i="1"/>
  <c r="E1740" i="1"/>
  <c r="F1740" i="1"/>
  <c r="G1740" i="1" s="1"/>
  <c r="A1741" i="1"/>
  <c r="B1741" i="1" s="1"/>
  <c r="C1741" i="1"/>
  <c r="D1741" i="1"/>
  <c r="E1741" i="1"/>
  <c r="F1741" i="1"/>
  <c r="G1741" i="1"/>
  <c r="A1742" i="1"/>
  <c r="B1742" i="1" s="1"/>
  <c r="C1742" i="1"/>
  <c r="D1742" i="1"/>
  <c r="E1742" i="1"/>
  <c r="F1742" i="1"/>
  <c r="G1742" i="1" s="1"/>
  <c r="A1743" i="1"/>
  <c r="B1743" i="1" s="1"/>
  <c r="C1743" i="1"/>
  <c r="D1743" i="1"/>
  <c r="E1743" i="1"/>
  <c r="F1743" i="1"/>
  <c r="G1743" i="1" s="1"/>
  <c r="A1744" i="1"/>
  <c r="B1744" i="1"/>
  <c r="C1744" i="1"/>
  <c r="D1744" i="1"/>
  <c r="E1744" i="1"/>
  <c r="F1744" i="1"/>
  <c r="G1744" i="1" s="1"/>
  <c r="A1745" i="1"/>
  <c r="B1745" i="1" s="1"/>
  <c r="C1745" i="1"/>
  <c r="D1745" i="1"/>
  <c r="E1745" i="1"/>
  <c r="F1745" i="1"/>
  <c r="G1745" i="1" s="1"/>
  <c r="A1746" i="1"/>
  <c r="B1746" i="1" s="1"/>
  <c r="C1746" i="1"/>
  <c r="D1746" i="1"/>
  <c r="E1746" i="1"/>
  <c r="F1746" i="1"/>
  <c r="G1746" i="1" s="1"/>
  <c r="A1747" i="1"/>
  <c r="B1747" i="1" s="1"/>
  <c r="C1747" i="1"/>
  <c r="D1747" i="1"/>
  <c r="E1747" i="1"/>
  <c r="F1747" i="1"/>
  <c r="G1747" i="1"/>
  <c r="A1748" i="1"/>
  <c r="B1748" i="1" s="1"/>
  <c r="C1748" i="1"/>
  <c r="D1748" i="1"/>
  <c r="E1748" i="1"/>
  <c r="F1748" i="1"/>
  <c r="G1748" i="1" s="1"/>
  <c r="A1749" i="1"/>
  <c r="B1749" i="1" s="1"/>
  <c r="C1749" i="1"/>
  <c r="D1749" i="1"/>
  <c r="E1749" i="1"/>
  <c r="F1749" i="1"/>
  <c r="G1749" i="1" s="1"/>
  <c r="A1750" i="1"/>
  <c r="B1750" i="1" s="1"/>
  <c r="C1750" i="1"/>
  <c r="D1750" i="1"/>
  <c r="E1750" i="1"/>
  <c r="F1750" i="1"/>
  <c r="G1750" i="1" s="1"/>
  <c r="A1751" i="1"/>
  <c r="B1751" i="1" s="1"/>
  <c r="C1751" i="1"/>
  <c r="D1751" i="1"/>
  <c r="E1751" i="1"/>
  <c r="F1751" i="1"/>
  <c r="G1751" i="1" s="1"/>
  <c r="A1752" i="1"/>
  <c r="B1752" i="1" s="1"/>
  <c r="C1752" i="1"/>
  <c r="D1752" i="1"/>
  <c r="E1752" i="1"/>
  <c r="F1752" i="1"/>
  <c r="G1752" i="1" s="1"/>
  <c r="A1753" i="1"/>
  <c r="B1753" i="1" s="1"/>
  <c r="C1753" i="1"/>
  <c r="D1753" i="1"/>
  <c r="E1753" i="1"/>
  <c r="F1753" i="1"/>
  <c r="G1753" i="1" s="1"/>
  <c r="A1754" i="1"/>
  <c r="B1754" i="1"/>
  <c r="C1754" i="1"/>
  <c r="D1754" i="1"/>
  <c r="E1754" i="1"/>
  <c r="F1754" i="1"/>
  <c r="G1754" i="1" s="1"/>
  <c r="A1755" i="1"/>
  <c r="B1755" i="1"/>
  <c r="C1755" i="1"/>
  <c r="D1755" i="1"/>
  <c r="E1755" i="1"/>
  <c r="F1755" i="1"/>
  <c r="G1755" i="1" s="1"/>
  <c r="A1756" i="1"/>
  <c r="B1756" i="1" s="1"/>
  <c r="C1756" i="1"/>
  <c r="D1756" i="1"/>
  <c r="E1756" i="1"/>
  <c r="F1756" i="1"/>
  <c r="G1756" i="1" s="1"/>
  <c r="A1757" i="1"/>
  <c r="B1757" i="1" s="1"/>
  <c r="C1757" i="1"/>
  <c r="D1757" i="1"/>
  <c r="E1757" i="1"/>
  <c r="F1757" i="1"/>
  <c r="G1757" i="1" s="1"/>
  <c r="A1758" i="1"/>
  <c r="B1758" i="1"/>
  <c r="C1758" i="1"/>
  <c r="D1758" i="1"/>
  <c r="E1758" i="1"/>
  <c r="F1758" i="1"/>
  <c r="G1758" i="1" s="1"/>
  <c r="A1759" i="1"/>
  <c r="B1759" i="1" s="1"/>
  <c r="C1759" i="1"/>
  <c r="D1759" i="1"/>
  <c r="E1759" i="1"/>
  <c r="F1759" i="1"/>
  <c r="G1759" i="1" s="1"/>
  <c r="A1760" i="1"/>
  <c r="B1760" i="1" s="1"/>
  <c r="C1760" i="1"/>
  <c r="D1760" i="1"/>
  <c r="E1760" i="1"/>
  <c r="F1760" i="1"/>
  <c r="G1760" i="1" s="1"/>
  <c r="A1761" i="1"/>
  <c r="B1761" i="1" s="1"/>
  <c r="C1761" i="1"/>
  <c r="D1761" i="1"/>
  <c r="E1761" i="1"/>
  <c r="F1761" i="1"/>
  <c r="G1761" i="1" s="1"/>
  <c r="A1762" i="1"/>
  <c r="B1762" i="1" s="1"/>
  <c r="C1762" i="1"/>
  <c r="D1762" i="1"/>
  <c r="E1762" i="1"/>
  <c r="F1762" i="1"/>
  <c r="G1762" i="1" s="1"/>
  <c r="A1763" i="1"/>
  <c r="B1763" i="1" s="1"/>
  <c r="C1763" i="1"/>
  <c r="D1763" i="1"/>
  <c r="E1763" i="1"/>
  <c r="F1763" i="1"/>
  <c r="G1763" i="1" s="1"/>
  <c r="A1764" i="1"/>
  <c r="B1764" i="1" s="1"/>
  <c r="C1764" i="1"/>
  <c r="D1764" i="1"/>
  <c r="E1764" i="1"/>
  <c r="F1764" i="1"/>
  <c r="G1764" i="1" s="1"/>
  <c r="A1765" i="1"/>
  <c r="B1765" i="1" s="1"/>
  <c r="C1765" i="1"/>
  <c r="D1765" i="1"/>
  <c r="E1765" i="1"/>
  <c r="F1765" i="1"/>
  <c r="G1765" i="1" s="1"/>
  <c r="A1766" i="1"/>
  <c r="B1766" i="1" s="1"/>
  <c r="C1766" i="1"/>
  <c r="D1766" i="1"/>
  <c r="E1766" i="1"/>
  <c r="F1766" i="1"/>
  <c r="G1766" i="1" s="1"/>
  <c r="A1767" i="1"/>
  <c r="B1767" i="1" s="1"/>
  <c r="C1767" i="1"/>
  <c r="D1767" i="1"/>
  <c r="E1767" i="1"/>
  <c r="F1767" i="1"/>
  <c r="G1767" i="1" s="1"/>
  <c r="A1768" i="1"/>
  <c r="B1768" i="1" s="1"/>
  <c r="C1768" i="1"/>
  <c r="D1768" i="1"/>
  <c r="E1768" i="1"/>
  <c r="F1768" i="1"/>
  <c r="G1768" i="1" s="1"/>
  <c r="A1769" i="1"/>
  <c r="B1769" i="1" s="1"/>
  <c r="C1769" i="1"/>
  <c r="D1769" i="1"/>
  <c r="E1769" i="1"/>
  <c r="F1769" i="1"/>
  <c r="G1769" i="1" s="1"/>
  <c r="A1770" i="1"/>
  <c r="B1770" i="1" s="1"/>
  <c r="C1770" i="1"/>
  <c r="D1770" i="1"/>
  <c r="E1770" i="1"/>
  <c r="F1770" i="1"/>
  <c r="G1770" i="1" s="1"/>
  <c r="A1771" i="1"/>
  <c r="B1771" i="1" s="1"/>
  <c r="C1771" i="1"/>
  <c r="D1771" i="1"/>
  <c r="E1771" i="1"/>
  <c r="F1771" i="1"/>
  <c r="G1771" i="1" s="1"/>
  <c r="A1772" i="1"/>
  <c r="B1772" i="1" s="1"/>
  <c r="C1772" i="1"/>
  <c r="D1772" i="1"/>
  <c r="E1772" i="1"/>
  <c r="F1772" i="1"/>
  <c r="G1772" i="1" s="1"/>
  <c r="A1773" i="1"/>
  <c r="B1773" i="1" s="1"/>
  <c r="C1773" i="1"/>
  <c r="D1773" i="1"/>
  <c r="E1773" i="1"/>
  <c r="F1773" i="1"/>
  <c r="G1773" i="1" s="1"/>
  <c r="A1774" i="1"/>
  <c r="B1774" i="1" s="1"/>
  <c r="C1774" i="1"/>
  <c r="D1774" i="1"/>
  <c r="E1774" i="1"/>
  <c r="F1774" i="1"/>
  <c r="G1774" i="1" s="1"/>
  <c r="A1775" i="1"/>
  <c r="B1775" i="1" s="1"/>
  <c r="C1775" i="1"/>
  <c r="D1775" i="1"/>
  <c r="E1775" i="1"/>
  <c r="F1775" i="1"/>
  <c r="G1775" i="1" s="1"/>
  <c r="A1776" i="1"/>
  <c r="B1776" i="1" s="1"/>
  <c r="C1776" i="1"/>
  <c r="D1776" i="1"/>
  <c r="E1776" i="1"/>
  <c r="F1776" i="1"/>
  <c r="G1776" i="1" s="1"/>
  <c r="A1777" i="1"/>
  <c r="B1777" i="1" s="1"/>
  <c r="C1777" i="1"/>
  <c r="D1777" i="1"/>
  <c r="E1777" i="1"/>
  <c r="F1777" i="1"/>
  <c r="G1777" i="1" s="1"/>
  <c r="A1778" i="1"/>
  <c r="B1778" i="1" s="1"/>
  <c r="C1778" i="1"/>
  <c r="D1778" i="1"/>
  <c r="E1778" i="1"/>
  <c r="F1778" i="1"/>
  <c r="G1778" i="1" s="1"/>
  <c r="A1779" i="1"/>
  <c r="B1779" i="1" s="1"/>
  <c r="C1779" i="1"/>
  <c r="D1779" i="1"/>
  <c r="E1779" i="1"/>
  <c r="F1779" i="1"/>
  <c r="G1779" i="1"/>
  <c r="A1780" i="1"/>
  <c r="B1780" i="1" s="1"/>
  <c r="C1780" i="1"/>
  <c r="D1780" i="1"/>
  <c r="E1780" i="1"/>
  <c r="F1780" i="1"/>
  <c r="G1780" i="1" s="1"/>
  <c r="A1781" i="1"/>
  <c r="B1781" i="1" s="1"/>
  <c r="C1781" i="1"/>
  <c r="D1781" i="1"/>
  <c r="E1781" i="1"/>
  <c r="F1781" i="1"/>
  <c r="G1781" i="1" s="1"/>
  <c r="A1782" i="1"/>
  <c r="B1782" i="1" s="1"/>
  <c r="C1782" i="1"/>
  <c r="D1782" i="1"/>
  <c r="E1782" i="1"/>
  <c r="F1782" i="1"/>
  <c r="G1782" i="1" s="1"/>
  <c r="A1783" i="1"/>
  <c r="B1783" i="1" s="1"/>
  <c r="C1783" i="1"/>
  <c r="D1783" i="1"/>
  <c r="E1783" i="1"/>
  <c r="F1783" i="1"/>
  <c r="G1783" i="1" s="1"/>
  <c r="A1784" i="1"/>
  <c r="B1784" i="1" s="1"/>
  <c r="C1784" i="1"/>
  <c r="D1784" i="1"/>
  <c r="E1784" i="1"/>
  <c r="F1784" i="1"/>
  <c r="G1784" i="1" s="1"/>
  <c r="A1785" i="1"/>
  <c r="B1785" i="1" s="1"/>
  <c r="C1785" i="1"/>
  <c r="D1785" i="1"/>
  <c r="E1785" i="1"/>
  <c r="F1785" i="1"/>
  <c r="G1785" i="1" s="1"/>
  <c r="A1786" i="1"/>
  <c r="B1786" i="1" s="1"/>
  <c r="C1786" i="1"/>
  <c r="D1786" i="1"/>
  <c r="E1786" i="1"/>
  <c r="F1786" i="1"/>
  <c r="G1786" i="1" s="1"/>
  <c r="A1787" i="1"/>
  <c r="B1787" i="1" s="1"/>
  <c r="C1787" i="1"/>
  <c r="D1787" i="1"/>
  <c r="E1787" i="1"/>
  <c r="F1787" i="1"/>
  <c r="G1787" i="1" s="1"/>
  <c r="A1788" i="1"/>
  <c r="B1788" i="1" s="1"/>
  <c r="C1788" i="1"/>
  <c r="D1788" i="1"/>
  <c r="E1788" i="1"/>
  <c r="F1788" i="1"/>
  <c r="G1788" i="1" s="1"/>
  <c r="A1789" i="1"/>
  <c r="B1789" i="1" s="1"/>
  <c r="C1789" i="1"/>
  <c r="D1789" i="1"/>
  <c r="E1789" i="1"/>
  <c r="F1789" i="1"/>
  <c r="G1789" i="1" s="1"/>
  <c r="A1790" i="1"/>
  <c r="B1790" i="1" s="1"/>
  <c r="C1790" i="1"/>
  <c r="D1790" i="1"/>
  <c r="E1790" i="1"/>
  <c r="F1790" i="1"/>
  <c r="G1790" i="1" s="1"/>
  <c r="A1791" i="1"/>
  <c r="B1791" i="1" s="1"/>
  <c r="C1791" i="1"/>
  <c r="D1791" i="1"/>
  <c r="E1791" i="1"/>
  <c r="F1791" i="1"/>
  <c r="G1791" i="1" s="1"/>
  <c r="A1792" i="1"/>
  <c r="B1792" i="1" s="1"/>
  <c r="C1792" i="1"/>
  <c r="D1792" i="1"/>
  <c r="E1792" i="1"/>
  <c r="F1792" i="1"/>
  <c r="G1792" i="1" s="1"/>
  <c r="A1793" i="1"/>
  <c r="B1793" i="1" s="1"/>
  <c r="C1793" i="1"/>
  <c r="D1793" i="1"/>
  <c r="E1793" i="1"/>
  <c r="F1793" i="1"/>
  <c r="G1793" i="1" s="1"/>
  <c r="A1794" i="1"/>
  <c r="B1794" i="1" s="1"/>
  <c r="C1794" i="1"/>
  <c r="D1794" i="1"/>
  <c r="E1794" i="1"/>
  <c r="F1794" i="1"/>
  <c r="G1794" i="1" s="1"/>
  <c r="A1795" i="1"/>
  <c r="B1795" i="1" s="1"/>
  <c r="C1795" i="1"/>
  <c r="D1795" i="1"/>
  <c r="E1795" i="1"/>
  <c r="F1795" i="1"/>
  <c r="G1795" i="1" s="1"/>
  <c r="A1796" i="1"/>
  <c r="B1796" i="1" s="1"/>
  <c r="C1796" i="1"/>
  <c r="D1796" i="1"/>
  <c r="E1796" i="1"/>
  <c r="F1796" i="1"/>
  <c r="G1796" i="1" s="1"/>
  <c r="A1797" i="1"/>
  <c r="B1797" i="1" s="1"/>
  <c r="C1797" i="1"/>
  <c r="D1797" i="1"/>
  <c r="E1797" i="1"/>
  <c r="F1797" i="1"/>
  <c r="G1797" i="1" s="1"/>
  <c r="A1798" i="1"/>
  <c r="B1798" i="1" s="1"/>
  <c r="C1798" i="1"/>
  <c r="D1798" i="1"/>
  <c r="E1798" i="1"/>
  <c r="F1798" i="1"/>
  <c r="G1798" i="1" s="1"/>
  <c r="A1799" i="1"/>
  <c r="B1799" i="1" s="1"/>
  <c r="C1799" i="1"/>
  <c r="D1799" i="1"/>
  <c r="E1799" i="1"/>
  <c r="F1799" i="1"/>
  <c r="G1799" i="1" s="1"/>
  <c r="A1800" i="1"/>
  <c r="B1800" i="1"/>
  <c r="C1800" i="1"/>
  <c r="D1800" i="1"/>
  <c r="E1800" i="1"/>
  <c r="F1800" i="1"/>
  <c r="G1800" i="1" s="1"/>
  <c r="A1801" i="1"/>
  <c r="B1801" i="1" s="1"/>
  <c r="C1801" i="1"/>
  <c r="D1801" i="1"/>
  <c r="E1801" i="1"/>
  <c r="F1801" i="1"/>
  <c r="G1801" i="1" s="1"/>
  <c r="A1802" i="1"/>
  <c r="B1802" i="1" s="1"/>
  <c r="C1802" i="1"/>
  <c r="D1802" i="1"/>
  <c r="E1802" i="1"/>
  <c r="F1802" i="1"/>
  <c r="G1802" i="1" s="1"/>
  <c r="A1803" i="1"/>
  <c r="B1803" i="1" s="1"/>
  <c r="C1803" i="1"/>
  <c r="D1803" i="1"/>
  <c r="E1803" i="1"/>
  <c r="F1803" i="1"/>
  <c r="G1803" i="1" s="1"/>
  <c r="A1804" i="1"/>
  <c r="B1804" i="1"/>
  <c r="C1804" i="1"/>
  <c r="D1804" i="1"/>
  <c r="E1804" i="1"/>
  <c r="F1804" i="1"/>
  <c r="G1804" i="1" s="1"/>
  <c r="A1805" i="1"/>
  <c r="B1805" i="1" s="1"/>
  <c r="C1805" i="1"/>
  <c r="D1805" i="1"/>
  <c r="E1805" i="1"/>
  <c r="F1805" i="1"/>
  <c r="G1805" i="1" s="1"/>
  <c r="A1806" i="1"/>
  <c r="B1806" i="1"/>
  <c r="C1806" i="1"/>
  <c r="D1806" i="1"/>
  <c r="E1806" i="1"/>
  <c r="F1806" i="1"/>
  <c r="G1806" i="1" s="1"/>
  <c r="A1807" i="1"/>
  <c r="B1807" i="1" s="1"/>
  <c r="C1807" i="1"/>
  <c r="D1807" i="1"/>
  <c r="E1807" i="1"/>
  <c r="F1807" i="1"/>
  <c r="G1807" i="1" s="1"/>
  <c r="A1808" i="1"/>
  <c r="B1808" i="1" s="1"/>
  <c r="C1808" i="1"/>
  <c r="D1808" i="1"/>
  <c r="E1808" i="1"/>
  <c r="F1808" i="1"/>
  <c r="G1808" i="1" s="1"/>
  <c r="A1809" i="1"/>
  <c r="B1809" i="1" s="1"/>
  <c r="C1809" i="1"/>
  <c r="D1809" i="1"/>
  <c r="E1809" i="1"/>
  <c r="F1809" i="1"/>
  <c r="G1809" i="1" s="1"/>
  <c r="A1810" i="1"/>
  <c r="B1810" i="1" s="1"/>
  <c r="C1810" i="1"/>
  <c r="D1810" i="1"/>
  <c r="E1810" i="1"/>
  <c r="F1810" i="1"/>
  <c r="G1810" i="1" s="1"/>
  <c r="A1811" i="1"/>
  <c r="B1811" i="1" s="1"/>
  <c r="C1811" i="1"/>
  <c r="D1811" i="1"/>
  <c r="E1811" i="1"/>
  <c r="F1811" i="1"/>
  <c r="G1811" i="1" s="1"/>
  <c r="A1812" i="1"/>
  <c r="B1812" i="1" s="1"/>
  <c r="C1812" i="1"/>
  <c r="D1812" i="1"/>
  <c r="E1812" i="1"/>
  <c r="F1812" i="1"/>
  <c r="G1812" i="1" s="1"/>
  <c r="A1813" i="1"/>
  <c r="B1813" i="1" s="1"/>
  <c r="C1813" i="1"/>
  <c r="D1813" i="1"/>
  <c r="E1813" i="1"/>
  <c r="F1813" i="1"/>
  <c r="G1813" i="1" s="1"/>
  <c r="A1814" i="1"/>
  <c r="B1814" i="1" s="1"/>
  <c r="C1814" i="1"/>
  <c r="D1814" i="1"/>
  <c r="E1814" i="1"/>
  <c r="F1814" i="1"/>
  <c r="G1814" i="1" s="1"/>
  <c r="A1815" i="1"/>
  <c r="B1815" i="1" s="1"/>
  <c r="C1815" i="1"/>
  <c r="D1815" i="1"/>
  <c r="E1815" i="1"/>
  <c r="F1815" i="1"/>
  <c r="G1815" i="1" s="1"/>
  <c r="A1816" i="1"/>
  <c r="B1816" i="1"/>
  <c r="C1816" i="1"/>
  <c r="D1816" i="1"/>
  <c r="E1816" i="1"/>
  <c r="F1816" i="1"/>
  <c r="G1816" i="1" s="1"/>
  <c r="A1817" i="1"/>
  <c r="B1817" i="1" s="1"/>
  <c r="C1817" i="1"/>
  <c r="D1817" i="1"/>
  <c r="E1817" i="1"/>
  <c r="F1817" i="1"/>
  <c r="G1817" i="1" s="1"/>
  <c r="A1818" i="1"/>
  <c r="B1818" i="1"/>
  <c r="C1818" i="1"/>
  <c r="D1818" i="1"/>
  <c r="E1818" i="1"/>
  <c r="F1818" i="1"/>
  <c r="G1818" i="1" s="1"/>
  <c r="A1819" i="1"/>
  <c r="B1819" i="1" s="1"/>
  <c r="C1819" i="1"/>
  <c r="D1819" i="1"/>
  <c r="E1819" i="1"/>
  <c r="F1819" i="1"/>
  <c r="G1819" i="1" s="1"/>
  <c r="A1820" i="1"/>
  <c r="B1820" i="1" s="1"/>
  <c r="C1820" i="1"/>
  <c r="D1820" i="1"/>
  <c r="E1820" i="1"/>
  <c r="F1820" i="1"/>
  <c r="G1820" i="1" s="1"/>
  <c r="A1821" i="1"/>
  <c r="B1821" i="1" s="1"/>
  <c r="C1821" i="1"/>
  <c r="D1821" i="1"/>
  <c r="E1821" i="1"/>
  <c r="F1821" i="1"/>
  <c r="G1821" i="1" s="1"/>
  <c r="A1822" i="1"/>
  <c r="B1822" i="1" s="1"/>
  <c r="C1822" i="1"/>
  <c r="D1822" i="1"/>
  <c r="E1822" i="1"/>
  <c r="F1822" i="1"/>
  <c r="G1822" i="1" s="1"/>
  <c r="A1823" i="1"/>
  <c r="B1823" i="1" s="1"/>
  <c r="C1823" i="1"/>
  <c r="D1823" i="1"/>
  <c r="E1823" i="1"/>
  <c r="F1823" i="1"/>
  <c r="G1823" i="1" s="1"/>
  <c r="A1824" i="1"/>
  <c r="B1824" i="1"/>
  <c r="C1824" i="1"/>
  <c r="D1824" i="1"/>
  <c r="E1824" i="1"/>
  <c r="F1824" i="1"/>
  <c r="G1824" i="1" s="1"/>
  <c r="A1825" i="1"/>
  <c r="B1825" i="1" s="1"/>
  <c r="C1825" i="1"/>
  <c r="D1825" i="1"/>
  <c r="E1825" i="1"/>
  <c r="F1825" i="1"/>
  <c r="G1825" i="1" s="1"/>
  <c r="A1826" i="1"/>
  <c r="B1826" i="1"/>
  <c r="C1826" i="1"/>
  <c r="D1826" i="1"/>
  <c r="E1826" i="1"/>
  <c r="F1826" i="1"/>
  <c r="G1826" i="1" s="1"/>
  <c r="A1827" i="1"/>
  <c r="B1827" i="1" s="1"/>
  <c r="C1827" i="1"/>
  <c r="D1827" i="1"/>
  <c r="E1827" i="1"/>
  <c r="F1827" i="1"/>
  <c r="G1827" i="1" s="1"/>
  <c r="A1828" i="1"/>
  <c r="B1828" i="1"/>
  <c r="C1828" i="1"/>
  <c r="D1828" i="1"/>
  <c r="E1828" i="1"/>
  <c r="F1828" i="1"/>
  <c r="G1828" i="1" s="1"/>
  <c r="A1829" i="1"/>
  <c r="B1829" i="1" s="1"/>
  <c r="C1829" i="1"/>
  <c r="D1829" i="1"/>
  <c r="E1829" i="1"/>
  <c r="F1829" i="1"/>
  <c r="G1829" i="1"/>
  <c r="A1830" i="1"/>
  <c r="B1830" i="1"/>
  <c r="C1830" i="1"/>
  <c r="D1830" i="1"/>
  <c r="E1830" i="1"/>
  <c r="F1830" i="1"/>
  <c r="G1830" i="1" s="1"/>
  <c r="A1831" i="1"/>
  <c r="B1831" i="1" s="1"/>
  <c r="C1831" i="1"/>
  <c r="D1831" i="1"/>
  <c r="E1831" i="1"/>
  <c r="F1831" i="1"/>
  <c r="G1831" i="1" s="1"/>
  <c r="A1832" i="1"/>
  <c r="B1832" i="1" s="1"/>
  <c r="C1832" i="1"/>
  <c r="D1832" i="1"/>
  <c r="E1832" i="1"/>
  <c r="F1832" i="1"/>
  <c r="G1832" i="1" s="1"/>
  <c r="A1833" i="1"/>
  <c r="B1833" i="1" s="1"/>
  <c r="C1833" i="1"/>
  <c r="D1833" i="1"/>
  <c r="E1833" i="1"/>
  <c r="F1833" i="1"/>
  <c r="G1833" i="1" s="1"/>
  <c r="A1834" i="1"/>
  <c r="B1834" i="1" s="1"/>
  <c r="C1834" i="1"/>
  <c r="D1834" i="1"/>
  <c r="E1834" i="1"/>
  <c r="F1834" i="1"/>
  <c r="G1834" i="1" s="1"/>
  <c r="A1835" i="1"/>
  <c r="B1835" i="1" s="1"/>
  <c r="C1835" i="1"/>
  <c r="D1835" i="1"/>
  <c r="E1835" i="1"/>
  <c r="F1835" i="1"/>
  <c r="G1835" i="1" s="1"/>
  <c r="A1836" i="1"/>
  <c r="B1836" i="1" s="1"/>
  <c r="C1836" i="1"/>
  <c r="D1836" i="1"/>
  <c r="E1836" i="1"/>
  <c r="F1836" i="1"/>
  <c r="G1836" i="1" s="1"/>
  <c r="A1837" i="1"/>
  <c r="B1837" i="1" s="1"/>
  <c r="C1837" i="1"/>
  <c r="D1837" i="1"/>
  <c r="E1837" i="1"/>
  <c r="F1837" i="1"/>
  <c r="G1837" i="1" s="1"/>
  <c r="A1838" i="1"/>
  <c r="B1838" i="1" s="1"/>
  <c r="C1838" i="1"/>
  <c r="D1838" i="1"/>
  <c r="E1838" i="1"/>
  <c r="F1838" i="1"/>
  <c r="G1838" i="1" s="1"/>
  <c r="A1839" i="1"/>
  <c r="B1839" i="1"/>
  <c r="C1839" i="1"/>
  <c r="D1839" i="1"/>
  <c r="E1839" i="1"/>
  <c r="F1839" i="1"/>
  <c r="G1839" i="1"/>
  <c r="A1840" i="1"/>
  <c r="B1840" i="1" s="1"/>
  <c r="C1840" i="1"/>
  <c r="D1840" i="1"/>
  <c r="E1840" i="1"/>
  <c r="F1840" i="1"/>
  <c r="G1840" i="1" s="1"/>
  <c r="A1841" i="1"/>
  <c r="B1841" i="1" s="1"/>
  <c r="C1841" i="1"/>
  <c r="D1841" i="1"/>
  <c r="E1841" i="1"/>
  <c r="F1841" i="1"/>
  <c r="G1841" i="1" s="1"/>
  <c r="A1842" i="1"/>
  <c r="B1842" i="1" s="1"/>
  <c r="C1842" i="1"/>
  <c r="D1842" i="1"/>
  <c r="E1842" i="1"/>
  <c r="F1842" i="1"/>
  <c r="G1842" i="1" s="1"/>
  <c r="A1843" i="1"/>
  <c r="B1843" i="1" s="1"/>
  <c r="C1843" i="1"/>
  <c r="D1843" i="1"/>
  <c r="E1843" i="1"/>
  <c r="F1843" i="1"/>
  <c r="G1843" i="1" s="1"/>
  <c r="A1844" i="1"/>
  <c r="B1844" i="1" s="1"/>
  <c r="C1844" i="1"/>
  <c r="D1844" i="1"/>
  <c r="E1844" i="1"/>
  <c r="F1844" i="1"/>
  <c r="G1844" i="1" s="1"/>
  <c r="A1845" i="1"/>
  <c r="B1845" i="1" s="1"/>
  <c r="C1845" i="1"/>
  <c r="D1845" i="1"/>
  <c r="E1845" i="1"/>
  <c r="F1845" i="1"/>
  <c r="G1845" i="1" s="1"/>
  <c r="A1846" i="1"/>
  <c r="B1846" i="1" s="1"/>
  <c r="C1846" i="1"/>
  <c r="D1846" i="1"/>
  <c r="E1846" i="1"/>
  <c r="F1846" i="1"/>
  <c r="G1846" i="1" s="1"/>
  <c r="A1847" i="1"/>
  <c r="B1847" i="1" s="1"/>
  <c r="C1847" i="1"/>
  <c r="D1847" i="1"/>
  <c r="E1847" i="1"/>
  <c r="F1847" i="1"/>
  <c r="G1847" i="1" s="1"/>
  <c r="A1848" i="1"/>
  <c r="B1848" i="1" s="1"/>
  <c r="C1848" i="1"/>
  <c r="D1848" i="1"/>
  <c r="E1848" i="1"/>
  <c r="F1848" i="1"/>
  <c r="G1848" i="1" s="1"/>
  <c r="A1849" i="1"/>
  <c r="B1849" i="1" s="1"/>
  <c r="C1849" i="1"/>
  <c r="D1849" i="1"/>
  <c r="E1849" i="1"/>
  <c r="F1849" i="1"/>
  <c r="G1849" i="1" s="1"/>
  <c r="A1850" i="1"/>
  <c r="B1850" i="1" s="1"/>
  <c r="C1850" i="1"/>
  <c r="D1850" i="1"/>
  <c r="E1850" i="1"/>
  <c r="F1850" i="1"/>
  <c r="G1850" i="1" s="1"/>
  <c r="A1851" i="1"/>
  <c r="B1851" i="1"/>
  <c r="C1851" i="1"/>
  <c r="D1851" i="1"/>
  <c r="E1851" i="1"/>
  <c r="F1851" i="1"/>
  <c r="G1851" i="1" s="1"/>
  <c r="A1852" i="1"/>
  <c r="B1852" i="1"/>
  <c r="C1852" i="1"/>
  <c r="D1852" i="1"/>
  <c r="E1852" i="1"/>
  <c r="F1852" i="1"/>
  <c r="G1852" i="1" s="1"/>
  <c r="A1853" i="1"/>
  <c r="B1853" i="1" s="1"/>
  <c r="C1853" i="1"/>
  <c r="D1853" i="1"/>
  <c r="E1853" i="1"/>
  <c r="F1853" i="1"/>
  <c r="G1853" i="1" s="1"/>
  <c r="A1854" i="1"/>
  <c r="B1854" i="1" s="1"/>
  <c r="C1854" i="1"/>
  <c r="D1854" i="1"/>
  <c r="E1854" i="1"/>
  <c r="F1854" i="1"/>
  <c r="G1854" i="1" s="1"/>
  <c r="A1855" i="1"/>
  <c r="B1855" i="1" s="1"/>
  <c r="C1855" i="1"/>
  <c r="D1855" i="1"/>
  <c r="E1855" i="1"/>
  <c r="F1855" i="1"/>
  <c r="G1855" i="1" s="1"/>
  <c r="A1856" i="1"/>
  <c r="B1856" i="1" s="1"/>
  <c r="C1856" i="1"/>
  <c r="D1856" i="1"/>
  <c r="E1856" i="1"/>
  <c r="F1856" i="1"/>
  <c r="G1856" i="1" s="1"/>
  <c r="A1857" i="1"/>
  <c r="B1857" i="1" s="1"/>
  <c r="C1857" i="1"/>
  <c r="D1857" i="1"/>
  <c r="E1857" i="1"/>
  <c r="F1857" i="1"/>
  <c r="G1857" i="1" s="1"/>
  <c r="A1858" i="1"/>
  <c r="B1858" i="1" s="1"/>
  <c r="C1858" i="1"/>
  <c r="D1858" i="1"/>
  <c r="E1858" i="1"/>
  <c r="F1858" i="1"/>
  <c r="G1858" i="1" s="1"/>
  <c r="A1859" i="1"/>
  <c r="B1859" i="1" s="1"/>
  <c r="C1859" i="1"/>
  <c r="D1859" i="1"/>
  <c r="E1859" i="1"/>
  <c r="F1859" i="1"/>
  <c r="G1859" i="1" s="1"/>
  <c r="A1860" i="1"/>
  <c r="B1860" i="1" s="1"/>
  <c r="C1860" i="1"/>
  <c r="D1860" i="1"/>
  <c r="E1860" i="1"/>
  <c r="F1860" i="1"/>
  <c r="G1860" i="1" s="1"/>
  <c r="A1861" i="1"/>
  <c r="B1861" i="1"/>
  <c r="C1861" i="1"/>
  <c r="D1861" i="1"/>
  <c r="E1861" i="1"/>
  <c r="F1861" i="1"/>
  <c r="G1861" i="1" s="1"/>
  <c r="A1862" i="1"/>
  <c r="B1862" i="1"/>
  <c r="C1862" i="1"/>
  <c r="D1862" i="1"/>
  <c r="E1862" i="1"/>
  <c r="F1862" i="1"/>
  <c r="G1862" i="1"/>
  <c r="A1863" i="1"/>
  <c r="B1863" i="1"/>
  <c r="C1863" i="1"/>
  <c r="D1863" i="1"/>
  <c r="E1863" i="1"/>
  <c r="F1863" i="1"/>
  <c r="G1863" i="1" s="1"/>
  <c r="A1864" i="1"/>
  <c r="B1864" i="1" s="1"/>
  <c r="C1864" i="1"/>
  <c r="D1864" i="1"/>
  <c r="E1864" i="1"/>
  <c r="F1864" i="1"/>
  <c r="G1864" i="1" s="1"/>
  <c r="A1865" i="1"/>
  <c r="B1865" i="1" s="1"/>
  <c r="C1865" i="1"/>
  <c r="D1865" i="1"/>
  <c r="E1865" i="1"/>
  <c r="F1865" i="1"/>
  <c r="G1865" i="1" s="1"/>
  <c r="A1866" i="1"/>
  <c r="B1866" i="1" s="1"/>
  <c r="C1866" i="1"/>
  <c r="D1866" i="1"/>
  <c r="E1866" i="1"/>
  <c r="F1866" i="1"/>
  <c r="G1866" i="1" s="1"/>
  <c r="A1867" i="1"/>
  <c r="B1867" i="1" s="1"/>
  <c r="C1867" i="1"/>
  <c r="D1867" i="1"/>
  <c r="E1867" i="1"/>
  <c r="F1867" i="1"/>
  <c r="G1867" i="1" s="1"/>
  <c r="A1868" i="1"/>
  <c r="B1868" i="1" s="1"/>
  <c r="C1868" i="1"/>
  <c r="D1868" i="1"/>
  <c r="E1868" i="1"/>
  <c r="F1868" i="1"/>
  <c r="G1868" i="1" s="1"/>
  <c r="A1869" i="1"/>
  <c r="B1869" i="1" s="1"/>
  <c r="C1869" i="1"/>
  <c r="D1869" i="1"/>
  <c r="E1869" i="1"/>
  <c r="F1869" i="1"/>
  <c r="G1869" i="1" s="1"/>
  <c r="A1870" i="1"/>
  <c r="B1870" i="1" s="1"/>
  <c r="C1870" i="1"/>
  <c r="D1870" i="1"/>
  <c r="E1870" i="1"/>
  <c r="F1870" i="1"/>
  <c r="G1870" i="1" s="1"/>
  <c r="A1871" i="1"/>
  <c r="B1871" i="1" s="1"/>
  <c r="C1871" i="1"/>
  <c r="D1871" i="1"/>
  <c r="E1871" i="1"/>
  <c r="F1871" i="1"/>
  <c r="G1871" i="1" s="1"/>
  <c r="A1872" i="1"/>
  <c r="B1872" i="1" s="1"/>
  <c r="C1872" i="1"/>
  <c r="D1872" i="1"/>
  <c r="E1872" i="1"/>
  <c r="F1872" i="1"/>
  <c r="G1872" i="1" s="1"/>
  <c r="A1873" i="1"/>
  <c r="B1873" i="1" s="1"/>
  <c r="C1873" i="1"/>
  <c r="D1873" i="1"/>
  <c r="E1873" i="1"/>
  <c r="F1873" i="1"/>
  <c r="G1873" i="1" s="1"/>
  <c r="A1874" i="1"/>
  <c r="B1874" i="1"/>
  <c r="C1874" i="1"/>
  <c r="D1874" i="1"/>
  <c r="E1874" i="1"/>
  <c r="F1874" i="1"/>
  <c r="G1874" i="1" s="1"/>
  <c r="A1875" i="1"/>
  <c r="B1875" i="1"/>
  <c r="C1875" i="1"/>
  <c r="D1875" i="1"/>
  <c r="E1875" i="1"/>
  <c r="F1875" i="1"/>
  <c r="G1875" i="1"/>
  <c r="A1876" i="1"/>
  <c r="B1876" i="1" s="1"/>
  <c r="C1876" i="1"/>
  <c r="D1876" i="1"/>
  <c r="E1876" i="1"/>
  <c r="F1876" i="1"/>
  <c r="G1876" i="1"/>
  <c r="A1877" i="1"/>
  <c r="B1877" i="1" s="1"/>
  <c r="C1877" i="1"/>
  <c r="D1877" i="1"/>
  <c r="E1877" i="1"/>
  <c r="F1877" i="1"/>
  <c r="G1877" i="1" s="1"/>
  <c r="A1878" i="1"/>
  <c r="B1878" i="1" s="1"/>
  <c r="C1878" i="1"/>
  <c r="D1878" i="1"/>
  <c r="E1878" i="1"/>
  <c r="F1878" i="1"/>
  <c r="G1878" i="1" s="1"/>
  <c r="A1879" i="1"/>
  <c r="B1879" i="1" s="1"/>
  <c r="C1879" i="1"/>
  <c r="D1879" i="1"/>
  <c r="E1879" i="1"/>
  <c r="F1879" i="1"/>
  <c r="G1879" i="1" s="1"/>
  <c r="A1880" i="1"/>
  <c r="B1880" i="1" s="1"/>
  <c r="C1880" i="1"/>
  <c r="D1880" i="1"/>
  <c r="E1880" i="1"/>
  <c r="F1880" i="1"/>
  <c r="G1880" i="1" s="1"/>
  <c r="A1881" i="1"/>
  <c r="B1881" i="1" s="1"/>
  <c r="C1881" i="1"/>
  <c r="D1881" i="1"/>
  <c r="E1881" i="1"/>
  <c r="F1881" i="1"/>
  <c r="G1881" i="1" s="1"/>
  <c r="A1882" i="1"/>
  <c r="B1882" i="1" s="1"/>
  <c r="C1882" i="1"/>
  <c r="D1882" i="1"/>
  <c r="E1882" i="1"/>
  <c r="F1882" i="1"/>
  <c r="G1882" i="1" s="1"/>
  <c r="A1883" i="1"/>
  <c r="B1883" i="1" s="1"/>
  <c r="C1883" i="1"/>
  <c r="D1883" i="1"/>
  <c r="E1883" i="1"/>
  <c r="F1883" i="1"/>
  <c r="G1883" i="1" s="1"/>
  <c r="A1884" i="1"/>
  <c r="B1884" i="1" s="1"/>
  <c r="C1884" i="1"/>
  <c r="D1884" i="1"/>
  <c r="E1884" i="1"/>
  <c r="F1884" i="1"/>
  <c r="G1884" i="1" s="1"/>
  <c r="A1885" i="1"/>
  <c r="B1885" i="1" s="1"/>
  <c r="C1885" i="1"/>
  <c r="D1885" i="1"/>
  <c r="E1885" i="1"/>
  <c r="F1885" i="1"/>
  <c r="G1885" i="1"/>
  <c r="A1886" i="1"/>
  <c r="B1886" i="1"/>
  <c r="C1886" i="1"/>
  <c r="D1886" i="1"/>
  <c r="E1886" i="1"/>
  <c r="F1886" i="1"/>
  <c r="G1886" i="1" s="1"/>
  <c r="A1887" i="1"/>
  <c r="B1887" i="1" s="1"/>
  <c r="C1887" i="1"/>
  <c r="D1887" i="1"/>
  <c r="E1887" i="1"/>
  <c r="F1887" i="1"/>
  <c r="G1887" i="1" s="1"/>
  <c r="A1888" i="1"/>
  <c r="B1888" i="1" s="1"/>
  <c r="C1888" i="1"/>
  <c r="D1888" i="1"/>
  <c r="E1888" i="1"/>
  <c r="F1888" i="1"/>
  <c r="G1888" i="1" s="1"/>
  <c r="A1889" i="1"/>
  <c r="B1889" i="1" s="1"/>
  <c r="C1889" i="1"/>
  <c r="D1889" i="1"/>
  <c r="E1889" i="1"/>
  <c r="F1889" i="1"/>
  <c r="G1889" i="1"/>
  <c r="A1890" i="1"/>
  <c r="B1890" i="1" s="1"/>
  <c r="C1890" i="1"/>
  <c r="D1890" i="1"/>
  <c r="E1890" i="1"/>
  <c r="F1890" i="1"/>
  <c r="G1890" i="1" s="1"/>
  <c r="A1891" i="1"/>
  <c r="B1891" i="1" s="1"/>
  <c r="C1891" i="1"/>
  <c r="D1891" i="1"/>
  <c r="E1891" i="1"/>
  <c r="F1891" i="1"/>
  <c r="G1891" i="1" s="1"/>
  <c r="A1892" i="1"/>
  <c r="B1892" i="1" s="1"/>
  <c r="C1892" i="1"/>
  <c r="D1892" i="1"/>
  <c r="E1892" i="1"/>
  <c r="F1892" i="1"/>
  <c r="G1892" i="1" s="1"/>
  <c r="A1893" i="1"/>
  <c r="B1893" i="1" s="1"/>
  <c r="C1893" i="1"/>
  <c r="D1893" i="1"/>
  <c r="E1893" i="1"/>
  <c r="F1893" i="1"/>
  <c r="G1893" i="1" s="1"/>
  <c r="A1894" i="1"/>
  <c r="B1894" i="1" s="1"/>
  <c r="C1894" i="1"/>
  <c r="D1894" i="1"/>
  <c r="E1894" i="1"/>
  <c r="F1894" i="1"/>
  <c r="G1894" i="1" s="1"/>
  <c r="A1895" i="1"/>
  <c r="B1895" i="1" s="1"/>
  <c r="C1895" i="1"/>
  <c r="D1895" i="1"/>
  <c r="E1895" i="1"/>
  <c r="F1895" i="1"/>
  <c r="G1895" i="1" s="1"/>
  <c r="A1896" i="1"/>
  <c r="B1896" i="1"/>
  <c r="C1896" i="1"/>
  <c r="D1896" i="1"/>
  <c r="E1896" i="1"/>
  <c r="F1896" i="1"/>
  <c r="G1896" i="1" s="1"/>
  <c r="A1897" i="1"/>
  <c r="B1897" i="1" s="1"/>
  <c r="C1897" i="1"/>
  <c r="D1897" i="1"/>
  <c r="E1897" i="1"/>
  <c r="F1897" i="1"/>
  <c r="G1897" i="1" s="1"/>
  <c r="A1898" i="1"/>
  <c r="B1898" i="1"/>
  <c r="C1898" i="1"/>
  <c r="D1898" i="1"/>
  <c r="E1898" i="1"/>
  <c r="F1898" i="1"/>
  <c r="G1898" i="1" s="1"/>
  <c r="A1899" i="1"/>
  <c r="B1899" i="1"/>
  <c r="C1899" i="1"/>
  <c r="D1899" i="1"/>
  <c r="E1899" i="1"/>
  <c r="F1899" i="1"/>
  <c r="G1899" i="1" s="1"/>
  <c r="A1900" i="1"/>
  <c r="B1900" i="1" s="1"/>
  <c r="C1900" i="1"/>
  <c r="D1900" i="1"/>
  <c r="E1900" i="1"/>
  <c r="F1900" i="1"/>
  <c r="G1900" i="1" s="1"/>
  <c r="A1901" i="1"/>
  <c r="B1901" i="1" s="1"/>
  <c r="C1901" i="1"/>
  <c r="D1901" i="1"/>
  <c r="E1901" i="1"/>
  <c r="F1901" i="1"/>
  <c r="G1901" i="1" s="1"/>
  <c r="A1902" i="1"/>
  <c r="B1902" i="1" s="1"/>
  <c r="C1902" i="1"/>
  <c r="D1902" i="1"/>
  <c r="E1902" i="1"/>
  <c r="F1902" i="1"/>
  <c r="G1902" i="1" s="1"/>
  <c r="A1903" i="1"/>
  <c r="B1903" i="1" s="1"/>
  <c r="C1903" i="1"/>
  <c r="D1903" i="1"/>
  <c r="E1903" i="1"/>
  <c r="F1903" i="1"/>
  <c r="G1903" i="1" s="1"/>
  <c r="A1904" i="1"/>
  <c r="B1904" i="1" s="1"/>
  <c r="C1904" i="1"/>
  <c r="D1904" i="1"/>
  <c r="E1904" i="1"/>
  <c r="F1904" i="1"/>
  <c r="G1904" i="1" s="1"/>
  <c r="A1905" i="1"/>
  <c r="B1905" i="1" s="1"/>
  <c r="C1905" i="1"/>
  <c r="D1905" i="1"/>
  <c r="E1905" i="1"/>
  <c r="F1905" i="1"/>
  <c r="G1905" i="1" s="1"/>
  <c r="A1906" i="1"/>
  <c r="B1906" i="1" s="1"/>
  <c r="C1906" i="1"/>
  <c r="D1906" i="1"/>
  <c r="E1906" i="1"/>
  <c r="F1906" i="1"/>
  <c r="G1906" i="1" s="1"/>
  <c r="A1907" i="1"/>
  <c r="B1907" i="1" s="1"/>
  <c r="C1907" i="1"/>
  <c r="D1907" i="1"/>
  <c r="E1907" i="1"/>
  <c r="F1907" i="1"/>
  <c r="G1907" i="1" s="1"/>
  <c r="A1908" i="1"/>
  <c r="B1908" i="1"/>
  <c r="C1908" i="1"/>
  <c r="D1908" i="1"/>
  <c r="E1908" i="1"/>
  <c r="F1908" i="1"/>
  <c r="G1908" i="1" s="1"/>
  <c r="A1909" i="1"/>
  <c r="B1909" i="1" s="1"/>
  <c r="C1909" i="1"/>
  <c r="D1909" i="1"/>
  <c r="E1909" i="1"/>
  <c r="F1909" i="1"/>
  <c r="G1909" i="1" s="1"/>
  <c r="A1910" i="1"/>
  <c r="B1910" i="1" s="1"/>
  <c r="C1910" i="1"/>
  <c r="D1910" i="1"/>
  <c r="E1910" i="1"/>
  <c r="F1910" i="1"/>
  <c r="G1910" i="1" s="1"/>
  <c r="A1911" i="1"/>
  <c r="B1911" i="1" s="1"/>
  <c r="C1911" i="1"/>
  <c r="D1911" i="1"/>
  <c r="E1911" i="1"/>
  <c r="F1911" i="1"/>
  <c r="G1911" i="1" s="1"/>
  <c r="A1912" i="1"/>
  <c r="B1912" i="1"/>
  <c r="C1912" i="1"/>
  <c r="D1912" i="1"/>
  <c r="E1912" i="1"/>
  <c r="F1912" i="1"/>
  <c r="G1912" i="1" s="1"/>
  <c r="A1913" i="1"/>
  <c r="B1913" i="1" s="1"/>
  <c r="C1913" i="1"/>
  <c r="D1913" i="1"/>
  <c r="E1913" i="1"/>
  <c r="F1913" i="1"/>
  <c r="G1913" i="1" s="1"/>
  <c r="A1914" i="1"/>
  <c r="B1914" i="1"/>
  <c r="C1914" i="1"/>
  <c r="D1914" i="1"/>
  <c r="E1914" i="1"/>
  <c r="F1914" i="1"/>
  <c r="G1914" i="1" s="1"/>
  <c r="A1915" i="1"/>
  <c r="B1915" i="1" s="1"/>
  <c r="C1915" i="1"/>
  <c r="D1915" i="1"/>
  <c r="E1915" i="1"/>
  <c r="F1915" i="1"/>
  <c r="G1915" i="1" s="1"/>
  <c r="A1916" i="1"/>
  <c r="B1916" i="1" s="1"/>
  <c r="C1916" i="1"/>
  <c r="D1916" i="1"/>
  <c r="E1916" i="1"/>
  <c r="F1916" i="1"/>
  <c r="G1916" i="1" s="1"/>
  <c r="A1917" i="1"/>
  <c r="B1917" i="1" s="1"/>
  <c r="C1917" i="1"/>
  <c r="D1917" i="1"/>
  <c r="E1917" i="1"/>
  <c r="F1917" i="1"/>
  <c r="G1917" i="1" s="1"/>
  <c r="A1918" i="1"/>
  <c r="B1918" i="1" s="1"/>
  <c r="C1918" i="1"/>
  <c r="D1918" i="1"/>
  <c r="E1918" i="1"/>
  <c r="F1918" i="1"/>
  <c r="G1918" i="1" s="1"/>
  <c r="A1919" i="1"/>
  <c r="B1919" i="1" s="1"/>
  <c r="C1919" i="1"/>
  <c r="D1919" i="1"/>
  <c r="E1919" i="1"/>
  <c r="F1919" i="1"/>
  <c r="G1919" i="1" s="1"/>
  <c r="A1920" i="1"/>
  <c r="B1920" i="1" s="1"/>
  <c r="C1920" i="1"/>
  <c r="D1920" i="1"/>
  <c r="E1920" i="1"/>
  <c r="F1920" i="1"/>
  <c r="G1920" i="1" s="1"/>
  <c r="A1921" i="1"/>
  <c r="B1921" i="1" s="1"/>
  <c r="C1921" i="1"/>
  <c r="D1921" i="1"/>
  <c r="E1921" i="1"/>
  <c r="F1921" i="1"/>
  <c r="G1921" i="1" s="1"/>
  <c r="A1922" i="1"/>
  <c r="B1922" i="1"/>
  <c r="C1922" i="1"/>
  <c r="D1922" i="1"/>
  <c r="E1922" i="1"/>
  <c r="F1922" i="1"/>
  <c r="G1922" i="1" s="1"/>
  <c r="A1923" i="1"/>
  <c r="B1923" i="1" s="1"/>
  <c r="C1923" i="1"/>
  <c r="D1923" i="1"/>
  <c r="E1923" i="1"/>
  <c r="F1923" i="1"/>
  <c r="G1923" i="1" s="1"/>
  <c r="A1924" i="1"/>
  <c r="B1924" i="1" s="1"/>
  <c r="C1924" i="1"/>
  <c r="D1924" i="1"/>
  <c r="E1924" i="1"/>
  <c r="F1924" i="1"/>
  <c r="G1924" i="1" s="1"/>
  <c r="A1925" i="1"/>
  <c r="B1925" i="1" s="1"/>
  <c r="C1925" i="1"/>
  <c r="D1925" i="1"/>
  <c r="E1925" i="1"/>
  <c r="F1925" i="1"/>
  <c r="G1925" i="1" s="1"/>
  <c r="A1926" i="1"/>
  <c r="B1926" i="1"/>
  <c r="C1926" i="1"/>
  <c r="D1926" i="1"/>
  <c r="E1926" i="1"/>
  <c r="F1926" i="1"/>
  <c r="G1926" i="1" s="1"/>
  <c r="A1927" i="1"/>
  <c r="B1927" i="1" s="1"/>
  <c r="C1927" i="1"/>
  <c r="D1927" i="1"/>
  <c r="E1927" i="1"/>
  <c r="F1927" i="1"/>
  <c r="G1927" i="1" s="1"/>
  <c r="A1928" i="1"/>
  <c r="B1928" i="1" s="1"/>
  <c r="C1928" i="1"/>
  <c r="D1928" i="1"/>
  <c r="E1928" i="1"/>
  <c r="F1928" i="1"/>
  <c r="G1928" i="1" s="1"/>
  <c r="A1929" i="1"/>
  <c r="B1929" i="1" s="1"/>
  <c r="C1929" i="1"/>
  <c r="D1929" i="1"/>
  <c r="E1929" i="1"/>
  <c r="F1929" i="1"/>
  <c r="G1929" i="1" s="1"/>
  <c r="A1930" i="1"/>
  <c r="B1930" i="1" s="1"/>
  <c r="C1930" i="1"/>
  <c r="D1930" i="1"/>
  <c r="E1930" i="1"/>
  <c r="F1930" i="1"/>
  <c r="G1930" i="1" s="1"/>
  <c r="A1931" i="1"/>
  <c r="B1931" i="1" s="1"/>
  <c r="C1931" i="1"/>
  <c r="D1931" i="1"/>
  <c r="E1931" i="1"/>
  <c r="F1931" i="1"/>
  <c r="G1931" i="1" s="1"/>
  <c r="A1932" i="1"/>
  <c r="B1932" i="1"/>
  <c r="C1932" i="1"/>
  <c r="D1932" i="1"/>
  <c r="E1932" i="1"/>
  <c r="F1932" i="1"/>
  <c r="G1932" i="1" s="1"/>
  <c r="A1933" i="1"/>
  <c r="B1933" i="1" s="1"/>
  <c r="C1933" i="1"/>
  <c r="D1933" i="1"/>
  <c r="E1933" i="1"/>
  <c r="F1933" i="1"/>
  <c r="G1933" i="1" s="1"/>
  <c r="A1934" i="1"/>
  <c r="B1934" i="1" s="1"/>
  <c r="C1934" i="1"/>
  <c r="D1934" i="1"/>
  <c r="E1934" i="1"/>
  <c r="F1934" i="1"/>
  <c r="G1934" i="1" s="1"/>
  <c r="A1935" i="1"/>
  <c r="B1935" i="1" s="1"/>
  <c r="C1935" i="1"/>
  <c r="D1935" i="1"/>
  <c r="E1935" i="1"/>
  <c r="F1935" i="1"/>
  <c r="G1935" i="1" s="1"/>
  <c r="A1936" i="1"/>
  <c r="B1936" i="1"/>
  <c r="C1936" i="1"/>
  <c r="D1936" i="1"/>
  <c r="E1936" i="1"/>
  <c r="F1936" i="1"/>
  <c r="G1936" i="1" s="1"/>
  <c r="A1937" i="1"/>
  <c r="B1937" i="1" s="1"/>
  <c r="C1937" i="1"/>
  <c r="D1937" i="1"/>
  <c r="E1937" i="1"/>
  <c r="F1937" i="1"/>
  <c r="G1937" i="1"/>
  <c r="A1938" i="1"/>
  <c r="B1938" i="1"/>
  <c r="C1938" i="1"/>
  <c r="D1938" i="1"/>
  <c r="E1938" i="1"/>
  <c r="F1938" i="1"/>
  <c r="G1938" i="1" s="1"/>
  <c r="A1939" i="1"/>
  <c r="B1939" i="1" s="1"/>
  <c r="C1939" i="1"/>
  <c r="D1939" i="1"/>
  <c r="E1939" i="1"/>
  <c r="F1939" i="1"/>
  <c r="G1939" i="1" s="1"/>
  <c r="A1940" i="1"/>
  <c r="B1940" i="1" s="1"/>
  <c r="C1940" i="1"/>
  <c r="D1940" i="1"/>
  <c r="E1940" i="1"/>
  <c r="F1940" i="1"/>
  <c r="G1940" i="1" s="1"/>
  <c r="A1941" i="1"/>
  <c r="B1941" i="1" s="1"/>
  <c r="C1941" i="1"/>
  <c r="D1941" i="1"/>
  <c r="E1941" i="1"/>
  <c r="F1941" i="1"/>
  <c r="G1941" i="1" s="1"/>
  <c r="A1942" i="1"/>
  <c r="B1942" i="1" s="1"/>
  <c r="C1942" i="1"/>
  <c r="D1942" i="1"/>
  <c r="E1942" i="1"/>
  <c r="F1942" i="1"/>
  <c r="G1942" i="1" s="1"/>
  <c r="A1943" i="1"/>
  <c r="B1943" i="1" s="1"/>
  <c r="C1943" i="1"/>
  <c r="D1943" i="1"/>
  <c r="E1943" i="1"/>
  <c r="F1943" i="1"/>
  <c r="G1943" i="1" s="1"/>
  <c r="A1944" i="1"/>
  <c r="B1944" i="1"/>
  <c r="C1944" i="1"/>
  <c r="D1944" i="1"/>
  <c r="E1944" i="1"/>
  <c r="F1944" i="1"/>
  <c r="G1944" i="1" s="1"/>
  <c r="A1945" i="1"/>
  <c r="B1945" i="1" s="1"/>
  <c r="C1945" i="1"/>
  <c r="D1945" i="1"/>
  <c r="E1945" i="1"/>
  <c r="F1945" i="1"/>
  <c r="G1945" i="1" s="1"/>
  <c r="A1946" i="1"/>
  <c r="B1946" i="1" s="1"/>
  <c r="C1946" i="1"/>
  <c r="D1946" i="1"/>
  <c r="E1946" i="1"/>
  <c r="F1946" i="1"/>
  <c r="G1946" i="1"/>
  <c r="A1947" i="1"/>
  <c r="B1947" i="1"/>
  <c r="C1947" i="1"/>
  <c r="D1947" i="1"/>
  <c r="E1947" i="1"/>
  <c r="F1947" i="1"/>
  <c r="G1947" i="1" s="1"/>
  <c r="A1948" i="1"/>
  <c r="B1948" i="1" s="1"/>
  <c r="C1948" i="1"/>
  <c r="D1948" i="1"/>
  <c r="E1948" i="1"/>
  <c r="F1948" i="1"/>
  <c r="G1948" i="1"/>
  <c r="A1949" i="1"/>
  <c r="B1949" i="1" s="1"/>
  <c r="C1949" i="1"/>
  <c r="D1949" i="1"/>
  <c r="E1949" i="1"/>
  <c r="F1949" i="1"/>
  <c r="G1949" i="1" s="1"/>
  <c r="A1950" i="1"/>
  <c r="B1950" i="1"/>
  <c r="C1950" i="1"/>
  <c r="D1950" i="1"/>
  <c r="E1950" i="1"/>
  <c r="F1950" i="1"/>
  <c r="G1950" i="1" s="1"/>
  <c r="A1951" i="1"/>
  <c r="B1951" i="1" s="1"/>
  <c r="C1951" i="1"/>
  <c r="D1951" i="1"/>
  <c r="E1951" i="1"/>
  <c r="F1951" i="1"/>
  <c r="G1951" i="1" s="1"/>
  <c r="A1952" i="1"/>
  <c r="B1952" i="1" s="1"/>
  <c r="C1952" i="1"/>
  <c r="D1952" i="1"/>
  <c r="E1952" i="1"/>
  <c r="F1952" i="1"/>
  <c r="G1952" i="1" s="1"/>
  <c r="A1953" i="1"/>
  <c r="B1953" i="1" s="1"/>
  <c r="C1953" i="1"/>
  <c r="D1953" i="1"/>
  <c r="E1953" i="1"/>
  <c r="F1953" i="1"/>
  <c r="G1953" i="1" s="1"/>
  <c r="A1954" i="1"/>
  <c r="B1954" i="1"/>
  <c r="C1954" i="1"/>
  <c r="D1954" i="1"/>
  <c r="E1954" i="1"/>
  <c r="F1954" i="1"/>
  <c r="G1954" i="1" s="1"/>
  <c r="A1955" i="1"/>
  <c r="B1955" i="1" s="1"/>
  <c r="C1955" i="1"/>
  <c r="D1955" i="1"/>
  <c r="E1955" i="1"/>
  <c r="F1955" i="1"/>
  <c r="G1955" i="1" s="1"/>
  <c r="A1956" i="1"/>
  <c r="B1956" i="1" s="1"/>
  <c r="C1956" i="1"/>
  <c r="D1956" i="1"/>
  <c r="E1956" i="1"/>
  <c r="F1956" i="1"/>
  <c r="G1956" i="1" s="1"/>
  <c r="A1957" i="1"/>
  <c r="B1957" i="1" s="1"/>
  <c r="C1957" i="1"/>
  <c r="D1957" i="1"/>
  <c r="E1957" i="1"/>
  <c r="F1957" i="1"/>
  <c r="G1957" i="1" s="1"/>
  <c r="A1958" i="1"/>
  <c r="B1958" i="1"/>
  <c r="C1958" i="1"/>
  <c r="D1958" i="1"/>
  <c r="E1958" i="1"/>
  <c r="F1958" i="1"/>
  <c r="G1958" i="1" s="1"/>
  <c r="A1959" i="1"/>
  <c r="B1959" i="1" s="1"/>
  <c r="C1959" i="1"/>
  <c r="D1959" i="1"/>
  <c r="E1959" i="1"/>
  <c r="F1959" i="1"/>
  <c r="G1959" i="1" s="1"/>
  <c r="A1960" i="1"/>
  <c r="B1960" i="1" s="1"/>
  <c r="C1960" i="1"/>
  <c r="D1960" i="1"/>
  <c r="E1960" i="1"/>
  <c r="F1960" i="1"/>
  <c r="G1960" i="1" s="1"/>
  <c r="A1961" i="1"/>
  <c r="B1961" i="1" s="1"/>
  <c r="C1961" i="1"/>
  <c r="D1961" i="1"/>
  <c r="E1961" i="1"/>
  <c r="F1961" i="1"/>
  <c r="G1961" i="1" s="1"/>
  <c r="A1962" i="1"/>
  <c r="B1962" i="1" s="1"/>
  <c r="C1962" i="1"/>
  <c r="D1962" i="1"/>
  <c r="E1962" i="1"/>
  <c r="F1962" i="1"/>
  <c r="G1962" i="1" s="1"/>
  <c r="A1963" i="1"/>
  <c r="B1963" i="1" s="1"/>
  <c r="C1963" i="1"/>
  <c r="D1963" i="1"/>
  <c r="E1963" i="1"/>
  <c r="F1963" i="1"/>
  <c r="G1963" i="1"/>
  <c r="A1964" i="1"/>
  <c r="B1964" i="1" s="1"/>
  <c r="C1964" i="1"/>
  <c r="D1964" i="1"/>
  <c r="E1964" i="1"/>
  <c r="F1964" i="1"/>
  <c r="G1964" i="1" s="1"/>
  <c r="A1965" i="1"/>
  <c r="B1965" i="1" s="1"/>
  <c r="C1965" i="1"/>
  <c r="D1965" i="1"/>
  <c r="E1965" i="1"/>
  <c r="F1965" i="1"/>
  <c r="G1965" i="1" s="1"/>
  <c r="A1966" i="1"/>
  <c r="B1966" i="1" s="1"/>
  <c r="C1966" i="1"/>
  <c r="D1966" i="1"/>
  <c r="E1966" i="1"/>
  <c r="F1966" i="1"/>
  <c r="G1966" i="1" s="1"/>
  <c r="A1967" i="1"/>
  <c r="B1967" i="1" s="1"/>
  <c r="C1967" i="1"/>
  <c r="D1967" i="1"/>
  <c r="E1967" i="1"/>
  <c r="F1967" i="1"/>
  <c r="G1967" i="1" s="1"/>
  <c r="A1968" i="1"/>
  <c r="B1968" i="1" s="1"/>
  <c r="C1968" i="1"/>
  <c r="D1968" i="1"/>
  <c r="E1968" i="1"/>
  <c r="F1968" i="1"/>
  <c r="G1968" i="1"/>
  <c r="A1969" i="1"/>
  <c r="B1969" i="1" s="1"/>
  <c r="C1969" i="1"/>
  <c r="D1969" i="1"/>
  <c r="E1969" i="1"/>
  <c r="F1969" i="1"/>
  <c r="G1969" i="1" s="1"/>
  <c r="A1970" i="1"/>
  <c r="B1970" i="1" s="1"/>
  <c r="C1970" i="1"/>
  <c r="D1970" i="1"/>
  <c r="E1970" i="1"/>
  <c r="F1970" i="1"/>
  <c r="G1970" i="1" s="1"/>
  <c r="A1971" i="1"/>
  <c r="B1971" i="1"/>
  <c r="C1971" i="1"/>
  <c r="D1971" i="1"/>
  <c r="E1971" i="1"/>
  <c r="F1971" i="1"/>
  <c r="G1971" i="1" s="1"/>
  <c r="A1972" i="1"/>
  <c r="B1972" i="1" s="1"/>
  <c r="C1972" i="1"/>
  <c r="D1972" i="1"/>
  <c r="E1972" i="1"/>
  <c r="F1972" i="1"/>
  <c r="G1972" i="1" s="1"/>
  <c r="A1973" i="1"/>
  <c r="B1973" i="1" s="1"/>
  <c r="C1973" i="1"/>
  <c r="D1973" i="1"/>
  <c r="E1973" i="1"/>
  <c r="F1973" i="1"/>
  <c r="G1973" i="1" s="1"/>
  <c r="A1974" i="1"/>
  <c r="B1974" i="1" s="1"/>
  <c r="C1974" i="1"/>
  <c r="D1974" i="1"/>
  <c r="E1974" i="1"/>
  <c r="F1974" i="1"/>
  <c r="G1974" i="1" s="1"/>
  <c r="A1975" i="1"/>
  <c r="B1975" i="1" s="1"/>
  <c r="C1975" i="1"/>
  <c r="D1975" i="1"/>
  <c r="E1975" i="1"/>
  <c r="F1975" i="1"/>
  <c r="G1975" i="1" s="1"/>
  <c r="A1976" i="1"/>
  <c r="B1976" i="1" s="1"/>
  <c r="C1976" i="1"/>
  <c r="D1976" i="1"/>
  <c r="E1976" i="1"/>
  <c r="F1976" i="1"/>
  <c r="G1976" i="1" s="1"/>
  <c r="A1977" i="1"/>
  <c r="B1977" i="1" s="1"/>
  <c r="C1977" i="1"/>
  <c r="D1977" i="1"/>
  <c r="E1977" i="1"/>
  <c r="F1977" i="1"/>
  <c r="G1977" i="1" s="1"/>
  <c r="A1978" i="1"/>
  <c r="B1978" i="1" s="1"/>
  <c r="C1978" i="1"/>
  <c r="D1978" i="1"/>
  <c r="E1978" i="1"/>
  <c r="F1978" i="1"/>
  <c r="G1978" i="1" s="1"/>
  <c r="A1979" i="1"/>
  <c r="B1979" i="1" s="1"/>
  <c r="C1979" i="1"/>
  <c r="D1979" i="1"/>
  <c r="E1979" i="1"/>
  <c r="F1979" i="1"/>
  <c r="G1979" i="1" s="1"/>
  <c r="A1980" i="1"/>
  <c r="B1980" i="1" s="1"/>
  <c r="C1980" i="1"/>
  <c r="D1980" i="1"/>
  <c r="E1980" i="1"/>
  <c r="F1980" i="1"/>
  <c r="G1980" i="1" s="1"/>
  <c r="A1981" i="1"/>
  <c r="B1981" i="1" s="1"/>
  <c r="C1981" i="1"/>
  <c r="D1981" i="1"/>
  <c r="E1981" i="1"/>
  <c r="F1981" i="1"/>
  <c r="G1981" i="1" s="1"/>
  <c r="A1982" i="1"/>
  <c r="B1982" i="1" s="1"/>
  <c r="C1982" i="1"/>
  <c r="D1982" i="1"/>
  <c r="E1982" i="1"/>
  <c r="F1982" i="1"/>
  <c r="G1982" i="1" s="1"/>
  <c r="A1983" i="1"/>
  <c r="B1983" i="1"/>
  <c r="C1983" i="1"/>
  <c r="D1983" i="1"/>
  <c r="E1983" i="1"/>
  <c r="F1983" i="1"/>
  <c r="G1983" i="1" s="1"/>
  <c r="A1984" i="1"/>
  <c r="B1984" i="1" s="1"/>
  <c r="C1984" i="1"/>
  <c r="D1984" i="1"/>
  <c r="E1984" i="1"/>
  <c r="F1984" i="1"/>
  <c r="G1984" i="1" s="1"/>
  <c r="A1985" i="1"/>
  <c r="B1985" i="1" s="1"/>
  <c r="C1985" i="1"/>
  <c r="D1985" i="1"/>
  <c r="E1985" i="1"/>
  <c r="F1985" i="1"/>
  <c r="G1985" i="1" s="1"/>
  <c r="A1986" i="1"/>
  <c r="B1986" i="1" s="1"/>
  <c r="C1986" i="1"/>
  <c r="D1986" i="1"/>
  <c r="E1986" i="1"/>
  <c r="F1986" i="1"/>
  <c r="G1986" i="1" s="1"/>
  <c r="A1987" i="1"/>
  <c r="B1987" i="1" s="1"/>
  <c r="C1987" i="1"/>
  <c r="D1987" i="1"/>
  <c r="E1987" i="1"/>
  <c r="F1987" i="1"/>
  <c r="G1987" i="1" s="1"/>
  <c r="A1988" i="1"/>
  <c r="B1988" i="1" s="1"/>
  <c r="C1988" i="1"/>
  <c r="D1988" i="1"/>
  <c r="E1988" i="1"/>
  <c r="F1988" i="1"/>
  <c r="G1988" i="1" s="1"/>
  <c r="A1989" i="1"/>
  <c r="B1989" i="1"/>
  <c r="C1989" i="1"/>
  <c r="D1989" i="1"/>
  <c r="E1989" i="1"/>
  <c r="F1989" i="1"/>
  <c r="G1989" i="1" s="1"/>
  <c r="A1990" i="1"/>
  <c r="B1990" i="1" s="1"/>
  <c r="C1990" i="1"/>
  <c r="D1990" i="1"/>
  <c r="E1990" i="1"/>
  <c r="F1990" i="1"/>
  <c r="G1990" i="1" s="1"/>
  <c r="A1991" i="1"/>
  <c r="B1991" i="1" s="1"/>
  <c r="C1991" i="1"/>
  <c r="D1991" i="1"/>
  <c r="E1991" i="1"/>
  <c r="F1991" i="1"/>
  <c r="G1991" i="1" s="1"/>
  <c r="A1992" i="1"/>
  <c r="B1992" i="1"/>
  <c r="C1992" i="1"/>
  <c r="D1992" i="1"/>
  <c r="E1992" i="1"/>
  <c r="F1992" i="1"/>
  <c r="G1992" i="1" s="1"/>
  <c r="A1993" i="1"/>
  <c r="B1993" i="1" s="1"/>
  <c r="C1993" i="1"/>
  <c r="D1993" i="1"/>
  <c r="E1993" i="1"/>
  <c r="F1993" i="1"/>
  <c r="G1993" i="1"/>
  <c r="A1994" i="1"/>
  <c r="B1994" i="1"/>
  <c r="C1994" i="1"/>
  <c r="D1994" i="1"/>
  <c r="E1994" i="1"/>
  <c r="F1994" i="1"/>
  <c r="G1994" i="1" s="1"/>
  <c r="A1995" i="1"/>
  <c r="B1995" i="1"/>
  <c r="C1995" i="1"/>
  <c r="D1995" i="1"/>
  <c r="E1995" i="1"/>
  <c r="F1995" i="1"/>
  <c r="G1995" i="1" s="1"/>
  <c r="A1996" i="1"/>
  <c r="B1996" i="1" s="1"/>
  <c r="C1996" i="1"/>
  <c r="D1996" i="1"/>
  <c r="E1996" i="1"/>
  <c r="F1996" i="1"/>
  <c r="G1996" i="1" s="1"/>
  <c r="A1997" i="1"/>
  <c r="B1997" i="1" s="1"/>
  <c r="C1997" i="1"/>
  <c r="D1997" i="1"/>
  <c r="E1997" i="1"/>
  <c r="F1997" i="1"/>
  <c r="G1997" i="1" s="1"/>
  <c r="A1998" i="1"/>
  <c r="B1998" i="1" s="1"/>
  <c r="C1998" i="1"/>
  <c r="D1998" i="1"/>
  <c r="E1998" i="1"/>
  <c r="F1998" i="1"/>
  <c r="G1998" i="1" s="1"/>
  <c r="A1999" i="1"/>
  <c r="B1999" i="1" s="1"/>
  <c r="C1999" i="1"/>
  <c r="D1999" i="1"/>
  <c r="E1999" i="1"/>
  <c r="F1999" i="1"/>
  <c r="G1999" i="1" s="1"/>
  <c r="A2000" i="1"/>
  <c r="B2000" i="1" s="1"/>
  <c r="C2000" i="1"/>
  <c r="D2000" i="1"/>
  <c r="E2000" i="1"/>
  <c r="F2000" i="1"/>
  <c r="G2000" i="1" s="1"/>
  <c r="A2001" i="1"/>
  <c r="B2001" i="1" s="1"/>
  <c r="C2001" i="1"/>
  <c r="D2001" i="1"/>
  <c r="E2001" i="1"/>
  <c r="F2001" i="1"/>
  <c r="G2001" i="1" s="1"/>
  <c r="A2002" i="1"/>
  <c r="B2002" i="1" s="1"/>
  <c r="C2002" i="1"/>
  <c r="D2002" i="1"/>
  <c r="E2002" i="1"/>
  <c r="F2002" i="1"/>
  <c r="G2002" i="1" s="1"/>
  <c r="A2003" i="1"/>
  <c r="B2003" i="1"/>
  <c r="C2003" i="1"/>
  <c r="D2003" i="1"/>
  <c r="E2003" i="1"/>
  <c r="F2003" i="1"/>
  <c r="G2003" i="1" s="1"/>
  <c r="A2004" i="1"/>
  <c r="B2004" i="1" s="1"/>
  <c r="C2004" i="1"/>
  <c r="D2004" i="1"/>
  <c r="E2004" i="1"/>
  <c r="F2004" i="1"/>
  <c r="G2004" i="1" s="1"/>
  <c r="A2005" i="1"/>
  <c r="B2005" i="1" s="1"/>
  <c r="C2005" i="1"/>
  <c r="D2005" i="1"/>
  <c r="E2005" i="1"/>
  <c r="F2005" i="1"/>
  <c r="G2005" i="1" s="1"/>
  <c r="A2006" i="1"/>
  <c r="B2006" i="1" s="1"/>
  <c r="C2006" i="1"/>
  <c r="D2006" i="1"/>
  <c r="E2006" i="1"/>
  <c r="F2006" i="1"/>
  <c r="G2006" i="1" s="1"/>
  <c r="A2007" i="1"/>
  <c r="B2007" i="1" s="1"/>
  <c r="C2007" i="1"/>
  <c r="D2007" i="1"/>
  <c r="E2007" i="1"/>
  <c r="F2007" i="1"/>
  <c r="G2007" i="1" s="1"/>
  <c r="A2008" i="1"/>
  <c r="B2008" i="1" s="1"/>
  <c r="C2008" i="1"/>
  <c r="D2008" i="1"/>
  <c r="E2008" i="1"/>
  <c r="F2008" i="1"/>
  <c r="G2008" i="1" s="1"/>
  <c r="A2009" i="1"/>
  <c r="B2009" i="1"/>
  <c r="C2009" i="1"/>
  <c r="D2009" i="1"/>
  <c r="E2009" i="1"/>
  <c r="F2009" i="1"/>
  <c r="G2009" i="1" s="1"/>
  <c r="A2010" i="1"/>
  <c r="B2010" i="1" s="1"/>
  <c r="C2010" i="1"/>
  <c r="D2010" i="1"/>
  <c r="E2010" i="1"/>
  <c r="F2010" i="1"/>
  <c r="G2010" i="1" s="1"/>
  <c r="A2011" i="1"/>
  <c r="B2011" i="1" s="1"/>
  <c r="C2011" i="1"/>
  <c r="D2011" i="1"/>
  <c r="E2011" i="1"/>
  <c r="F2011" i="1"/>
  <c r="G2011" i="1" s="1"/>
  <c r="A2012" i="1"/>
  <c r="B2012" i="1" s="1"/>
  <c r="C2012" i="1"/>
  <c r="D2012" i="1"/>
  <c r="E2012" i="1"/>
  <c r="F2012" i="1"/>
  <c r="G2012" i="1" s="1"/>
  <c r="A2013" i="1"/>
  <c r="B2013" i="1" s="1"/>
  <c r="C2013" i="1"/>
  <c r="D2013" i="1"/>
  <c r="E2013" i="1"/>
  <c r="F2013" i="1"/>
  <c r="G2013" i="1" s="1"/>
  <c r="A2014" i="1"/>
  <c r="B2014" i="1" s="1"/>
  <c r="C2014" i="1"/>
  <c r="D2014" i="1"/>
  <c r="E2014" i="1"/>
  <c r="F2014" i="1"/>
  <c r="G2014" i="1" s="1"/>
  <c r="A2015" i="1"/>
  <c r="B2015" i="1" s="1"/>
  <c r="C2015" i="1"/>
  <c r="D2015" i="1"/>
  <c r="E2015" i="1"/>
  <c r="F2015" i="1"/>
  <c r="G2015" i="1" s="1"/>
  <c r="A2016" i="1"/>
  <c r="B2016" i="1" s="1"/>
  <c r="C2016" i="1"/>
  <c r="D2016" i="1"/>
  <c r="E2016" i="1"/>
  <c r="F2016" i="1"/>
  <c r="G2016" i="1" s="1"/>
  <c r="A2017" i="1"/>
  <c r="B2017" i="1"/>
  <c r="C2017" i="1"/>
  <c r="D2017" i="1"/>
  <c r="E2017" i="1"/>
  <c r="F2017" i="1"/>
  <c r="G2017" i="1" s="1"/>
  <c r="A2018" i="1"/>
  <c r="B2018" i="1"/>
  <c r="C2018" i="1"/>
  <c r="D2018" i="1"/>
  <c r="E2018" i="1"/>
  <c r="F2018" i="1"/>
  <c r="G2018" i="1"/>
  <c r="A2019" i="1"/>
  <c r="B2019" i="1" s="1"/>
  <c r="C2019" i="1"/>
  <c r="D2019" i="1"/>
  <c r="E2019" i="1"/>
  <c r="F2019" i="1"/>
  <c r="G2019" i="1" s="1"/>
  <c r="A2020" i="1"/>
  <c r="B2020" i="1" s="1"/>
  <c r="C2020" i="1"/>
  <c r="D2020" i="1"/>
  <c r="E2020" i="1"/>
  <c r="F2020" i="1"/>
  <c r="G2020" i="1" s="1"/>
  <c r="A2021" i="1"/>
  <c r="B2021" i="1" s="1"/>
  <c r="C2021" i="1"/>
  <c r="D2021" i="1"/>
  <c r="E2021" i="1"/>
  <c r="F2021" i="1"/>
  <c r="G2021" i="1" s="1"/>
  <c r="A2022" i="1"/>
  <c r="B2022" i="1" s="1"/>
  <c r="C2022" i="1"/>
  <c r="D2022" i="1"/>
  <c r="E2022" i="1"/>
  <c r="F2022" i="1"/>
  <c r="G2022" i="1" s="1"/>
  <c r="A2023" i="1"/>
  <c r="B2023" i="1" s="1"/>
  <c r="C2023" i="1"/>
  <c r="D2023" i="1"/>
  <c r="E2023" i="1"/>
  <c r="F2023" i="1"/>
  <c r="G2023" i="1" s="1"/>
  <c r="A2024" i="1"/>
  <c r="B2024" i="1" s="1"/>
  <c r="C2024" i="1"/>
  <c r="D2024" i="1"/>
  <c r="E2024" i="1"/>
  <c r="F2024" i="1"/>
  <c r="G2024" i="1" s="1"/>
  <c r="A2025" i="1"/>
  <c r="B2025" i="1"/>
  <c r="C2025" i="1"/>
  <c r="D2025" i="1"/>
  <c r="E2025" i="1"/>
  <c r="F2025" i="1"/>
  <c r="G2025" i="1" s="1"/>
  <c r="A2026" i="1"/>
  <c r="B2026" i="1" s="1"/>
  <c r="C2026" i="1"/>
  <c r="D2026" i="1"/>
  <c r="E2026" i="1"/>
  <c r="F2026" i="1"/>
  <c r="G2026" i="1" s="1"/>
  <c r="A2027" i="1"/>
  <c r="B2027" i="1" s="1"/>
  <c r="C2027" i="1"/>
  <c r="D2027" i="1"/>
  <c r="E2027" i="1"/>
  <c r="F2027" i="1"/>
  <c r="G2027" i="1" s="1"/>
  <c r="A2028" i="1"/>
  <c r="B2028" i="1"/>
  <c r="C2028" i="1"/>
  <c r="D2028" i="1"/>
  <c r="E2028" i="1"/>
  <c r="F2028" i="1"/>
  <c r="G2028" i="1" s="1"/>
  <c r="A2029" i="1"/>
  <c r="B2029" i="1" s="1"/>
  <c r="C2029" i="1"/>
  <c r="D2029" i="1"/>
  <c r="E2029" i="1"/>
  <c r="F2029" i="1"/>
  <c r="G2029" i="1"/>
  <c r="A2030" i="1"/>
  <c r="B2030" i="1"/>
  <c r="C2030" i="1"/>
  <c r="D2030" i="1"/>
  <c r="E2030" i="1"/>
  <c r="F2030" i="1"/>
  <c r="G2030" i="1" s="1"/>
  <c r="A2031" i="1"/>
  <c r="B2031" i="1" s="1"/>
  <c r="C2031" i="1"/>
  <c r="D2031" i="1"/>
  <c r="E2031" i="1"/>
  <c r="F2031" i="1"/>
  <c r="G2031" i="1" s="1"/>
  <c r="A2032" i="1"/>
  <c r="B2032" i="1" s="1"/>
  <c r="C2032" i="1"/>
  <c r="D2032" i="1"/>
  <c r="E2032" i="1"/>
  <c r="F2032" i="1"/>
  <c r="G2032" i="1" s="1"/>
  <c r="A2033" i="1"/>
  <c r="B2033" i="1" s="1"/>
  <c r="C2033" i="1"/>
  <c r="D2033" i="1"/>
  <c r="E2033" i="1"/>
  <c r="F2033" i="1"/>
  <c r="G2033" i="1" s="1"/>
  <c r="A2034" i="1"/>
  <c r="B2034" i="1" s="1"/>
  <c r="C2034" i="1"/>
  <c r="D2034" i="1"/>
  <c r="E2034" i="1"/>
  <c r="F2034" i="1"/>
  <c r="G2034" i="1" s="1"/>
  <c r="A2035" i="1"/>
  <c r="B2035" i="1" s="1"/>
  <c r="C2035" i="1"/>
  <c r="D2035" i="1"/>
  <c r="E2035" i="1"/>
  <c r="F2035" i="1"/>
  <c r="G2035" i="1" s="1"/>
  <c r="A2036" i="1"/>
  <c r="B2036" i="1" s="1"/>
  <c r="C2036" i="1"/>
  <c r="D2036" i="1"/>
  <c r="E2036" i="1"/>
  <c r="F2036" i="1"/>
  <c r="G2036" i="1" s="1"/>
  <c r="A2037" i="1"/>
  <c r="B2037" i="1" s="1"/>
  <c r="C2037" i="1"/>
  <c r="D2037" i="1"/>
  <c r="E2037" i="1"/>
  <c r="F2037" i="1"/>
  <c r="G2037" i="1" s="1"/>
  <c r="A2038" i="1"/>
  <c r="B2038" i="1" s="1"/>
  <c r="C2038" i="1"/>
  <c r="D2038" i="1"/>
  <c r="E2038" i="1"/>
  <c r="F2038" i="1"/>
  <c r="G2038" i="1" s="1"/>
  <c r="A2039" i="1"/>
  <c r="B2039" i="1" s="1"/>
  <c r="C2039" i="1"/>
  <c r="D2039" i="1"/>
  <c r="E2039" i="1"/>
  <c r="F2039" i="1"/>
  <c r="G2039" i="1" s="1"/>
  <c r="A2040" i="1"/>
  <c r="B2040" i="1" s="1"/>
  <c r="C2040" i="1"/>
  <c r="D2040" i="1"/>
  <c r="E2040" i="1"/>
  <c r="F2040" i="1"/>
  <c r="G2040" i="1" s="1"/>
  <c r="A2041" i="1"/>
  <c r="B2041" i="1" s="1"/>
  <c r="C2041" i="1"/>
  <c r="D2041" i="1"/>
  <c r="E2041" i="1"/>
  <c r="F2041" i="1"/>
  <c r="G2041" i="1" s="1"/>
  <c r="A2042" i="1"/>
  <c r="B2042" i="1"/>
  <c r="C2042" i="1"/>
  <c r="D2042" i="1"/>
  <c r="E2042" i="1"/>
  <c r="F2042" i="1"/>
  <c r="G2042" i="1" s="1"/>
  <c r="A2043" i="1"/>
  <c r="B2043" i="1" s="1"/>
  <c r="C2043" i="1"/>
  <c r="D2043" i="1"/>
  <c r="E2043" i="1"/>
  <c r="F2043" i="1"/>
  <c r="G2043" i="1" s="1"/>
  <c r="A2044" i="1"/>
  <c r="B2044" i="1"/>
  <c r="C2044" i="1"/>
  <c r="D2044" i="1"/>
  <c r="E2044" i="1"/>
  <c r="F2044" i="1"/>
  <c r="G2044" i="1" s="1"/>
  <c r="A2045" i="1"/>
  <c r="B2045" i="1" s="1"/>
  <c r="C2045" i="1"/>
  <c r="D2045" i="1"/>
  <c r="E2045" i="1"/>
  <c r="F2045" i="1"/>
  <c r="G2045" i="1" s="1"/>
  <c r="A2046" i="1"/>
  <c r="B2046" i="1" s="1"/>
  <c r="C2046" i="1"/>
  <c r="D2046" i="1"/>
  <c r="E2046" i="1"/>
  <c r="F2046" i="1"/>
  <c r="G2046" i="1" s="1"/>
  <c r="A2047" i="1"/>
  <c r="B2047" i="1" s="1"/>
  <c r="C2047" i="1"/>
  <c r="D2047" i="1"/>
  <c r="E2047" i="1"/>
  <c r="F2047" i="1"/>
  <c r="G2047" i="1" s="1"/>
  <c r="A2048" i="1"/>
  <c r="B2048" i="1" s="1"/>
  <c r="C2048" i="1"/>
  <c r="D2048" i="1"/>
  <c r="E2048" i="1"/>
  <c r="F2048" i="1"/>
  <c r="G2048" i="1" s="1"/>
  <c r="A2049" i="1"/>
  <c r="B2049" i="1" s="1"/>
  <c r="C2049" i="1"/>
  <c r="D2049" i="1"/>
  <c r="E2049" i="1"/>
  <c r="F2049" i="1"/>
  <c r="G2049" i="1" s="1"/>
  <c r="A2050" i="1"/>
  <c r="B2050" i="1" s="1"/>
  <c r="C2050" i="1"/>
  <c r="D2050" i="1"/>
  <c r="E2050" i="1"/>
  <c r="F2050" i="1"/>
  <c r="G2050" i="1" s="1"/>
  <c r="A2051" i="1"/>
  <c r="B2051" i="1" s="1"/>
  <c r="C2051" i="1"/>
  <c r="D2051" i="1"/>
  <c r="E2051" i="1"/>
  <c r="F2051" i="1"/>
  <c r="G2051" i="1" s="1"/>
  <c r="A2052" i="1"/>
  <c r="B2052" i="1" s="1"/>
  <c r="C2052" i="1"/>
  <c r="D2052" i="1"/>
  <c r="E2052" i="1"/>
  <c r="F2052" i="1"/>
  <c r="G2052" i="1" s="1"/>
  <c r="A2053" i="1"/>
  <c r="B2053" i="1" s="1"/>
  <c r="C2053" i="1"/>
  <c r="D2053" i="1"/>
  <c r="E2053" i="1"/>
  <c r="F2053" i="1"/>
  <c r="G2053" i="1" s="1"/>
  <c r="A2054" i="1"/>
  <c r="B2054" i="1"/>
  <c r="C2054" i="1"/>
  <c r="D2054" i="1"/>
  <c r="E2054" i="1"/>
  <c r="F2054" i="1"/>
  <c r="G2054" i="1" s="1"/>
  <c r="A2055" i="1"/>
  <c r="B2055" i="1" s="1"/>
  <c r="C2055" i="1"/>
  <c r="D2055" i="1"/>
  <c r="E2055" i="1"/>
  <c r="F2055" i="1"/>
  <c r="G2055" i="1" s="1"/>
  <c r="A2056" i="1"/>
  <c r="B2056" i="1" s="1"/>
  <c r="C2056" i="1"/>
  <c r="D2056" i="1"/>
  <c r="E2056" i="1"/>
  <c r="F2056" i="1"/>
  <c r="G2056" i="1" s="1"/>
  <c r="A2057" i="1"/>
  <c r="B2057" i="1" s="1"/>
  <c r="C2057" i="1"/>
  <c r="D2057" i="1"/>
  <c r="E2057" i="1"/>
  <c r="F2057" i="1"/>
  <c r="G2057" i="1" s="1"/>
  <c r="A2058" i="1"/>
  <c r="B2058" i="1" s="1"/>
  <c r="C2058" i="1"/>
  <c r="D2058" i="1"/>
  <c r="E2058" i="1"/>
  <c r="F2058" i="1"/>
  <c r="G2058" i="1" s="1"/>
  <c r="A2059" i="1"/>
  <c r="B2059" i="1" s="1"/>
  <c r="C2059" i="1"/>
  <c r="D2059" i="1"/>
  <c r="E2059" i="1"/>
  <c r="F2059" i="1"/>
  <c r="G2059" i="1" s="1"/>
  <c r="A2060" i="1"/>
  <c r="B2060" i="1" s="1"/>
  <c r="C2060" i="1"/>
  <c r="D2060" i="1"/>
  <c r="E2060" i="1"/>
  <c r="F2060" i="1"/>
  <c r="G2060" i="1" s="1"/>
  <c r="A2061" i="1"/>
  <c r="B2061" i="1"/>
  <c r="C2061" i="1"/>
  <c r="D2061" i="1"/>
  <c r="E2061" i="1"/>
  <c r="F2061" i="1"/>
  <c r="G2061" i="1" s="1"/>
  <c r="A2062" i="1"/>
  <c r="B2062" i="1" s="1"/>
  <c r="C2062" i="1"/>
  <c r="D2062" i="1"/>
  <c r="E2062" i="1"/>
  <c r="F2062" i="1"/>
  <c r="G2062" i="1" s="1"/>
  <c r="A2063" i="1"/>
  <c r="B2063" i="1" s="1"/>
  <c r="C2063" i="1"/>
  <c r="D2063" i="1"/>
  <c r="E2063" i="1"/>
  <c r="F2063" i="1"/>
  <c r="G2063" i="1" s="1"/>
  <c r="A2064" i="1"/>
  <c r="B2064" i="1"/>
  <c r="C2064" i="1"/>
  <c r="D2064" i="1"/>
  <c r="E2064" i="1"/>
  <c r="F2064" i="1"/>
  <c r="G2064" i="1" s="1"/>
  <c r="A2065" i="1"/>
  <c r="B2065" i="1" s="1"/>
  <c r="C2065" i="1"/>
  <c r="D2065" i="1"/>
  <c r="E2065" i="1"/>
  <c r="F2065" i="1"/>
  <c r="G2065" i="1" s="1"/>
  <c r="A2066" i="1"/>
  <c r="B2066" i="1" s="1"/>
  <c r="C2066" i="1"/>
  <c r="D2066" i="1"/>
  <c r="E2066" i="1"/>
  <c r="F2066" i="1"/>
  <c r="G2066" i="1" s="1"/>
  <c r="A2067" i="1"/>
  <c r="B2067" i="1" s="1"/>
  <c r="C2067" i="1"/>
  <c r="D2067" i="1"/>
  <c r="E2067" i="1"/>
  <c r="F2067" i="1"/>
  <c r="G2067" i="1" s="1"/>
  <c r="A2068" i="1"/>
  <c r="B2068" i="1" s="1"/>
  <c r="C2068" i="1"/>
  <c r="D2068" i="1"/>
  <c r="E2068" i="1"/>
  <c r="F2068" i="1"/>
  <c r="G2068" i="1"/>
  <c r="A2069" i="1"/>
  <c r="B2069" i="1" s="1"/>
  <c r="C2069" i="1"/>
  <c r="D2069" i="1"/>
  <c r="E2069" i="1"/>
  <c r="F2069" i="1"/>
  <c r="G2069" i="1" s="1"/>
  <c r="A2070" i="1"/>
  <c r="B2070" i="1"/>
  <c r="C2070" i="1"/>
  <c r="D2070" i="1"/>
  <c r="E2070" i="1"/>
  <c r="F2070" i="1"/>
  <c r="G2070" i="1" s="1"/>
  <c r="A2071" i="1"/>
  <c r="B2071" i="1" s="1"/>
  <c r="C2071" i="1"/>
  <c r="D2071" i="1"/>
  <c r="E2071" i="1"/>
  <c r="F2071" i="1"/>
  <c r="G2071" i="1" s="1"/>
  <c r="A2072" i="1"/>
  <c r="B2072" i="1" s="1"/>
  <c r="C2072" i="1"/>
  <c r="D2072" i="1"/>
  <c r="E2072" i="1"/>
  <c r="F2072" i="1"/>
  <c r="G2072" i="1" s="1"/>
  <c r="A2073" i="1"/>
  <c r="B2073" i="1" s="1"/>
  <c r="C2073" i="1"/>
  <c r="D2073" i="1"/>
  <c r="E2073" i="1"/>
  <c r="F2073" i="1"/>
  <c r="G2073" i="1" s="1"/>
  <c r="A2074" i="1"/>
  <c r="B2074" i="1"/>
  <c r="C2074" i="1"/>
  <c r="D2074" i="1"/>
  <c r="E2074" i="1"/>
  <c r="F2074" i="1"/>
  <c r="G2074" i="1" s="1"/>
  <c r="A2075" i="1"/>
  <c r="B2075" i="1" s="1"/>
  <c r="C2075" i="1"/>
  <c r="D2075" i="1"/>
  <c r="E2075" i="1"/>
  <c r="F2075" i="1"/>
  <c r="G2075" i="1" s="1"/>
  <c r="A2076" i="1"/>
  <c r="B2076" i="1" s="1"/>
  <c r="C2076" i="1"/>
  <c r="D2076" i="1"/>
  <c r="E2076" i="1"/>
  <c r="F2076" i="1"/>
  <c r="G2076" i="1" s="1"/>
  <c r="A2077" i="1"/>
  <c r="B2077" i="1" s="1"/>
  <c r="C2077" i="1"/>
  <c r="D2077" i="1"/>
  <c r="E2077" i="1"/>
  <c r="F2077" i="1"/>
  <c r="G2077" i="1" s="1"/>
  <c r="A2078" i="1"/>
  <c r="B2078" i="1" s="1"/>
  <c r="C2078" i="1"/>
  <c r="D2078" i="1"/>
  <c r="E2078" i="1"/>
  <c r="F2078" i="1"/>
  <c r="G2078" i="1" s="1"/>
  <c r="A2079" i="1"/>
  <c r="B2079" i="1" s="1"/>
  <c r="C2079" i="1"/>
  <c r="D2079" i="1"/>
  <c r="E2079" i="1"/>
  <c r="F2079" i="1"/>
  <c r="G2079" i="1" s="1"/>
  <c r="A2080" i="1"/>
  <c r="B2080" i="1" s="1"/>
  <c r="C2080" i="1"/>
  <c r="D2080" i="1"/>
  <c r="E2080" i="1"/>
  <c r="F2080" i="1"/>
  <c r="G2080" i="1" s="1"/>
  <c r="A2081" i="1"/>
  <c r="B2081" i="1" s="1"/>
  <c r="C2081" i="1"/>
  <c r="D2081" i="1"/>
  <c r="E2081" i="1"/>
  <c r="F2081" i="1"/>
  <c r="G2081" i="1" s="1"/>
  <c r="A2082" i="1"/>
  <c r="B2082" i="1" s="1"/>
  <c r="C2082" i="1"/>
  <c r="D2082" i="1"/>
  <c r="E2082" i="1"/>
  <c r="F2082" i="1"/>
  <c r="G2082" i="1" s="1"/>
  <c r="A2083" i="1"/>
  <c r="B2083" i="1" s="1"/>
  <c r="C2083" i="1"/>
  <c r="D2083" i="1"/>
  <c r="E2083" i="1"/>
  <c r="F2083" i="1"/>
  <c r="G2083" i="1"/>
  <c r="A2084" i="1"/>
  <c r="B2084" i="1" s="1"/>
  <c r="C2084" i="1"/>
  <c r="D2084" i="1"/>
  <c r="E2084" i="1"/>
  <c r="F2084" i="1"/>
  <c r="G2084" i="1" s="1"/>
  <c r="A2085" i="1"/>
  <c r="B2085" i="1" s="1"/>
  <c r="C2085" i="1"/>
  <c r="D2085" i="1"/>
  <c r="E2085" i="1"/>
  <c r="F2085" i="1"/>
  <c r="G2085" i="1" s="1"/>
  <c r="A2086" i="1"/>
  <c r="B2086" i="1"/>
  <c r="C2086" i="1"/>
  <c r="D2086" i="1"/>
  <c r="E2086" i="1"/>
  <c r="F2086" i="1"/>
  <c r="G2086" i="1" s="1"/>
  <c r="A2087" i="1"/>
  <c r="B2087" i="1" s="1"/>
  <c r="C2087" i="1"/>
  <c r="D2087" i="1"/>
  <c r="E2087" i="1"/>
  <c r="F2087" i="1"/>
  <c r="G2087" i="1" s="1"/>
  <c r="A2088" i="1"/>
  <c r="B2088" i="1"/>
  <c r="C2088" i="1"/>
  <c r="D2088" i="1"/>
  <c r="E2088" i="1"/>
  <c r="F2088" i="1"/>
  <c r="G2088" i="1" s="1"/>
  <c r="A2089" i="1"/>
  <c r="B2089" i="1" s="1"/>
  <c r="C2089" i="1"/>
  <c r="D2089" i="1"/>
  <c r="E2089" i="1"/>
  <c r="F2089" i="1"/>
  <c r="G2089" i="1" s="1"/>
  <c r="A2090" i="1"/>
  <c r="B2090" i="1"/>
  <c r="C2090" i="1"/>
  <c r="D2090" i="1"/>
  <c r="E2090" i="1"/>
  <c r="F2090" i="1"/>
  <c r="G2090" i="1"/>
  <c r="A2091" i="1"/>
  <c r="B2091" i="1" s="1"/>
  <c r="C2091" i="1"/>
  <c r="D2091" i="1"/>
  <c r="E2091" i="1"/>
  <c r="F2091" i="1"/>
  <c r="G2091" i="1" s="1"/>
  <c r="A2092" i="1"/>
  <c r="B2092" i="1" s="1"/>
  <c r="C2092" i="1"/>
  <c r="D2092" i="1"/>
  <c r="E2092" i="1"/>
  <c r="F2092" i="1"/>
  <c r="G2092" i="1" s="1"/>
  <c r="A2093" i="1"/>
  <c r="B2093" i="1" s="1"/>
  <c r="C2093" i="1"/>
  <c r="D2093" i="1"/>
  <c r="E2093" i="1"/>
  <c r="F2093" i="1"/>
  <c r="G2093" i="1" s="1"/>
  <c r="A2094" i="1"/>
  <c r="B2094" i="1" s="1"/>
  <c r="C2094" i="1"/>
  <c r="D2094" i="1"/>
  <c r="E2094" i="1"/>
  <c r="F2094" i="1"/>
  <c r="G2094" i="1" s="1"/>
  <c r="A2095" i="1"/>
  <c r="B2095" i="1" s="1"/>
  <c r="C2095" i="1"/>
  <c r="D2095" i="1"/>
  <c r="E2095" i="1"/>
  <c r="F2095" i="1"/>
  <c r="G2095" i="1" s="1"/>
  <c r="A2096" i="1"/>
  <c r="B2096" i="1"/>
  <c r="C2096" i="1"/>
  <c r="D2096" i="1"/>
  <c r="E2096" i="1"/>
  <c r="F2096" i="1"/>
  <c r="G2096" i="1" s="1"/>
  <c r="A2097" i="1"/>
  <c r="B2097" i="1" s="1"/>
  <c r="C2097" i="1"/>
  <c r="D2097" i="1"/>
  <c r="E2097" i="1"/>
  <c r="F2097" i="1"/>
  <c r="G2097" i="1" s="1"/>
  <c r="A2098" i="1"/>
  <c r="B2098" i="1" s="1"/>
  <c r="C2098" i="1"/>
  <c r="D2098" i="1"/>
  <c r="E2098" i="1"/>
  <c r="F2098" i="1"/>
  <c r="G2098" i="1" s="1"/>
  <c r="A2099" i="1"/>
  <c r="B2099" i="1" s="1"/>
  <c r="C2099" i="1"/>
  <c r="D2099" i="1"/>
  <c r="E2099" i="1"/>
  <c r="F2099" i="1"/>
  <c r="G2099" i="1" s="1"/>
  <c r="A2100" i="1"/>
  <c r="B2100" i="1" s="1"/>
  <c r="C2100" i="1"/>
  <c r="D2100" i="1"/>
  <c r="E2100" i="1"/>
  <c r="F2100" i="1"/>
  <c r="G2100" i="1" s="1"/>
  <c r="A2101" i="1"/>
  <c r="B2101" i="1" s="1"/>
  <c r="C2101" i="1"/>
  <c r="D2101" i="1"/>
  <c r="E2101" i="1"/>
  <c r="F2101" i="1"/>
  <c r="G2101" i="1" s="1"/>
  <c r="A2102" i="1"/>
  <c r="B2102" i="1" s="1"/>
  <c r="C2102" i="1"/>
  <c r="D2102" i="1"/>
  <c r="E2102" i="1"/>
  <c r="F2102" i="1"/>
  <c r="G2102" i="1" s="1"/>
  <c r="A2103" i="1"/>
  <c r="B2103" i="1" s="1"/>
  <c r="C2103" i="1"/>
  <c r="D2103" i="1"/>
  <c r="E2103" i="1"/>
  <c r="F2103" i="1"/>
  <c r="G2103" i="1" s="1"/>
  <c r="A2104" i="1"/>
  <c r="B2104" i="1" s="1"/>
  <c r="C2104" i="1"/>
  <c r="D2104" i="1"/>
  <c r="E2104" i="1"/>
  <c r="F2104" i="1"/>
  <c r="G2104" i="1" s="1"/>
  <c r="A2105" i="1"/>
  <c r="B2105" i="1" s="1"/>
  <c r="C2105" i="1"/>
  <c r="D2105" i="1"/>
  <c r="E2105" i="1"/>
  <c r="F2105" i="1"/>
  <c r="G2105" i="1" s="1"/>
  <c r="A2106" i="1"/>
  <c r="B2106" i="1" s="1"/>
  <c r="C2106" i="1"/>
  <c r="D2106" i="1"/>
  <c r="E2106" i="1"/>
  <c r="F2106" i="1"/>
  <c r="G2106" i="1" s="1"/>
  <c r="A2107" i="1"/>
  <c r="B2107" i="1" s="1"/>
  <c r="C2107" i="1"/>
  <c r="D2107" i="1"/>
  <c r="E2107" i="1"/>
  <c r="F2107" i="1"/>
  <c r="G2107" i="1" s="1"/>
  <c r="A2108" i="1"/>
  <c r="B2108" i="1" s="1"/>
  <c r="C2108" i="1"/>
  <c r="D2108" i="1"/>
  <c r="E2108" i="1"/>
  <c r="F2108" i="1"/>
  <c r="G2108" i="1" s="1"/>
  <c r="A2109" i="1"/>
  <c r="B2109" i="1" s="1"/>
  <c r="C2109" i="1"/>
  <c r="D2109" i="1"/>
  <c r="E2109" i="1"/>
  <c r="F2109" i="1"/>
  <c r="G2109" i="1" s="1"/>
  <c r="A2110" i="1"/>
  <c r="B2110" i="1" s="1"/>
  <c r="C2110" i="1"/>
  <c r="D2110" i="1"/>
  <c r="E2110" i="1"/>
  <c r="F2110" i="1"/>
  <c r="G2110" i="1" s="1"/>
  <c r="A2111" i="1"/>
  <c r="B2111" i="1" s="1"/>
  <c r="C2111" i="1"/>
  <c r="D2111" i="1"/>
  <c r="E2111" i="1"/>
  <c r="F2111" i="1"/>
  <c r="G2111" i="1" s="1"/>
  <c r="A2112" i="1"/>
  <c r="B2112" i="1" s="1"/>
  <c r="C2112" i="1"/>
  <c r="D2112" i="1"/>
  <c r="E2112" i="1"/>
  <c r="F2112" i="1"/>
  <c r="G2112" i="1" s="1"/>
  <c r="A2113" i="1"/>
  <c r="B2113" i="1" s="1"/>
  <c r="C2113" i="1"/>
  <c r="D2113" i="1"/>
  <c r="E2113" i="1"/>
  <c r="F2113" i="1"/>
  <c r="G2113" i="1"/>
  <c r="A2114" i="1"/>
  <c r="B2114" i="1" s="1"/>
  <c r="C2114" i="1"/>
  <c r="D2114" i="1"/>
  <c r="E2114" i="1"/>
  <c r="F2114" i="1"/>
  <c r="G2114" i="1" s="1"/>
  <c r="A2115" i="1"/>
  <c r="B2115" i="1"/>
  <c r="C2115" i="1"/>
  <c r="D2115" i="1"/>
  <c r="E2115" i="1"/>
  <c r="F2115" i="1"/>
  <c r="G2115" i="1" s="1"/>
  <c r="A2116" i="1"/>
  <c r="B2116" i="1" s="1"/>
  <c r="C2116" i="1"/>
  <c r="D2116" i="1"/>
  <c r="E2116" i="1"/>
  <c r="F2116" i="1"/>
  <c r="G2116" i="1" s="1"/>
  <c r="A2117" i="1"/>
  <c r="B2117" i="1" s="1"/>
  <c r="C2117" i="1"/>
  <c r="D2117" i="1"/>
  <c r="E2117" i="1"/>
  <c r="F2117" i="1"/>
  <c r="G2117" i="1" s="1"/>
  <c r="A2118" i="1"/>
  <c r="B2118" i="1" s="1"/>
  <c r="C2118" i="1"/>
  <c r="D2118" i="1"/>
  <c r="E2118" i="1"/>
  <c r="F2118" i="1"/>
  <c r="G2118" i="1" s="1"/>
  <c r="A2119" i="1"/>
  <c r="B2119" i="1" s="1"/>
  <c r="C2119" i="1"/>
  <c r="D2119" i="1"/>
  <c r="E2119" i="1"/>
  <c r="F2119" i="1"/>
  <c r="G2119" i="1" s="1"/>
  <c r="A2120" i="1"/>
  <c r="B2120" i="1" s="1"/>
  <c r="C2120" i="1"/>
  <c r="D2120" i="1"/>
  <c r="E2120" i="1"/>
  <c r="F2120" i="1"/>
  <c r="G2120" i="1" s="1"/>
  <c r="A2121" i="1"/>
  <c r="B2121" i="1" s="1"/>
  <c r="C2121" i="1"/>
  <c r="D2121" i="1"/>
  <c r="E2121" i="1"/>
  <c r="F2121" i="1"/>
  <c r="G2121" i="1" s="1"/>
  <c r="A2122" i="1"/>
  <c r="B2122" i="1" s="1"/>
  <c r="C2122" i="1"/>
  <c r="D2122" i="1"/>
  <c r="E2122" i="1"/>
  <c r="F2122" i="1"/>
  <c r="G2122" i="1" s="1"/>
  <c r="A2123" i="1"/>
  <c r="B2123" i="1" s="1"/>
  <c r="C2123" i="1"/>
  <c r="D2123" i="1"/>
  <c r="E2123" i="1"/>
  <c r="F2123" i="1"/>
  <c r="G2123" i="1" s="1"/>
  <c r="A2124" i="1"/>
  <c r="B2124" i="1"/>
  <c r="C2124" i="1"/>
  <c r="D2124" i="1"/>
  <c r="E2124" i="1"/>
  <c r="F2124" i="1"/>
  <c r="G2124" i="1" s="1"/>
  <c r="A2125" i="1"/>
  <c r="B2125" i="1" s="1"/>
  <c r="C2125" i="1"/>
  <c r="D2125" i="1"/>
  <c r="E2125" i="1"/>
  <c r="F2125" i="1"/>
  <c r="G2125" i="1" s="1"/>
  <c r="A2126" i="1"/>
  <c r="B2126" i="1" s="1"/>
  <c r="C2126" i="1"/>
  <c r="D2126" i="1"/>
  <c r="E2126" i="1"/>
  <c r="F2126" i="1"/>
  <c r="G2126" i="1" s="1"/>
  <c r="A2127" i="1"/>
  <c r="B2127" i="1"/>
  <c r="C2127" i="1"/>
  <c r="D2127" i="1"/>
  <c r="E2127" i="1"/>
  <c r="F2127" i="1"/>
  <c r="G2127" i="1" s="1"/>
  <c r="A2128" i="1"/>
  <c r="B2128" i="1" s="1"/>
  <c r="C2128" i="1"/>
  <c r="D2128" i="1"/>
  <c r="E2128" i="1"/>
  <c r="F2128" i="1"/>
  <c r="G2128" i="1" s="1"/>
  <c r="A2129" i="1"/>
  <c r="B2129" i="1" s="1"/>
  <c r="C2129" i="1"/>
  <c r="D2129" i="1"/>
  <c r="E2129" i="1"/>
  <c r="F2129" i="1"/>
  <c r="G2129" i="1" s="1"/>
  <c r="A2130" i="1"/>
  <c r="B2130" i="1" s="1"/>
  <c r="C2130" i="1"/>
  <c r="D2130" i="1"/>
  <c r="E2130" i="1"/>
  <c r="F2130" i="1"/>
  <c r="G2130" i="1" s="1"/>
  <c r="A2131" i="1"/>
  <c r="B2131" i="1" s="1"/>
  <c r="C2131" i="1"/>
  <c r="D2131" i="1"/>
  <c r="E2131" i="1"/>
  <c r="F2131" i="1"/>
  <c r="G2131" i="1" s="1"/>
  <c r="A2132" i="1"/>
  <c r="B2132" i="1" s="1"/>
  <c r="C2132" i="1"/>
  <c r="D2132" i="1"/>
  <c r="E2132" i="1"/>
  <c r="F2132" i="1"/>
  <c r="G2132" i="1" s="1"/>
  <c r="A2133" i="1"/>
  <c r="B2133" i="1" s="1"/>
  <c r="C2133" i="1"/>
  <c r="D2133" i="1"/>
  <c r="E2133" i="1"/>
  <c r="F2133" i="1"/>
  <c r="G2133" i="1" s="1"/>
  <c r="A2134" i="1"/>
  <c r="B2134" i="1" s="1"/>
  <c r="C2134" i="1"/>
  <c r="D2134" i="1"/>
  <c r="E2134" i="1"/>
  <c r="F2134" i="1"/>
  <c r="G2134" i="1" s="1"/>
  <c r="A2135" i="1"/>
  <c r="B2135" i="1" s="1"/>
  <c r="C2135" i="1"/>
  <c r="D2135" i="1"/>
  <c r="E2135" i="1"/>
  <c r="F2135" i="1"/>
  <c r="G2135" i="1" s="1"/>
  <c r="A2136" i="1"/>
  <c r="B2136" i="1"/>
  <c r="C2136" i="1"/>
  <c r="D2136" i="1"/>
  <c r="E2136" i="1"/>
  <c r="F2136" i="1"/>
  <c r="G2136" i="1" s="1"/>
  <c r="A2137" i="1"/>
  <c r="B2137" i="1" s="1"/>
  <c r="C2137" i="1"/>
  <c r="D2137" i="1"/>
  <c r="E2137" i="1"/>
  <c r="F2137" i="1"/>
  <c r="G2137" i="1" s="1"/>
  <c r="A2138" i="1"/>
  <c r="B2138" i="1"/>
  <c r="C2138" i="1"/>
  <c r="D2138" i="1"/>
  <c r="E2138" i="1"/>
  <c r="F2138" i="1"/>
  <c r="G2138" i="1" s="1"/>
  <c r="A2139" i="1"/>
  <c r="B2139" i="1" s="1"/>
  <c r="C2139" i="1"/>
  <c r="D2139" i="1"/>
  <c r="E2139" i="1"/>
  <c r="F2139" i="1"/>
  <c r="G2139" i="1" s="1"/>
  <c r="A2140" i="1"/>
  <c r="B2140" i="1" s="1"/>
  <c r="C2140" i="1"/>
  <c r="D2140" i="1"/>
  <c r="E2140" i="1"/>
  <c r="F2140" i="1"/>
  <c r="G2140" i="1" s="1"/>
  <c r="A2141" i="1"/>
  <c r="B2141" i="1" s="1"/>
  <c r="C2141" i="1"/>
  <c r="D2141" i="1"/>
  <c r="E2141" i="1"/>
  <c r="F2141" i="1"/>
  <c r="G2141" i="1" s="1"/>
  <c r="A2142" i="1"/>
  <c r="B2142" i="1"/>
  <c r="C2142" i="1"/>
  <c r="D2142" i="1"/>
  <c r="E2142" i="1"/>
  <c r="F2142" i="1"/>
  <c r="G2142" i="1" s="1"/>
  <c r="A2143" i="1"/>
  <c r="B2143" i="1" s="1"/>
  <c r="C2143" i="1"/>
  <c r="D2143" i="1"/>
  <c r="E2143" i="1"/>
  <c r="F2143" i="1"/>
  <c r="G2143" i="1" s="1"/>
  <c r="A2144" i="1"/>
  <c r="B2144" i="1" s="1"/>
  <c r="C2144" i="1"/>
  <c r="D2144" i="1"/>
  <c r="E2144" i="1"/>
  <c r="F2144" i="1"/>
  <c r="G2144" i="1" s="1"/>
  <c r="A2145" i="1"/>
  <c r="B2145" i="1" s="1"/>
  <c r="C2145" i="1"/>
  <c r="D2145" i="1"/>
  <c r="E2145" i="1"/>
  <c r="F2145" i="1"/>
  <c r="G2145" i="1" s="1"/>
  <c r="A2146" i="1"/>
  <c r="B2146" i="1" s="1"/>
  <c r="C2146" i="1"/>
  <c r="D2146" i="1"/>
  <c r="E2146" i="1"/>
  <c r="F2146" i="1"/>
  <c r="G2146" i="1" s="1"/>
  <c r="A2147" i="1"/>
  <c r="B2147" i="1" s="1"/>
  <c r="C2147" i="1"/>
  <c r="D2147" i="1"/>
  <c r="E2147" i="1"/>
  <c r="F2147" i="1"/>
  <c r="G2147" i="1" s="1"/>
  <c r="A2148" i="1"/>
  <c r="B2148" i="1" s="1"/>
  <c r="C2148" i="1"/>
  <c r="D2148" i="1"/>
  <c r="E2148" i="1"/>
  <c r="F2148" i="1"/>
  <c r="G2148" i="1" s="1"/>
  <c r="A2149" i="1"/>
  <c r="B2149" i="1" s="1"/>
  <c r="C2149" i="1"/>
  <c r="D2149" i="1"/>
  <c r="E2149" i="1"/>
  <c r="F2149" i="1"/>
  <c r="G2149" i="1" s="1"/>
  <c r="A2150" i="1"/>
  <c r="B2150" i="1" s="1"/>
  <c r="C2150" i="1"/>
  <c r="D2150" i="1"/>
  <c r="E2150" i="1"/>
  <c r="F2150" i="1"/>
  <c r="G2150" i="1" s="1"/>
  <c r="A2151" i="1"/>
  <c r="B2151" i="1" s="1"/>
  <c r="C2151" i="1"/>
  <c r="D2151" i="1"/>
  <c r="E2151" i="1"/>
  <c r="F2151" i="1"/>
  <c r="G2151" i="1" s="1"/>
  <c r="A2152" i="1"/>
  <c r="B2152" i="1" s="1"/>
  <c r="C2152" i="1"/>
  <c r="D2152" i="1"/>
  <c r="E2152" i="1"/>
  <c r="F2152" i="1"/>
  <c r="G2152" i="1" s="1"/>
  <c r="A2153" i="1"/>
  <c r="B2153" i="1" s="1"/>
  <c r="C2153" i="1"/>
  <c r="D2153" i="1"/>
  <c r="E2153" i="1"/>
  <c r="F2153" i="1"/>
  <c r="G2153" i="1" s="1"/>
  <c r="A2154" i="1"/>
  <c r="B2154" i="1" s="1"/>
  <c r="C2154" i="1"/>
  <c r="D2154" i="1"/>
  <c r="E2154" i="1"/>
  <c r="F2154" i="1"/>
  <c r="G2154" i="1" s="1"/>
  <c r="A2155" i="1"/>
  <c r="B2155" i="1" s="1"/>
  <c r="C2155" i="1"/>
  <c r="D2155" i="1"/>
  <c r="E2155" i="1"/>
  <c r="F2155" i="1"/>
  <c r="G2155" i="1"/>
  <c r="A2156" i="1"/>
  <c r="B2156" i="1" s="1"/>
  <c r="C2156" i="1"/>
  <c r="D2156" i="1"/>
  <c r="E2156" i="1"/>
  <c r="F2156" i="1"/>
  <c r="G2156" i="1" s="1"/>
  <c r="A2157" i="1"/>
  <c r="B2157" i="1" s="1"/>
  <c r="C2157" i="1"/>
  <c r="D2157" i="1"/>
  <c r="E2157" i="1"/>
  <c r="F2157" i="1"/>
  <c r="G2157" i="1" s="1"/>
  <c r="A2158" i="1"/>
  <c r="B2158" i="1" s="1"/>
  <c r="C2158" i="1"/>
  <c r="D2158" i="1"/>
  <c r="E2158" i="1"/>
  <c r="F2158" i="1"/>
  <c r="G2158" i="1" s="1"/>
  <c r="A2159" i="1"/>
  <c r="B2159" i="1" s="1"/>
  <c r="C2159" i="1"/>
  <c r="D2159" i="1"/>
  <c r="E2159" i="1"/>
  <c r="F2159" i="1"/>
  <c r="G2159" i="1" s="1"/>
  <c r="A2160" i="1"/>
  <c r="B2160" i="1"/>
  <c r="C2160" i="1"/>
  <c r="D2160" i="1"/>
  <c r="E2160" i="1"/>
  <c r="F2160" i="1"/>
  <c r="G2160" i="1" s="1"/>
  <c r="A2161" i="1"/>
  <c r="B2161" i="1" s="1"/>
  <c r="C2161" i="1"/>
  <c r="D2161" i="1"/>
  <c r="E2161" i="1"/>
  <c r="F2161" i="1"/>
  <c r="G2161" i="1" s="1"/>
  <c r="A2162" i="1"/>
  <c r="B2162" i="1" s="1"/>
  <c r="C2162" i="1"/>
  <c r="D2162" i="1"/>
  <c r="E2162" i="1"/>
  <c r="F2162" i="1"/>
  <c r="G2162" i="1" s="1"/>
  <c r="A2163" i="1"/>
  <c r="B2163" i="1" s="1"/>
  <c r="C2163" i="1"/>
  <c r="D2163" i="1"/>
  <c r="E2163" i="1"/>
  <c r="F2163" i="1"/>
  <c r="G2163" i="1" s="1"/>
  <c r="A2164" i="1"/>
  <c r="B2164" i="1" s="1"/>
  <c r="C2164" i="1"/>
  <c r="D2164" i="1"/>
  <c r="E2164" i="1"/>
  <c r="F2164" i="1"/>
  <c r="G2164" i="1" s="1"/>
  <c r="A2165" i="1"/>
  <c r="B2165" i="1" s="1"/>
  <c r="C2165" i="1"/>
  <c r="D2165" i="1"/>
  <c r="E2165" i="1"/>
  <c r="F2165" i="1"/>
  <c r="G2165" i="1" s="1"/>
  <c r="A2166" i="1"/>
  <c r="B2166" i="1" s="1"/>
  <c r="C2166" i="1"/>
  <c r="D2166" i="1"/>
  <c r="E2166" i="1"/>
  <c r="F2166" i="1"/>
  <c r="G2166" i="1" s="1"/>
  <c r="A2167" i="1"/>
  <c r="B2167" i="1" s="1"/>
  <c r="C2167" i="1"/>
  <c r="D2167" i="1"/>
  <c r="E2167" i="1"/>
  <c r="F2167" i="1"/>
  <c r="G2167" i="1" s="1"/>
  <c r="A2168" i="1"/>
  <c r="B2168" i="1" s="1"/>
  <c r="C2168" i="1"/>
  <c r="D2168" i="1"/>
  <c r="E2168" i="1"/>
  <c r="F2168" i="1"/>
  <c r="G2168" i="1" s="1"/>
  <c r="A2169" i="1"/>
  <c r="B2169" i="1" s="1"/>
  <c r="C2169" i="1"/>
  <c r="D2169" i="1"/>
  <c r="E2169" i="1"/>
  <c r="F2169" i="1"/>
  <c r="G2169" i="1" s="1"/>
  <c r="A2170" i="1"/>
  <c r="B2170" i="1" s="1"/>
  <c r="C2170" i="1"/>
  <c r="D2170" i="1"/>
  <c r="E2170" i="1"/>
  <c r="F2170" i="1"/>
  <c r="G2170" i="1" s="1"/>
  <c r="A2171" i="1"/>
  <c r="B2171" i="1" s="1"/>
  <c r="C2171" i="1"/>
  <c r="D2171" i="1"/>
  <c r="E2171" i="1"/>
  <c r="F2171" i="1"/>
  <c r="G2171" i="1" s="1"/>
  <c r="A2172" i="1"/>
  <c r="B2172" i="1" s="1"/>
  <c r="C2172" i="1"/>
  <c r="D2172" i="1"/>
  <c r="E2172" i="1"/>
  <c r="F2172" i="1"/>
  <c r="G2172" i="1" s="1"/>
  <c r="A2173" i="1"/>
  <c r="B2173" i="1" s="1"/>
  <c r="C2173" i="1"/>
  <c r="D2173" i="1"/>
  <c r="E2173" i="1"/>
  <c r="F2173" i="1"/>
  <c r="G2173" i="1" s="1"/>
  <c r="A2174" i="1"/>
  <c r="B2174" i="1"/>
  <c r="C2174" i="1"/>
  <c r="D2174" i="1"/>
  <c r="E2174" i="1"/>
  <c r="F2174" i="1"/>
  <c r="G2174" i="1" s="1"/>
  <c r="A2175" i="1"/>
  <c r="B2175" i="1" s="1"/>
  <c r="C2175" i="1"/>
  <c r="D2175" i="1"/>
  <c r="E2175" i="1"/>
  <c r="F2175" i="1"/>
  <c r="G2175" i="1" s="1"/>
  <c r="A2176" i="1"/>
  <c r="B2176" i="1" s="1"/>
  <c r="C2176" i="1"/>
  <c r="D2176" i="1"/>
  <c r="E2176" i="1"/>
  <c r="F2176" i="1"/>
  <c r="G2176" i="1" s="1"/>
  <c r="A2177" i="1"/>
  <c r="B2177" i="1" s="1"/>
  <c r="C2177" i="1"/>
  <c r="D2177" i="1"/>
  <c r="E2177" i="1"/>
  <c r="F2177" i="1"/>
  <c r="G2177" i="1" s="1"/>
  <c r="A2178" i="1"/>
  <c r="B2178" i="1" s="1"/>
  <c r="C2178" i="1"/>
  <c r="D2178" i="1"/>
  <c r="E2178" i="1"/>
  <c r="F2178" i="1"/>
  <c r="G2178" i="1" s="1"/>
  <c r="A2179" i="1"/>
  <c r="B2179" i="1" s="1"/>
  <c r="C2179" i="1"/>
  <c r="D2179" i="1"/>
  <c r="E2179" i="1"/>
  <c r="F2179" i="1"/>
  <c r="G2179" i="1" s="1"/>
  <c r="A2180" i="1"/>
  <c r="B2180" i="1" s="1"/>
  <c r="C2180" i="1"/>
  <c r="D2180" i="1"/>
  <c r="E2180" i="1"/>
  <c r="F2180" i="1"/>
  <c r="G2180" i="1" s="1"/>
  <c r="A2181" i="1"/>
  <c r="B2181" i="1" s="1"/>
  <c r="C2181" i="1"/>
  <c r="D2181" i="1"/>
  <c r="E2181" i="1"/>
  <c r="F2181" i="1"/>
  <c r="G2181" i="1" s="1"/>
  <c r="A2182" i="1"/>
  <c r="B2182" i="1" s="1"/>
  <c r="C2182" i="1"/>
  <c r="D2182" i="1"/>
  <c r="E2182" i="1"/>
  <c r="F2182" i="1"/>
  <c r="G2182" i="1" s="1"/>
  <c r="A2183" i="1"/>
  <c r="B2183" i="1" s="1"/>
  <c r="C2183" i="1"/>
  <c r="D2183" i="1"/>
  <c r="E2183" i="1"/>
  <c r="F2183" i="1"/>
  <c r="G2183" i="1" s="1"/>
  <c r="A2184" i="1"/>
  <c r="B2184" i="1" s="1"/>
  <c r="C2184" i="1"/>
  <c r="D2184" i="1"/>
  <c r="E2184" i="1"/>
  <c r="F2184" i="1"/>
  <c r="G2184" i="1" s="1"/>
  <c r="A2185" i="1"/>
  <c r="B2185" i="1" s="1"/>
  <c r="C2185" i="1"/>
  <c r="D2185" i="1"/>
  <c r="E2185" i="1"/>
  <c r="F2185" i="1"/>
  <c r="G2185" i="1" s="1"/>
  <c r="A2186" i="1"/>
  <c r="B2186" i="1"/>
  <c r="C2186" i="1"/>
  <c r="D2186" i="1"/>
  <c r="E2186" i="1"/>
  <c r="F2186" i="1"/>
  <c r="G2186" i="1" s="1"/>
  <c r="A2187" i="1"/>
  <c r="B2187" i="1" s="1"/>
  <c r="C2187" i="1"/>
  <c r="D2187" i="1"/>
  <c r="E2187" i="1"/>
  <c r="F2187" i="1"/>
  <c r="G2187" i="1" s="1"/>
  <c r="A2188" i="1"/>
  <c r="B2188" i="1" s="1"/>
  <c r="C2188" i="1"/>
  <c r="D2188" i="1"/>
  <c r="E2188" i="1"/>
  <c r="F2188" i="1"/>
  <c r="G2188" i="1" s="1"/>
  <c r="A2189" i="1"/>
  <c r="B2189" i="1" s="1"/>
  <c r="C2189" i="1"/>
  <c r="D2189" i="1"/>
  <c r="E2189" i="1"/>
  <c r="F2189" i="1"/>
  <c r="G2189" i="1" s="1"/>
  <c r="A2190" i="1"/>
  <c r="B2190" i="1" s="1"/>
  <c r="C2190" i="1"/>
  <c r="D2190" i="1"/>
  <c r="E2190" i="1"/>
  <c r="F2190" i="1"/>
  <c r="G2190" i="1" s="1"/>
  <c r="A2191" i="1"/>
  <c r="B2191" i="1" s="1"/>
  <c r="C2191" i="1"/>
  <c r="D2191" i="1"/>
  <c r="E2191" i="1"/>
  <c r="F2191" i="1"/>
  <c r="G2191" i="1" s="1"/>
  <c r="A2192" i="1"/>
  <c r="B2192" i="1" s="1"/>
  <c r="C2192" i="1"/>
  <c r="D2192" i="1"/>
  <c r="E2192" i="1"/>
  <c r="F2192" i="1"/>
  <c r="G2192" i="1"/>
  <c r="A2193" i="1"/>
  <c r="B2193" i="1" s="1"/>
  <c r="C2193" i="1"/>
  <c r="D2193" i="1"/>
  <c r="E2193" i="1"/>
  <c r="F2193" i="1"/>
  <c r="G2193" i="1" s="1"/>
  <c r="A2194" i="1"/>
  <c r="B2194" i="1" s="1"/>
  <c r="C2194" i="1"/>
  <c r="D2194" i="1"/>
  <c r="E2194" i="1"/>
  <c r="F2194" i="1"/>
  <c r="G2194" i="1" s="1"/>
  <c r="A2195" i="1"/>
  <c r="B2195" i="1" s="1"/>
  <c r="C2195" i="1"/>
  <c r="D2195" i="1"/>
  <c r="E2195" i="1"/>
  <c r="F2195" i="1"/>
  <c r="G2195" i="1" s="1"/>
  <c r="A2196" i="1"/>
  <c r="B2196" i="1"/>
  <c r="C2196" i="1"/>
  <c r="D2196" i="1"/>
  <c r="E2196" i="1"/>
  <c r="F2196" i="1"/>
  <c r="G2196" i="1" s="1"/>
  <c r="A2197" i="1"/>
  <c r="B2197" i="1" s="1"/>
  <c r="C2197" i="1"/>
  <c r="D2197" i="1"/>
  <c r="E2197" i="1"/>
  <c r="F2197" i="1"/>
  <c r="G2197" i="1" s="1"/>
  <c r="A2198" i="1"/>
  <c r="B2198" i="1" s="1"/>
  <c r="C2198" i="1"/>
  <c r="D2198" i="1"/>
  <c r="E2198" i="1"/>
  <c r="F2198" i="1"/>
  <c r="G2198" i="1" s="1"/>
  <c r="A2199" i="1"/>
  <c r="B2199" i="1" s="1"/>
  <c r="C2199" i="1"/>
  <c r="D2199" i="1"/>
  <c r="E2199" i="1"/>
  <c r="F2199" i="1"/>
  <c r="G2199" i="1" s="1"/>
  <c r="A2200" i="1"/>
  <c r="B2200" i="1" s="1"/>
  <c r="C2200" i="1"/>
  <c r="D2200" i="1"/>
  <c r="E2200" i="1"/>
  <c r="F2200" i="1"/>
  <c r="G2200" i="1" s="1"/>
  <c r="A2201" i="1"/>
  <c r="B2201" i="1" s="1"/>
  <c r="C2201" i="1"/>
  <c r="D2201" i="1"/>
  <c r="E2201" i="1"/>
  <c r="F2201" i="1"/>
  <c r="G2201" i="1" s="1"/>
  <c r="A2202" i="1"/>
  <c r="B2202" i="1"/>
  <c r="C2202" i="1"/>
  <c r="D2202" i="1"/>
  <c r="E2202" i="1"/>
  <c r="F2202" i="1"/>
  <c r="G2202" i="1" s="1"/>
  <c r="A2203" i="1"/>
  <c r="B2203" i="1" s="1"/>
  <c r="C2203" i="1"/>
  <c r="D2203" i="1"/>
  <c r="E2203" i="1"/>
  <c r="F2203" i="1"/>
  <c r="G2203" i="1" s="1"/>
  <c r="A2204" i="1"/>
  <c r="B2204" i="1" s="1"/>
  <c r="C2204" i="1"/>
  <c r="D2204" i="1"/>
  <c r="E2204" i="1"/>
  <c r="F2204" i="1"/>
  <c r="G2204" i="1" s="1"/>
  <c r="A2205" i="1"/>
  <c r="B2205" i="1"/>
  <c r="C2205" i="1"/>
  <c r="D2205" i="1"/>
  <c r="E2205" i="1"/>
  <c r="F2205" i="1"/>
  <c r="G2205" i="1" s="1"/>
  <c r="A2206" i="1"/>
  <c r="B2206" i="1" s="1"/>
  <c r="C2206" i="1"/>
  <c r="D2206" i="1"/>
  <c r="E2206" i="1"/>
  <c r="F2206" i="1"/>
  <c r="G2206" i="1" s="1"/>
  <c r="A2207" i="1"/>
  <c r="B2207" i="1" s="1"/>
  <c r="C2207" i="1"/>
  <c r="D2207" i="1"/>
  <c r="E2207" i="1"/>
  <c r="F2207" i="1"/>
  <c r="G2207" i="1" s="1"/>
  <c r="A2208" i="1"/>
  <c r="B2208" i="1" s="1"/>
  <c r="C2208" i="1"/>
  <c r="D2208" i="1"/>
  <c r="E2208" i="1"/>
  <c r="F2208" i="1"/>
  <c r="G2208" i="1" s="1"/>
  <c r="A2209" i="1"/>
  <c r="B2209" i="1" s="1"/>
  <c r="C2209" i="1"/>
  <c r="D2209" i="1"/>
  <c r="E2209" i="1"/>
  <c r="F2209" i="1"/>
  <c r="G2209" i="1"/>
  <c r="A2210" i="1"/>
  <c r="B2210" i="1" s="1"/>
  <c r="C2210" i="1"/>
  <c r="D2210" i="1"/>
  <c r="E2210" i="1"/>
  <c r="F2210" i="1"/>
  <c r="G2210" i="1" s="1"/>
  <c r="A2211" i="1"/>
  <c r="B2211" i="1"/>
  <c r="C2211" i="1"/>
  <c r="D2211" i="1"/>
  <c r="E2211" i="1"/>
  <c r="F2211" i="1"/>
  <c r="G2211" i="1"/>
  <c r="A2212" i="1"/>
  <c r="B2212" i="1" s="1"/>
  <c r="C2212" i="1"/>
  <c r="D2212" i="1"/>
  <c r="E2212" i="1"/>
  <c r="F2212" i="1"/>
  <c r="G2212" i="1" s="1"/>
  <c r="A2213" i="1"/>
  <c r="B2213" i="1" s="1"/>
  <c r="C2213" i="1"/>
  <c r="D2213" i="1"/>
  <c r="E2213" i="1"/>
  <c r="F2213" i="1"/>
  <c r="G2213" i="1" s="1"/>
  <c r="A2214" i="1"/>
  <c r="B2214" i="1" s="1"/>
  <c r="C2214" i="1"/>
  <c r="D2214" i="1"/>
  <c r="E2214" i="1"/>
  <c r="F2214" i="1"/>
  <c r="G2214" i="1" s="1"/>
  <c r="A2215" i="1"/>
  <c r="B2215" i="1"/>
  <c r="C2215" i="1"/>
  <c r="D2215" i="1"/>
  <c r="E2215" i="1"/>
  <c r="F2215" i="1"/>
  <c r="G2215" i="1"/>
  <c r="A2216" i="1"/>
  <c r="B2216" i="1"/>
  <c r="C2216" i="1"/>
  <c r="D2216" i="1"/>
  <c r="E2216" i="1"/>
  <c r="F2216" i="1"/>
  <c r="G2216" i="1" s="1"/>
  <c r="A2217" i="1"/>
  <c r="B2217" i="1"/>
  <c r="C2217" i="1"/>
  <c r="D2217" i="1"/>
  <c r="E2217" i="1"/>
  <c r="F2217" i="1"/>
  <c r="G2217" i="1" s="1"/>
  <c r="A2218" i="1"/>
  <c r="B2218" i="1" s="1"/>
  <c r="C2218" i="1"/>
  <c r="D2218" i="1"/>
  <c r="E2218" i="1"/>
  <c r="F2218" i="1"/>
  <c r="G2218" i="1" s="1"/>
  <c r="A2219" i="1"/>
  <c r="B2219" i="1"/>
  <c r="C2219" i="1"/>
  <c r="D2219" i="1"/>
  <c r="E2219" i="1"/>
  <c r="F2219" i="1"/>
  <c r="G2219" i="1" s="1"/>
  <c r="A2220" i="1"/>
  <c r="B2220" i="1" s="1"/>
  <c r="C2220" i="1"/>
  <c r="D2220" i="1"/>
  <c r="E2220" i="1"/>
  <c r="F2220" i="1"/>
  <c r="G2220" i="1" s="1"/>
  <c r="A2221" i="1"/>
  <c r="B2221" i="1" s="1"/>
  <c r="C2221" i="1"/>
  <c r="D2221" i="1"/>
  <c r="E2221" i="1"/>
  <c r="F2221" i="1"/>
  <c r="G2221" i="1"/>
  <c r="A2222" i="1"/>
  <c r="B2222" i="1" s="1"/>
  <c r="C2222" i="1"/>
  <c r="D2222" i="1"/>
  <c r="E2222" i="1"/>
  <c r="F2222" i="1"/>
  <c r="G2222" i="1" s="1"/>
  <c r="A2223" i="1"/>
  <c r="B2223" i="1"/>
  <c r="C2223" i="1"/>
  <c r="D2223" i="1"/>
  <c r="E2223" i="1"/>
  <c r="F2223" i="1"/>
  <c r="G2223" i="1" s="1"/>
  <c r="A2224" i="1"/>
  <c r="B2224" i="1" s="1"/>
  <c r="C2224" i="1"/>
  <c r="D2224" i="1"/>
  <c r="E2224" i="1"/>
  <c r="F2224" i="1"/>
  <c r="G2224" i="1"/>
  <c r="A2225" i="1"/>
  <c r="B2225" i="1" s="1"/>
  <c r="C2225" i="1"/>
  <c r="D2225" i="1"/>
  <c r="E2225" i="1"/>
  <c r="F2225" i="1"/>
  <c r="G2225" i="1" s="1"/>
  <c r="A2226" i="1"/>
  <c r="B2226" i="1" s="1"/>
  <c r="C2226" i="1"/>
  <c r="D2226" i="1"/>
  <c r="E2226" i="1"/>
  <c r="F2226" i="1"/>
  <c r="G2226" i="1" s="1"/>
  <c r="A2227" i="1"/>
  <c r="B2227" i="1" s="1"/>
  <c r="C2227" i="1"/>
  <c r="D2227" i="1"/>
  <c r="E2227" i="1"/>
  <c r="F2227" i="1"/>
  <c r="G2227" i="1"/>
  <c r="A2228" i="1"/>
  <c r="B2228" i="1" s="1"/>
  <c r="C2228" i="1"/>
  <c r="D2228" i="1"/>
  <c r="E2228" i="1"/>
  <c r="F2228" i="1"/>
  <c r="G2228" i="1" s="1"/>
  <c r="A2229" i="1"/>
  <c r="B2229" i="1" s="1"/>
  <c r="C2229" i="1"/>
  <c r="D2229" i="1"/>
  <c r="E2229" i="1"/>
  <c r="F2229" i="1"/>
  <c r="G2229" i="1"/>
  <c r="A2230" i="1"/>
  <c r="B2230" i="1" s="1"/>
  <c r="C2230" i="1"/>
  <c r="D2230" i="1"/>
  <c r="E2230" i="1"/>
  <c r="F2230" i="1"/>
  <c r="G2230" i="1" s="1"/>
  <c r="A2231" i="1"/>
  <c r="B2231" i="1"/>
  <c r="C2231" i="1"/>
  <c r="D2231" i="1"/>
  <c r="E2231" i="1"/>
  <c r="F2231" i="1"/>
  <c r="G2231" i="1" s="1"/>
  <c r="A2232" i="1"/>
  <c r="B2232" i="1" s="1"/>
  <c r="C2232" i="1"/>
  <c r="D2232" i="1"/>
  <c r="E2232" i="1"/>
  <c r="F2232" i="1"/>
  <c r="G2232" i="1" s="1"/>
  <c r="A2233" i="1"/>
  <c r="B2233" i="1" s="1"/>
  <c r="C2233" i="1"/>
  <c r="D2233" i="1"/>
  <c r="E2233" i="1"/>
  <c r="F2233" i="1"/>
  <c r="G2233" i="1" s="1"/>
  <c r="A2234" i="1"/>
  <c r="B2234" i="1" s="1"/>
  <c r="C2234" i="1"/>
  <c r="D2234" i="1"/>
  <c r="E2234" i="1"/>
  <c r="F2234" i="1"/>
  <c r="G2234" i="1" s="1"/>
  <c r="A2235" i="1"/>
  <c r="B2235" i="1" s="1"/>
  <c r="C2235" i="1"/>
  <c r="D2235" i="1"/>
  <c r="E2235" i="1"/>
  <c r="F2235" i="1"/>
  <c r="G2235" i="1" s="1"/>
  <c r="A2236" i="1"/>
  <c r="B2236" i="1" s="1"/>
  <c r="C2236" i="1"/>
  <c r="D2236" i="1"/>
  <c r="E2236" i="1"/>
  <c r="F2236" i="1"/>
  <c r="G2236" i="1" s="1"/>
  <c r="A2237" i="1"/>
  <c r="B2237" i="1" s="1"/>
  <c r="C2237" i="1"/>
  <c r="D2237" i="1"/>
  <c r="E2237" i="1"/>
  <c r="F2237" i="1"/>
  <c r="G2237" i="1" s="1"/>
  <c r="A2238" i="1"/>
  <c r="B2238" i="1" s="1"/>
  <c r="C2238" i="1"/>
  <c r="D2238" i="1"/>
  <c r="E2238" i="1"/>
  <c r="F2238" i="1"/>
  <c r="G2238" i="1" s="1"/>
  <c r="A2239" i="1"/>
  <c r="B2239" i="1"/>
  <c r="C2239" i="1"/>
  <c r="D2239" i="1"/>
  <c r="E2239" i="1"/>
  <c r="F2239" i="1"/>
  <c r="G2239" i="1" s="1"/>
  <c r="A2240" i="1"/>
  <c r="B2240" i="1" s="1"/>
  <c r="C2240" i="1"/>
  <c r="D2240" i="1"/>
  <c r="E2240" i="1"/>
  <c r="F2240" i="1"/>
  <c r="G2240" i="1" s="1"/>
  <c r="A2241" i="1"/>
  <c r="B2241" i="1"/>
  <c r="C2241" i="1"/>
  <c r="D2241" i="1"/>
  <c r="E2241" i="1"/>
  <c r="F2241" i="1"/>
  <c r="G2241" i="1" s="1"/>
  <c r="A2242" i="1"/>
  <c r="B2242" i="1" s="1"/>
  <c r="C2242" i="1"/>
  <c r="D2242" i="1"/>
  <c r="E2242" i="1"/>
  <c r="F2242" i="1"/>
  <c r="G2242" i="1" s="1"/>
  <c r="A2243" i="1"/>
  <c r="B2243" i="1"/>
  <c r="C2243" i="1"/>
  <c r="D2243" i="1"/>
  <c r="E2243" i="1"/>
  <c r="F2243" i="1"/>
  <c r="G2243" i="1" s="1"/>
  <c r="A2244" i="1"/>
  <c r="B2244" i="1" s="1"/>
  <c r="C2244" i="1"/>
  <c r="D2244" i="1"/>
  <c r="E2244" i="1"/>
  <c r="F2244" i="1"/>
  <c r="G2244" i="1" s="1"/>
  <c r="A2245" i="1"/>
  <c r="B2245" i="1" s="1"/>
  <c r="C2245" i="1"/>
  <c r="D2245" i="1"/>
  <c r="E2245" i="1"/>
  <c r="F2245" i="1"/>
  <c r="G2245" i="1" s="1"/>
  <c r="A2246" i="1"/>
  <c r="B2246" i="1" s="1"/>
  <c r="C2246" i="1"/>
  <c r="D2246" i="1"/>
  <c r="E2246" i="1"/>
  <c r="F2246" i="1"/>
  <c r="G2246" i="1" s="1"/>
  <c r="A2247" i="1"/>
  <c r="B2247" i="1" s="1"/>
  <c r="C2247" i="1"/>
  <c r="D2247" i="1"/>
  <c r="E2247" i="1"/>
  <c r="F2247" i="1"/>
  <c r="G2247" i="1" s="1"/>
  <c r="A2248" i="1"/>
  <c r="B2248" i="1" s="1"/>
  <c r="C2248" i="1"/>
  <c r="D2248" i="1"/>
  <c r="E2248" i="1"/>
  <c r="F2248" i="1"/>
  <c r="G2248" i="1" s="1"/>
  <c r="A2249" i="1"/>
  <c r="B2249" i="1" s="1"/>
  <c r="C2249" i="1"/>
  <c r="D2249" i="1"/>
  <c r="E2249" i="1"/>
  <c r="F2249" i="1"/>
  <c r="G2249" i="1" s="1"/>
  <c r="A2250" i="1"/>
  <c r="B2250" i="1"/>
  <c r="C2250" i="1"/>
  <c r="D2250" i="1"/>
  <c r="E2250" i="1"/>
  <c r="F2250" i="1"/>
  <c r="G2250" i="1" s="1"/>
  <c r="A2251" i="1"/>
  <c r="B2251" i="1"/>
  <c r="C2251" i="1"/>
  <c r="D2251" i="1"/>
  <c r="E2251" i="1"/>
  <c r="F2251" i="1"/>
  <c r="G2251" i="1" s="1"/>
  <c r="A2252" i="1"/>
  <c r="B2252" i="1" s="1"/>
  <c r="C2252" i="1"/>
  <c r="D2252" i="1"/>
  <c r="E2252" i="1"/>
  <c r="F2252" i="1"/>
  <c r="G2252" i="1" s="1"/>
  <c r="A2253" i="1"/>
  <c r="B2253" i="1"/>
  <c r="C2253" i="1"/>
  <c r="D2253" i="1"/>
  <c r="E2253" i="1"/>
  <c r="F2253" i="1"/>
  <c r="G2253" i="1" s="1"/>
  <c r="A2254" i="1"/>
  <c r="B2254" i="1" s="1"/>
  <c r="C2254" i="1"/>
  <c r="D2254" i="1"/>
  <c r="E2254" i="1"/>
  <c r="F2254" i="1"/>
  <c r="G2254" i="1" s="1"/>
  <c r="A2255" i="1"/>
  <c r="B2255" i="1" s="1"/>
  <c r="C2255" i="1"/>
  <c r="D2255" i="1"/>
  <c r="E2255" i="1"/>
  <c r="F2255" i="1"/>
  <c r="G2255" i="1" s="1"/>
  <c r="A2256" i="1"/>
  <c r="B2256" i="1"/>
  <c r="C2256" i="1"/>
  <c r="D2256" i="1"/>
  <c r="E2256" i="1"/>
  <c r="F2256" i="1"/>
  <c r="G2256" i="1" s="1"/>
  <c r="A2257" i="1"/>
  <c r="B2257" i="1" s="1"/>
  <c r="C2257" i="1"/>
  <c r="D2257" i="1"/>
  <c r="E2257" i="1"/>
  <c r="F2257" i="1"/>
  <c r="G2257" i="1" s="1"/>
  <c r="A2258" i="1"/>
  <c r="B2258" i="1" s="1"/>
  <c r="C2258" i="1"/>
  <c r="D2258" i="1"/>
  <c r="E2258" i="1"/>
  <c r="F2258" i="1"/>
  <c r="G2258" i="1" s="1"/>
  <c r="A2259" i="1"/>
  <c r="B2259" i="1" s="1"/>
  <c r="C2259" i="1"/>
  <c r="D2259" i="1"/>
  <c r="E2259" i="1"/>
  <c r="F2259" i="1"/>
  <c r="G2259" i="1" s="1"/>
  <c r="A2260" i="1"/>
  <c r="B2260" i="1" s="1"/>
  <c r="C2260" i="1"/>
  <c r="D2260" i="1"/>
  <c r="E2260" i="1"/>
  <c r="F2260" i="1"/>
  <c r="G2260" i="1" s="1"/>
  <c r="A2261" i="1"/>
  <c r="B2261" i="1" s="1"/>
  <c r="C2261" i="1"/>
  <c r="D2261" i="1"/>
  <c r="E2261" i="1"/>
  <c r="F2261" i="1"/>
  <c r="G2261" i="1" s="1"/>
  <c r="A2262" i="1"/>
  <c r="B2262" i="1"/>
  <c r="C2262" i="1"/>
  <c r="D2262" i="1"/>
  <c r="E2262" i="1"/>
  <c r="F2262" i="1"/>
  <c r="G2262" i="1" s="1"/>
  <c r="A2263" i="1"/>
  <c r="B2263" i="1" s="1"/>
  <c r="C2263" i="1"/>
  <c r="D2263" i="1"/>
  <c r="E2263" i="1"/>
  <c r="F2263" i="1"/>
  <c r="G2263" i="1" s="1"/>
  <c r="A2264" i="1"/>
  <c r="B2264" i="1"/>
  <c r="C2264" i="1"/>
  <c r="D2264" i="1"/>
  <c r="E2264" i="1"/>
  <c r="F2264" i="1"/>
  <c r="G2264" i="1" s="1"/>
  <c r="A2265" i="1"/>
  <c r="B2265" i="1" s="1"/>
  <c r="C2265" i="1"/>
  <c r="D2265" i="1"/>
  <c r="E2265" i="1"/>
  <c r="F2265" i="1"/>
  <c r="G2265" i="1" s="1"/>
  <c r="A2266" i="1"/>
  <c r="B2266" i="1" s="1"/>
  <c r="C2266" i="1"/>
  <c r="D2266" i="1"/>
  <c r="E2266" i="1"/>
  <c r="F2266" i="1"/>
  <c r="G2266" i="1" s="1"/>
  <c r="A2267" i="1"/>
  <c r="B2267" i="1"/>
  <c r="C2267" i="1"/>
  <c r="D2267" i="1"/>
  <c r="E2267" i="1"/>
  <c r="F2267" i="1"/>
  <c r="G2267" i="1" s="1"/>
  <c r="A2268" i="1"/>
  <c r="B2268" i="1"/>
  <c r="C2268" i="1"/>
  <c r="D2268" i="1"/>
  <c r="E2268" i="1"/>
  <c r="F2268" i="1"/>
  <c r="G2268" i="1" s="1"/>
  <c r="A2269" i="1"/>
  <c r="B2269" i="1" s="1"/>
  <c r="C2269" i="1"/>
  <c r="D2269" i="1"/>
  <c r="E2269" i="1"/>
  <c r="F2269" i="1"/>
  <c r="G2269" i="1" s="1"/>
  <c r="A2270" i="1"/>
  <c r="B2270" i="1" s="1"/>
  <c r="C2270" i="1"/>
  <c r="D2270" i="1"/>
  <c r="E2270" i="1"/>
  <c r="F2270" i="1"/>
  <c r="G2270" i="1" s="1"/>
  <c r="A2271" i="1"/>
  <c r="B2271" i="1" s="1"/>
  <c r="C2271" i="1"/>
  <c r="D2271" i="1"/>
  <c r="E2271" i="1"/>
  <c r="F2271" i="1"/>
  <c r="G2271" i="1" s="1"/>
  <c r="A2272" i="1"/>
  <c r="B2272" i="1" s="1"/>
  <c r="C2272" i="1"/>
  <c r="D2272" i="1"/>
  <c r="E2272" i="1"/>
  <c r="F2272" i="1"/>
  <c r="G2272" i="1" s="1"/>
  <c r="A2273" i="1"/>
  <c r="B2273" i="1" s="1"/>
  <c r="C2273" i="1"/>
  <c r="D2273" i="1"/>
  <c r="E2273" i="1"/>
  <c r="F2273" i="1"/>
  <c r="G2273" i="1" s="1"/>
  <c r="A2274" i="1"/>
  <c r="B2274" i="1"/>
  <c r="C2274" i="1"/>
  <c r="D2274" i="1"/>
  <c r="E2274" i="1"/>
  <c r="F2274" i="1"/>
  <c r="G2274" i="1" s="1"/>
  <c r="A2275" i="1"/>
  <c r="B2275" i="1"/>
  <c r="C2275" i="1"/>
  <c r="D2275" i="1"/>
  <c r="E2275" i="1"/>
  <c r="F2275" i="1"/>
  <c r="G2275" i="1" s="1"/>
  <c r="A2276" i="1"/>
  <c r="B2276" i="1" s="1"/>
  <c r="C2276" i="1"/>
  <c r="D2276" i="1"/>
  <c r="E2276" i="1"/>
  <c r="F2276" i="1"/>
  <c r="G2276" i="1" s="1"/>
  <c r="A2277" i="1"/>
  <c r="B2277" i="1" s="1"/>
  <c r="C2277" i="1"/>
  <c r="D2277" i="1"/>
  <c r="E2277" i="1"/>
  <c r="F2277" i="1"/>
  <c r="G2277" i="1" s="1"/>
  <c r="A2278" i="1"/>
  <c r="B2278" i="1" s="1"/>
  <c r="C2278" i="1"/>
  <c r="D2278" i="1"/>
  <c r="E2278" i="1"/>
  <c r="F2278" i="1"/>
  <c r="G2278" i="1" s="1"/>
  <c r="A2279" i="1"/>
  <c r="B2279" i="1"/>
  <c r="C2279" i="1"/>
  <c r="D2279" i="1"/>
  <c r="E2279" i="1"/>
  <c r="F2279" i="1"/>
  <c r="G2279" i="1" s="1"/>
  <c r="A2280" i="1"/>
  <c r="B2280" i="1"/>
  <c r="C2280" i="1"/>
  <c r="D2280" i="1"/>
  <c r="E2280" i="1"/>
  <c r="F2280" i="1"/>
  <c r="G2280" i="1" s="1"/>
  <c r="A2281" i="1"/>
  <c r="B2281" i="1" s="1"/>
  <c r="C2281" i="1"/>
  <c r="D2281" i="1"/>
  <c r="E2281" i="1"/>
  <c r="F2281" i="1"/>
  <c r="G2281" i="1" s="1"/>
  <c r="A2282" i="1"/>
  <c r="B2282" i="1" s="1"/>
  <c r="C2282" i="1"/>
  <c r="D2282" i="1"/>
  <c r="E2282" i="1"/>
  <c r="F2282" i="1"/>
  <c r="G2282" i="1" s="1"/>
  <c r="A2283" i="1"/>
  <c r="B2283" i="1"/>
  <c r="C2283" i="1"/>
  <c r="D2283" i="1"/>
  <c r="E2283" i="1"/>
  <c r="F2283" i="1"/>
  <c r="G2283" i="1" s="1"/>
  <c r="A2284" i="1"/>
  <c r="B2284" i="1" s="1"/>
  <c r="C2284" i="1"/>
  <c r="D2284" i="1"/>
  <c r="E2284" i="1"/>
  <c r="F2284" i="1"/>
  <c r="G2284" i="1" s="1"/>
  <c r="A2285" i="1"/>
  <c r="B2285" i="1" s="1"/>
  <c r="C2285" i="1"/>
  <c r="D2285" i="1"/>
  <c r="E2285" i="1"/>
  <c r="F2285" i="1"/>
  <c r="G2285" i="1" s="1"/>
  <c r="A2286" i="1"/>
  <c r="B2286" i="1" s="1"/>
  <c r="C2286" i="1"/>
  <c r="D2286" i="1"/>
  <c r="E2286" i="1"/>
  <c r="F2286" i="1"/>
  <c r="G2286" i="1" s="1"/>
  <c r="A2287" i="1"/>
  <c r="B2287" i="1" s="1"/>
  <c r="C2287" i="1"/>
  <c r="D2287" i="1"/>
  <c r="E2287" i="1"/>
  <c r="F2287" i="1"/>
  <c r="G2287" i="1" s="1"/>
  <c r="A2288" i="1"/>
  <c r="B2288" i="1" s="1"/>
  <c r="C2288" i="1"/>
  <c r="D2288" i="1"/>
  <c r="E2288" i="1"/>
  <c r="F2288" i="1"/>
  <c r="G2288" i="1" s="1"/>
  <c r="A2289" i="1"/>
  <c r="B2289" i="1" s="1"/>
  <c r="C2289" i="1"/>
  <c r="D2289" i="1"/>
  <c r="E2289" i="1"/>
  <c r="F2289" i="1"/>
  <c r="G2289" i="1" s="1"/>
  <c r="A2290" i="1"/>
  <c r="B2290" i="1" s="1"/>
  <c r="C2290" i="1"/>
  <c r="D2290" i="1"/>
  <c r="E2290" i="1"/>
  <c r="F2290" i="1"/>
  <c r="G2290" i="1" s="1"/>
  <c r="A2291" i="1"/>
  <c r="B2291" i="1"/>
  <c r="C2291" i="1"/>
  <c r="D2291" i="1"/>
  <c r="E2291" i="1"/>
  <c r="F2291" i="1"/>
  <c r="G2291" i="1" s="1"/>
  <c r="A2292" i="1"/>
  <c r="B2292" i="1" s="1"/>
  <c r="C2292" i="1"/>
  <c r="D2292" i="1"/>
  <c r="E2292" i="1"/>
  <c r="F2292" i="1"/>
  <c r="G2292" i="1" s="1"/>
  <c r="A2293" i="1"/>
  <c r="B2293" i="1" s="1"/>
  <c r="C2293" i="1"/>
  <c r="D2293" i="1"/>
  <c r="E2293" i="1"/>
  <c r="F2293" i="1"/>
  <c r="G2293" i="1" s="1"/>
  <c r="A2294" i="1"/>
  <c r="B2294" i="1"/>
  <c r="C2294" i="1"/>
  <c r="D2294" i="1"/>
  <c r="E2294" i="1"/>
  <c r="F2294" i="1"/>
  <c r="G2294" i="1" s="1"/>
  <c r="A2295" i="1"/>
  <c r="B2295" i="1"/>
  <c r="C2295" i="1"/>
  <c r="D2295" i="1"/>
  <c r="E2295" i="1"/>
  <c r="F2295" i="1"/>
  <c r="G2295" i="1" s="1"/>
  <c r="A2296" i="1"/>
  <c r="B2296" i="1" s="1"/>
  <c r="C2296" i="1"/>
  <c r="D2296" i="1"/>
  <c r="E2296" i="1"/>
  <c r="F2296" i="1"/>
  <c r="G2296" i="1" s="1"/>
  <c r="A2297" i="1"/>
  <c r="B2297" i="1" s="1"/>
  <c r="C2297" i="1"/>
  <c r="D2297" i="1"/>
  <c r="E2297" i="1"/>
  <c r="F2297" i="1"/>
  <c r="G2297" i="1" s="1"/>
  <c r="A2298" i="1"/>
  <c r="B2298" i="1"/>
  <c r="C2298" i="1"/>
  <c r="D2298" i="1"/>
  <c r="E2298" i="1"/>
  <c r="F2298" i="1"/>
  <c r="G2298" i="1" s="1"/>
  <c r="A2299" i="1"/>
  <c r="B2299" i="1" s="1"/>
  <c r="C2299" i="1"/>
  <c r="D2299" i="1"/>
  <c r="E2299" i="1"/>
  <c r="F2299" i="1"/>
  <c r="G2299" i="1" s="1"/>
  <c r="A2300" i="1"/>
  <c r="B2300" i="1"/>
  <c r="C2300" i="1"/>
  <c r="D2300" i="1"/>
  <c r="E2300" i="1"/>
  <c r="F2300" i="1"/>
  <c r="G2300" i="1" s="1"/>
  <c r="A2301" i="1"/>
  <c r="B2301" i="1" s="1"/>
  <c r="C2301" i="1"/>
  <c r="D2301" i="1"/>
  <c r="E2301" i="1"/>
  <c r="F2301" i="1"/>
  <c r="G2301" i="1" s="1"/>
  <c r="A2302" i="1"/>
  <c r="B2302" i="1" s="1"/>
  <c r="C2302" i="1"/>
  <c r="D2302" i="1"/>
  <c r="E2302" i="1"/>
  <c r="F2302" i="1"/>
  <c r="G2302" i="1" s="1"/>
  <c r="A2303" i="1"/>
  <c r="B2303" i="1"/>
  <c r="C2303" i="1"/>
  <c r="D2303" i="1"/>
  <c r="E2303" i="1"/>
  <c r="F2303" i="1"/>
  <c r="G2303" i="1" s="1"/>
  <c r="A2304" i="1"/>
  <c r="B2304" i="1" s="1"/>
  <c r="C2304" i="1"/>
  <c r="D2304" i="1"/>
  <c r="E2304" i="1"/>
  <c r="F2304" i="1"/>
  <c r="G2304" i="1"/>
  <c r="A2305" i="1"/>
  <c r="B2305" i="1" s="1"/>
  <c r="C2305" i="1"/>
  <c r="D2305" i="1"/>
  <c r="E2305" i="1"/>
  <c r="F2305" i="1"/>
  <c r="G2305" i="1" s="1"/>
  <c r="A2306" i="1"/>
  <c r="B2306" i="1" s="1"/>
  <c r="C2306" i="1"/>
  <c r="D2306" i="1"/>
  <c r="E2306" i="1"/>
  <c r="F2306" i="1"/>
  <c r="G2306" i="1" s="1"/>
  <c r="A2307" i="1"/>
  <c r="B2307" i="1" s="1"/>
  <c r="C2307" i="1"/>
  <c r="D2307" i="1"/>
  <c r="E2307" i="1"/>
  <c r="F2307" i="1"/>
  <c r="G2307" i="1" s="1"/>
  <c r="A2308" i="1"/>
  <c r="B2308" i="1" s="1"/>
  <c r="C2308" i="1"/>
  <c r="D2308" i="1"/>
  <c r="E2308" i="1"/>
  <c r="F2308" i="1"/>
  <c r="G2308" i="1" s="1"/>
  <c r="A2309" i="1"/>
  <c r="B2309" i="1" s="1"/>
  <c r="C2309" i="1"/>
  <c r="D2309" i="1"/>
  <c r="E2309" i="1"/>
  <c r="F2309" i="1"/>
  <c r="G2309" i="1" s="1"/>
  <c r="A2310" i="1"/>
  <c r="B2310" i="1"/>
  <c r="C2310" i="1"/>
  <c r="D2310" i="1"/>
  <c r="E2310" i="1"/>
  <c r="F2310" i="1"/>
  <c r="G2310" i="1" s="1"/>
  <c r="A2311" i="1"/>
  <c r="B2311" i="1"/>
  <c r="C2311" i="1"/>
  <c r="D2311" i="1"/>
  <c r="E2311" i="1"/>
  <c r="F2311" i="1"/>
  <c r="G2311" i="1"/>
  <c r="A2312" i="1"/>
  <c r="B2312" i="1" s="1"/>
  <c r="C2312" i="1"/>
  <c r="D2312" i="1"/>
  <c r="E2312" i="1"/>
  <c r="F2312" i="1"/>
  <c r="G2312" i="1" s="1"/>
  <c r="A2313" i="1"/>
  <c r="B2313" i="1"/>
  <c r="C2313" i="1"/>
  <c r="D2313" i="1"/>
  <c r="E2313" i="1"/>
  <c r="F2313" i="1"/>
  <c r="G2313" i="1" s="1"/>
  <c r="A2314" i="1"/>
  <c r="B2314" i="1" s="1"/>
  <c r="C2314" i="1"/>
  <c r="D2314" i="1"/>
  <c r="E2314" i="1"/>
  <c r="F2314" i="1"/>
  <c r="G2314" i="1" s="1"/>
  <c r="A2315" i="1"/>
  <c r="B2315" i="1"/>
  <c r="C2315" i="1"/>
  <c r="D2315" i="1"/>
  <c r="E2315" i="1"/>
  <c r="F2315" i="1"/>
  <c r="G2315" i="1" s="1"/>
  <c r="A2316" i="1"/>
  <c r="B2316" i="1"/>
  <c r="C2316" i="1"/>
  <c r="D2316" i="1"/>
  <c r="E2316" i="1"/>
  <c r="F2316" i="1"/>
  <c r="G2316" i="1" s="1"/>
  <c r="A2317" i="1"/>
  <c r="B2317" i="1" s="1"/>
  <c r="C2317" i="1"/>
  <c r="D2317" i="1"/>
  <c r="E2317" i="1"/>
  <c r="F2317" i="1"/>
  <c r="G2317" i="1" s="1"/>
  <c r="A2318" i="1"/>
  <c r="B2318" i="1" s="1"/>
  <c r="C2318" i="1"/>
  <c r="D2318" i="1"/>
  <c r="E2318" i="1"/>
  <c r="F2318" i="1"/>
  <c r="G2318" i="1" s="1"/>
  <c r="A2319" i="1"/>
  <c r="B2319" i="1"/>
  <c r="C2319" i="1"/>
  <c r="D2319" i="1"/>
  <c r="E2319" i="1"/>
  <c r="F2319" i="1"/>
  <c r="G2319" i="1" s="1"/>
  <c r="A2320" i="1"/>
  <c r="B2320" i="1" s="1"/>
  <c r="C2320" i="1"/>
  <c r="D2320" i="1"/>
  <c r="E2320" i="1"/>
  <c r="F2320" i="1"/>
  <c r="G2320" i="1" s="1"/>
  <c r="A2321" i="1"/>
  <c r="B2321" i="1" s="1"/>
  <c r="C2321" i="1"/>
  <c r="D2321" i="1"/>
  <c r="E2321" i="1"/>
  <c r="F2321" i="1"/>
  <c r="G2321" i="1" s="1"/>
  <c r="A2322" i="1"/>
  <c r="B2322" i="1"/>
  <c r="C2322" i="1"/>
  <c r="D2322" i="1"/>
  <c r="E2322" i="1"/>
  <c r="F2322" i="1"/>
  <c r="G2322" i="1" s="1"/>
  <c r="A2323" i="1"/>
  <c r="B2323" i="1" s="1"/>
  <c r="C2323" i="1"/>
  <c r="D2323" i="1"/>
  <c r="E2323" i="1"/>
  <c r="F2323" i="1"/>
  <c r="G2323" i="1" s="1"/>
  <c r="A2324" i="1"/>
  <c r="B2324" i="1" s="1"/>
  <c r="C2324" i="1"/>
  <c r="D2324" i="1"/>
  <c r="E2324" i="1"/>
  <c r="F2324" i="1"/>
  <c r="G2324" i="1" s="1"/>
  <c r="A2325" i="1"/>
  <c r="B2325" i="1" s="1"/>
  <c r="C2325" i="1"/>
  <c r="D2325" i="1"/>
  <c r="E2325" i="1"/>
  <c r="F2325" i="1"/>
  <c r="G2325" i="1" s="1"/>
  <c r="A2326" i="1"/>
  <c r="B2326" i="1" s="1"/>
  <c r="C2326" i="1"/>
  <c r="D2326" i="1"/>
  <c r="E2326" i="1"/>
  <c r="F2326" i="1"/>
  <c r="G2326" i="1" s="1"/>
  <c r="A2327" i="1"/>
  <c r="B2327" i="1"/>
  <c r="C2327" i="1"/>
  <c r="D2327" i="1"/>
  <c r="E2327" i="1"/>
  <c r="F2327" i="1"/>
  <c r="G2327" i="1" s="1"/>
  <c r="A2328" i="1"/>
  <c r="B2328" i="1"/>
  <c r="C2328" i="1"/>
  <c r="D2328" i="1"/>
  <c r="E2328" i="1"/>
  <c r="F2328" i="1"/>
  <c r="G2328" i="1" s="1"/>
  <c r="A2329" i="1"/>
  <c r="B2329" i="1" s="1"/>
  <c r="C2329" i="1"/>
  <c r="D2329" i="1"/>
  <c r="E2329" i="1"/>
  <c r="F2329" i="1"/>
  <c r="G2329" i="1" s="1"/>
  <c r="A2330" i="1"/>
  <c r="B2330" i="1"/>
  <c r="C2330" i="1"/>
  <c r="D2330" i="1"/>
  <c r="E2330" i="1"/>
  <c r="F2330" i="1"/>
  <c r="G2330" i="1" s="1"/>
  <c r="A2331" i="1"/>
  <c r="B2331" i="1"/>
  <c r="C2331" i="1"/>
  <c r="D2331" i="1"/>
  <c r="E2331" i="1"/>
  <c r="F2331" i="1"/>
  <c r="G2331" i="1" s="1"/>
  <c r="A2332" i="1"/>
  <c r="B2332" i="1" s="1"/>
  <c r="C2332" i="1"/>
  <c r="D2332" i="1"/>
  <c r="E2332" i="1"/>
  <c r="F2332" i="1"/>
  <c r="G2332" i="1" s="1"/>
  <c r="A2333" i="1"/>
  <c r="B2333" i="1" s="1"/>
  <c r="C2333" i="1"/>
  <c r="D2333" i="1"/>
  <c r="E2333" i="1"/>
  <c r="F2333" i="1"/>
  <c r="G2333" i="1" s="1"/>
  <c r="A2334" i="1"/>
  <c r="B2334" i="1" s="1"/>
  <c r="C2334" i="1"/>
  <c r="D2334" i="1"/>
  <c r="E2334" i="1"/>
  <c r="F2334" i="1"/>
  <c r="G2334" i="1" s="1"/>
  <c r="A2335" i="1"/>
  <c r="B2335" i="1" s="1"/>
  <c r="C2335" i="1"/>
  <c r="D2335" i="1"/>
  <c r="E2335" i="1"/>
  <c r="F2335" i="1"/>
  <c r="G2335" i="1" s="1"/>
  <c r="A2336" i="1"/>
  <c r="B2336" i="1"/>
  <c r="C2336" i="1"/>
  <c r="D2336" i="1"/>
  <c r="E2336" i="1"/>
  <c r="F2336" i="1"/>
  <c r="G2336" i="1" s="1"/>
  <c r="A2337" i="1"/>
  <c r="B2337" i="1" s="1"/>
  <c r="C2337" i="1"/>
  <c r="D2337" i="1"/>
  <c r="E2337" i="1"/>
  <c r="F2337" i="1"/>
  <c r="G2337" i="1" s="1"/>
  <c r="A2338" i="1"/>
  <c r="B2338" i="1" s="1"/>
  <c r="C2338" i="1"/>
  <c r="D2338" i="1"/>
  <c r="E2338" i="1"/>
  <c r="F2338" i="1"/>
  <c r="G2338" i="1" s="1"/>
  <c r="A2339" i="1"/>
  <c r="B2339" i="1" s="1"/>
  <c r="C2339" i="1"/>
  <c r="D2339" i="1"/>
  <c r="E2339" i="1"/>
  <c r="F2339" i="1"/>
  <c r="G2339" i="1" s="1"/>
  <c r="A2340" i="1"/>
  <c r="B2340" i="1"/>
  <c r="C2340" i="1"/>
  <c r="D2340" i="1"/>
  <c r="E2340" i="1"/>
  <c r="F2340" i="1"/>
  <c r="G2340" i="1" s="1"/>
  <c r="A2341" i="1"/>
  <c r="B2341" i="1" s="1"/>
  <c r="C2341" i="1"/>
  <c r="D2341" i="1"/>
  <c r="E2341" i="1"/>
  <c r="F2341" i="1"/>
  <c r="G2341" i="1" s="1"/>
  <c r="A2342" i="1"/>
  <c r="B2342" i="1" s="1"/>
  <c r="C2342" i="1"/>
  <c r="D2342" i="1"/>
  <c r="E2342" i="1"/>
  <c r="F2342" i="1"/>
  <c r="G2342" i="1" s="1"/>
  <c r="A2343" i="1"/>
  <c r="B2343" i="1" s="1"/>
  <c r="C2343" i="1"/>
  <c r="D2343" i="1"/>
  <c r="E2343" i="1"/>
  <c r="F2343" i="1"/>
  <c r="G2343" i="1" s="1"/>
  <c r="A2344" i="1"/>
  <c r="B2344" i="1" s="1"/>
  <c r="C2344" i="1"/>
  <c r="D2344" i="1"/>
  <c r="E2344" i="1"/>
  <c r="F2344" i="1"/>
  <c r="G2344" i="1" s="1"/>
  <c r="A2345" i="1"/>
  <c r="B2345" i="1" s="1"/>
  <c r="C2345" i="1"/>
  <c r="D2345" i="1"/>
  <c r="E2345" i="1"/>
  <c r="F2345" i="1"/>
  <c r="G2345" i="1" s="1"/>
  <c r="A2346" i="1"/>
  <c r="B2346" i="1"/>
  <c r="C2346" i="1"/>
  <c r="D2346" i="1"/>
  <c r="E2346" i="1"/>
  <c r="F2346" i="1"/>
  <c r="G2346" i="1" s="1"/>
  <c r="A2347" i="1"/>
  <c r="B2347" i="1"/>
  <c r="C2347" i="1"/>
  <c r="D2347" i="1"/>
  <c r="E2347" i="1"/>
  <c r="F2347" i="1"/>
  <c r="G2347" i="1" s="1"/>
  <c r="A2348" i="1"/>
  <c r="B2348" i="1" s="1"/>
  <c r="C2348" i="1"/>
  <c r="D2348" i="1"/>
  <c r="E2348" i="1"/>
  <c r="F2348" i="1"/>
  <c r="G2348" i="1" s="1"/>
  <c r="A2349" i="1"/>
  <c r="B2349" i="1" s="1"/>
  <c r="C2349" i="1"/>
  <c r="D2349" i="1"/>
  <c r="E2349" i="1"/>
  <c r="F2349" i="1"/>
  <c r="G2349" i="1" s="1"/>
  <c r="A2350" i="1"/>
  <c r="B2350" i="1" s="1"/>
  <c r="C2350" i="1"/>
  <c r="D2350" i="1"/>
  <c r="E2350" i="1"/>
  <c r="F2350" i="1"/>
  <c r="G2350" i="1" s="1"/>
  <c r="A2351" i="1"/>
  <c r="B2351" i="1" s="1"/>
  <c r="C2351" i="1"/>
  <c r="D2351" i="1"/>
  <c r="E2351" i="1"/>
  <c r="F2351" i="1"/>
  <c r="G2351" i="1" s="1"/>
  <c r="A2352" i="1"/>
  <c r="B2352" i="1" s="1"/>
  <c r="C2352" i="1"/>
  <c r="D2352" i="1"/>
  <c r="E2352" i="1"/>
  <c r="F2352" i="1"/>
  <c r="G2352" i="1" s="1"/>
  <c r="A2353" i="1"/>
  <c r="B2353" i="1" s="1"/>
  <c r="C2353" i="1"/>
  <c r="D2353" i="1"/>
  <c r="E2353" i="1"/>
  <c r="F2353" i="1"/>
  <c r="G2353" i="1" s="1"/>
  <c r="A2354" i="1"/>
  <c r="B2354" i="1" s="1"/>
  <c r="C2354" i="1"/>
  <c r="D2354" i="1"/>
  <c r="E2354" i="1"/>
  <c r="F2354" i="1"/>
  <c r="G2354" i="1" s="1"/>
  <c r="A2355" i="1"/>
  <c r="B2355" i="1" s="1"/>
  <c r="C2355" i="1"/>
  <c r="D2355" i="1"/>
  <c r="E2355" i="1"/>
  <c r="F2355" i="1"/>
  <c r="G2355" i="1" s="1"/>
  <c r="A2356" i="1"/>
  <c r="B2356" i="1" s="1"/>
  <c r="C2356" i="1"/>
  <c r="D2356" i="1"/>
  <c r="E2356" i="1"/>
  <c r="F2356" i="1"/>
  <c r="G2356" i="1" s="1"/>
  <c r="A2357" i="1"/>
  <c r="B2357" i="1" s="1"/>
  <c r="C2357" i="1"/>
  <c r="D2357" i="1"/>
  <c r="E2357" i="1"/>
  <c r="F2357" i="1"/>
  <c r="G2357" i="1" s="1"/>
  <c r="A2358" i="1"/>
  <c r="B2358" i="1" s="1"/>
  <c r="C2358" i="1"/>
  <c r="D2358" i="1"/>
  <c r="E2358" i="1"/>
  <c r="F2358" i="1"/>
  <c r="G2358" i="1" s="1"/>
  <c r="A2359" i="1"/>
  <c r="B2359" i="1" s="1"/>
  <c r="C2359" i="1"/>
  <c r="D2359" i="1"/>
  <c r="E2359" i="1"/>
  <c r="F2359" i="1"/>
  <c r="G2359" i="1" s="1"/>
  <c r="A2360" i="1"/>
  <c r="B2360" i="1" s="1"/>
  <c r="C2360" i="1"/>
  <c r="D2360" i="1"/>
  <c r="E2360" i="1"/>
  <c r="F2360" i="1"/>
  <c r="G2360" i="1" s="1"/>
  <c r="A2361" i="1"/>
  <c r="B2361" i="1" s="1"/>
  <c r="C2361" i="1"/>
  <c r="D2361" i="1"/>
  <c r="E2361" i="1"/>
  <c r="F2361" i="1"/>
  <c r="G2361" i="1" s="1"/>
  <c r="A2362" i="1"/>
  <c r="B2362" i="1" s="1"/>
  <c r="C2362" i="1"/>
  <c r="D2362" i="1"/>
  <c r="E2362" i="1"/>
  <c r="F2362" i="1"/>
  <c r="G2362" i="1" s="1"/>
  <c r="A2363" i="1"/>
  <c r="B2363" i="1" s="1"/>
  <c r="C2363" i="1"/>
  <c r="D2363" i="1"/>
  <c r="E2363" i="1"/>
  <c r="F2363" i="1"/>
  <c r="G2363" i="1" s="1"/>
  <c r="A2364" i="1"/>
  <c r="B2364" i="1" s="1"/>
  <c r="C2364" i="1"/>
  <c r="D2364" i="1"/>
  <c r="E2364" i="1"/>
  <c r="F2364" i="1"/>
  <c r="G2364" i="1"/>
  <c r="A2365" i="1"/>
  <c r="B2365" i="1" s="1"/>
  <c r="C2365" i="1"/>
  <c r="D2365" i="1"/>
  <c r="E2365" i="1"/>
  <c r="F2365" i="1"/>
  <c r="G2365" i="1" s="1"/>
  <c r="A2366" i="1"/>
  <c r="B2366" i="1" s="1"/>
  <c r="C2366" i="1"/>
  <c r="D2366" i="1"/>
  <c r="E2366" i="1"/>
  <c r="F2366" i="1"/>
  <c r="G2366" i="1" s="1"/>
  <c r="A2367" i="1"/>
  <c r="B2367" i="1"/>
  <c r="C2367" i="1"/>
  <c r="D2367" i="1"/>
  <c r="E2367" i="1"/>
  <c r="F2367" i="1"/>
  <c r="G2367" i="1" s="1"/>
  <c r="A2368" i="1"/>
  <c r="B2368" i="1" s="1"/>
  <c r="C2368" i="1"/>
  <c r="D2368" i="1"/>
  <c r="E2368" i="1"/>
  <c r="F2368" i="1"/>
  <c r="G2368" i="1" s="1"/>
  <c r="A2369" i="1"/>
  <c r="B2369" i="1" s="1"/>
  <c r="C2369" i="1"/>
  <c r="D2369" i="1"/>
  <c r="E2369" i="1"/>
  <c r="F2369" i="1"/>
  <c r="G2369" i="1" s="1"/>
  <c r="A2370" i="1"/>
  <c r="B2370" i="1"/>
  <c r="C2370" i="1"/>
  <c r="D2370" i="1"/>
  <c r="E2370" i="1"/>
  <c r="F2370" i="1"/>
  <c r="G2370" i="1" s="1"/>
  <c r="A2371" i="1"/>
  <c r="B2371" i="1" s="1"/>
  <c r="C2371" i="1"/>
  <c r="D2371" i="1"/>
  <c r="E2371" i="1"/>
  <c r="F2371" i="1"/>
  <c r="G2371" i="1" s="1"/>
  <c r="A2372" i="1"/>
  <c r="B2372" i="1"/>
  <c r="C2372" i="1"/>
  <c r="D2372" i="1"/>
  <c r="E2372" i="1"/>
  <c r="F2372" i="1"/>
  <c r="G2372" i="1" s="1"/>
  <c r="A2373" i="1"/>
  <c r="B2373" i="1" s="1"/>
  <c r="C2373" i="1"/>
  <c r="D2373" i="1"/>
  <c r="E2373" i="1"/>
  <c r="F2373" i="1"/>
  <c r="G2373" i="1" s="1"/>
  <c r="A2374" i="1"/>
  <c r="B2374" i="1" s="1"/>
  <c r="C2374" i="1"/>
  <c r="D2374" i="1"/>
  <c r="E2374" i="1"/>
  <c r="F2374" i="1"/>
  <c r="G2374" i="1" s="1"/>
  <c r="A2375" i="1"/>
  <c r="B2375" i="1" s="1"/>
  <c r="C2375" i="1"/>
  <c r="D2375" i="1"/>
  <c r="E2375" i="1"/>
  <c r="F2375" i="1"/>
  <c r="G2375" i="1" s="1"/>
  <c r="A2376" i="1"/>
  <c r="B2376" i="1"/>
  <c r="C2376" i="1"/>
  <c r="D2376" i="1"/>
  <c r="E2376" i="1"/>
  <c r="F2376" i="1"/>
  <c r="G2376" i="1" s="1"/>
  <c r="A2377" i="1"/>
  <c r="B2377" i="1" s="1"/>
  <c r="C2377" i="1"/>
  <c r="D2377" i="1"/>
  <c r="E2377" i="1"/>
  <c r="F2377" i="1"/>
  <c r="G2377" i="1" s="1"/>
  <c r="A2378" i="1"/>
  <c r="B2378" i="1"/>
  <c r="C2378" i="1"/>
  <c r="D2378" i="1"/>
  <c r="E2378" i="1"/>
  <c r="F2378" i="1"/>
  <c r="G2378" i="1" s="1"/>
  <c r="A2379" i="1"/>
  <c r="B2379" i="1" s="1"/>
  <c r="C2379" i="1"/>
  <c r="D2379" i="1"/>
  <c r="E2379" i="1"/>
  <c r="F2379" i="1"/>
  <c r="G2379" i="1" s="1"/>
  <c r="A2380" i="1"/>
  <c r="B2380" i="1" s="1"/>
  <c r="C2380" i="1"/>
  <c r="D2380" i="1"/>
  <c r="E2380" i="1"/>
  <c r="F2380" i="1"/>
  <c r="G2380" i="1" s="1"/>
  <c r="A2381" i="1"/>
  <c r="B2381" i="1" s="1"/>
  <c r="C2381" i="1"/>
  <c r="D2381" i="1"/>
  <c r="E2381" i="1"/>
  <c r="F2381" i="1"/>
  <c r="G2381" i="1" s="1"/>
  <c r="A2382" i="1"/>
  <c r="B2382" i="1"/>
  <c r="C2382" i="1"/>
  <c r="D2382" i="1"/>
  <c r="E2382" i="1"/>
  <c r="F2382" i="1"/>
  <c r="G2382" i="1" s="1"/>
  <c r="A2383" i="1"/>
  <c r="B2383" i="1" s="1"/>
  <c r="C2383" i="1"/>
  <c r="D2383" i="1"/>
  <c r="E2383" i="1"/>
  <c r="F2383" i="1"/>
  <c r="G2383" i="1"/>
  <c r="A2384" i="1"/>
  <c r="B2384" i="1"/>
  <c r="C2384" i="1"/>
  <c r="D2384" i="1"/>
  <c r="E2384" i="1"/>
  <c r="F2384" i="1"/>
  <c r="G2384" i="1" s="1"/>
  <c r="A2385" i="1"/>
  <c r="B2385" i="1" s="1"/>
  <c r="C2385" i="1"/>
  <c r="D2385" i="1"/>
  <c r="E2385" i="1"/>
  <c r="F2385" i="1"/>
  <c r="G2385" i="1" s="1"/>
  <c r="A2386" i="1"/>
  <c r="B2386" i="1" s="1"/>
  <c r="C2386" i="1"/>
  <c r="D2386" i="1"/>
  <c r="E2386" i="1"/>
  <c r="F2386" i="1"/>
  <c r="G2386" i="1" s="1"/>
  <c r="A2387" i="1"/>
  <c r="B2387" i="1" s="1"/>
  <c r="C2387" i="1"/>
  <c r="D2387" i="1"/>
  <c r="E2387" i="1"/>
  <c r="F2387" i="1"/>
  <c r="G2387" i="1" s="1"/>
  <c r="A2388" i="1"/>
  <c r="B2388" i="1"/>
  <c r="C2388" i="1"/>
  <c r="D2388" i="1"/>
  <c r="E2388" i="1"/>
  <c r="F2388" i="1"/>
  <c r="G2388" i="1"/>
  <c r="A2389" i="1"/>
  <c r="B2389" i="1" s="1"/>
  <c r="C2389" i="1"/>
  <c r="D2389" i="1"/>
  <c r="E2389" i="1"/>
  <c r="F2389" i="1"/>
  <c r="G2389" i="1" s="1"/>
  <c r="A2390" i="1"/>
  <c r="B2390" i="1" s="1"/>
  <c r="C2390" i="1"/>
  <c r="D2390" i="1"/>
  <c r="E2390" i="1"/>
  <c r="F2390" i="1"/>
  <c r="G2390" i="1" s="1"/>
  <c r="A2391" i="1"/>
  <c r="B2391" i="1"/>
  <c r="C2391" i="1"/>
  <c r="D2391" i="1"/>
  <c r="E2391" i="1"/>
  <c r="F2391" i="1"/>
  <c r="G2391" i="1" s="1"/>
  <c r="A2392" i="1"/>
  <c r="B2392" i="1" s="1"/>
  <c r="C2392" i="1"/>
  <c r="D2392" i="1"/>
  <c r="E2392" i="1"/>
  <c r="F2392" i="1"/>
  <c r="G2392" i="1" s="1"/>
  <c r="A2393" i="1"/>
  <c r="B2393" i="1" s="1"/>
  <c r="C2393" i="1"/>
  <c r="D2393" i="1"/>
  <c r="E2393" i="1"/>
  <c r="F2393" i="1"/>
  <c r="G2393" i="1" s="1"/>
  <c r="A2394" i="1"/>
  <c r="B2394" i="1" s="1"/>
  <c r="C2394" i="1"/>
  <c r="D2394" i="1"/>
  <c r="E2394" i="1"/>
  <c r="F2394" i="1"/>
  <c r="G2394" i="1" s="1"/>
  <c r="A2395" i="1"/>
  <c r="B2395" i="1"/>
  <c r="C2395" i="1"/>
  <c r="D2395" i="1"/>
  <c r="E2395" i="1"/>
  <c r="F2395" i="1"/>
  <c r="G2395" i="1" s="1"/>
  <c r="A2396" i="1"/>
  <c r="B2396" i="1" s="1"/>
  <c r="C2396" i="1"/>
  <c r="D2396" i="1"/>
  <c r="E2396" i="1"/>
  <c r="F2396" i="1"/>
  <c r="G2396" i="1"/>
  <c r="A2397" i="1"/>
  <c r="B2397" i="1"/>
  <c r="C2397" i="1"/>
  <c r="D2397" i="1"/>
  <c r="E2397" i="1"/>
  <c r="F2397" i="1"/>
  <c r="G2397" i="1" s="1"/>
  <c r="A2398" i="1"/>
  <c r="B2398" i="1" s="1"/>
  <c r="C2398" i="1"/>
  <c r="D2398" i="1"/>
  <c r="E2398" i="1"/>
  <c r="F2398" i="1"/>
  <c r="G2398" i="1" s="1"/>
  <c r="A2399" i="1"/>
  <c r="B2399" i="1" s="1"/>
  <c r="C2399" i="1"/>
  <c r="D2399" i="1"/>
  <c r="E2399" i="1"/>
  <c r="F2399" i="1"/>
  <c r="G2399" i="1" s="1"/>
  <c r="A2400" i="1"/>
  <c r="B2400" i="1" s="1"/>
  <c r="C2400" i="1"/>
  <c r="D2400" i="1"/>
  <c r="E2400" i="1"/>
  <c r="F2400" i="1"/>
  <c r="G2400" i="1" s="1"/>
  <c r="A2401" i="1"/>
  <c r="B2401" i="1" s="1"/>
  <c r="C2401" i="1"/>
  <c r="D2401" i="1"/>
  <c r="E2401" i="1"/>
  <c r="F2401" i="1"/>
  <c r="G2401" i="1" s="1"/>
  <c r="A2402" i="1"/>
  <c r="B2402" i="1"/>
  <c r="C2402" i="1"/>
  <c r="D2402" i="1"/>
  <c r="E2402" i="1"/>
  <c r="F2402" i="1"/>
  <c r="G2402" i="1" s="1"/>
  <c r="A2403" i="1"/>
  <c r="B2403" i="1" s="1"/>
  <c r="C2403" i="1"/>
  <c r="D2403" i="1"/>
  <c r="E2403" i="1"/>
  <c r="F2403" i="1"/>
  <c r="G2403" i="1" s="1"/>
  <c r="A2404" i="1"/>
  <c r="B2404" i="1" s="1"/>
  <c r="C2404" i="1"/>
  <c r="D2404" i="1"/>
  <c r="E2404" i="1"/>
  <c r="F2404" i="1"/>
  <c r="G2404" i="1" s="1"/>
  <c r="A2405" i="1"/>
  <c r="B2405" i="1" s="1"/>
  <c r="C2405" i="1"/>
  <c r="D2405" i="1"/>
  <c r="E2405" i="1"/>
  <c r="F2405" i="1"/>
  <c r="G2405" i="1" s="1"/>
  <c r="A2406" i="1"/>
  <c r="B2406" i="1" s="1"/>
  <c r="C2406" i="1"/>
  <c r="D2406" i="1"/>
  <c r="E2406" i="1"/>
  <c r="F2406" i="1"/>
  <c r="G2406" i="1" s="1"/>
  <c r="A2407" i="1"/>
  <c r="B2407" i="1" s="1"/>
  <c r="C2407" i="1"/>
  <c r="D2407" i="1"/>
  <c r="E2407" i="1"/>
  <c r="F2407" i="1"/>
  <c r="G2407" i="1" s="1"/>
  <c r="A2408" i="1"/>
  <c r="B2408" i="1" s="1"/>
  <c r="C2408" i="1"/>
  <c r="D2408" i="1"/>
  <c r="E2408" i="1"/>
  <c r="F2408" i="1"/>
  <c r="G2408" i="1" s="1"/>
  <c r="A2409" i="1"/>
  <c r="B2409" i="1" s="1"/>
  <c r="C2409" i="1"/>
  <c r="D2409" i="1"/>
  <c r="E2409" i="1"/>
  <c r="F2409" i="1"/>
  <c r="G2409" i="1" s="1"/>
  <c r="A2410" i="1"/>
  <c r="B2410" i="1" s="1"/>
  <c r="C2410" i="1"/>
  <c r="D2410" i="1"/>
  <c r="E2410" i="1"/>
  <c r="F2410" i="1"/>
  <c r="G2410" i="1"/>
  <c r="A2411" i="1"/>
  <c r="B2411" i="1" s="1"/>
  <c r="C2411" i="1"/>
  <c r="D2411" i="1"/>
  <c r="E2411" i="1"/>
  <c r="F2411" i="1"/>
  <c r="G2411" i="1" s="1"/>
  <c r="A2412" i="1"/>
  <c r="B2412" i="1" s="1"/>
  <c r="C2412" i="1"/>
  <c r="D2412" i="1"/>
  <c r="E2412" i="1"/>
  <c r="F2412" i="1"/>
  <c r="G2412" i="1" s="1"/>
  <c r="A2413" i="1"/>
  <c r="B2413" i="1" s="1"/>
  <c r="C2413" i="1"/>
  <c r="D2413" i="1"/>
  <c r="E2413" i="1"/>
  <c r="F2413" i="1"/>
  <c r="G2413" i="1" s="1"/>
  <c r="A2414" i="1"/>
  <c r="B2414" i="1" s="1"/>
  <c r="C2414" i="1"/>
  <c r="D2414" i="1"/>
  <c r="E2414" i="1"/>
  <c r="F2414" i="1"/>
  <c r="G2414" i="1" s="1"/>
  <c r="A2415" i="1"/>
  <c r="B2415" i="1"/>
  <c r="C2415" i="1"/>
  <c r="D2415" i="1"/>
  <c r="E2415" i="1"/>
  <c r="F2415" i="1"/>
  <c r="G2415" i="1" s="1"/>
  <c r="A2416" i="1"/>
  <c r="B2416" i="1" s="1"/>
  <c r="C2416" i="1"/>
  <c r="D2416" i="1"/>
  <c r="E2416" i="1"/>
  <c r="F2416" i="1"/>
  <c r="G2416" i="1" s="1"/>
  <c r="A2417" i="1"/>
  <c r="B2417" i="1" s="1"/>
  <c r="C2417" i="1"/>
  <c r="D2417" i="1"/>
  <c r="E2417" i="1"/>
  <c r="F2417" i="1"/>
  <c r="G2417" i="1" s="1"/>
  <c r="A2418" i="1"/>
  <c r="B2418" i="1" s="1"/>
  <c r="C2418" i="1"/>
  <c r="D2418" i="1"/>
  <c r="E2418" i="1"/>
  <c r="F2418" i="1"/>
  <c r="G2418" i="1" s="1"/>
  <c r="A2419" i="1"/>
  <c r="B2419" i="1" s="1"/>
  <c r="C2419" i="1"/>
  <c r="D2419" i="1"/>
  <c r="E2419" i="1"/>
  <c r="F2419" i="1"/>
  <c r="G2419" i="1" s="1"/>
  <c r="A2420" i="1"/>
  <c r="B2420" i="1" s="1"/>
  <c r="C2420" i="1"/>
  <c r="D2420" i="1"/>
  <c r="E2420" i="1"/>
  <c r="F2420" i="1"/>
  <c r="G2420" i="1" s="1"/>
  <c r="A2421" i="1"/>
  <c r="B2421" i="1" s="1"/>
  <c r="C2421" i="1"/>
  <c r="D2421" i="1"/>
  <c r="E2421" i="1"/>
  <c r="F2421" i="1"/>
  <c r="G2421" i="1" s="1"/>
  <c r="A2422" i="1"/>
  <c r="B2422" i="1" s="1"/>
  <c r="C2422" i="1"/>
  <c r="D2422" i="1"/>
  <c r="E2422" i="1"/>
  <c r="F2422" i="1"/>
  <c r="G2422" i="1" s="1"/>
  <c r="A2423" i="1"/>
  <c r="B2423" i="1"/>
  <c r="C2423" i="1"/>
  <c r="D2423" i="1"/>
  <c r="E2423" i="1"/>
  <c r="F2423" i="1"/>
  <c r="G2423" i="1" s="1"/>
  <c r="A2424" i="1"/>
  <c r="B2424" i="1" s="1"/>
  <c r="C2424" i="1"/>
  <c r="D2424" i="1"/>
  <c r="E2424" i="1"/>
  <c r="F2424" i="1"/>
  <c r="G2424" i="1" s="1"/>
  <c r="A2425" i="1"/>
  <c r="B2425" i="1" s="1"/>
  <c r="C2425" i="1"/>
  <c r="D2425" i="1"/>
  <c r="E2425" i="1"/>
  <c r="F2425" i="1"/>
  <c r="G2425" i="1" s="1"/>
  <c r="A2426" i="1"/>
  <c r="B2426" i="1" s="1"/>
  <c r="C2426" i="1"/>
  <c r="D2426" i="1"/>
  <c r="E2426" i="1"/>
  <c r="F2426" i="1"/>
  <c r="G2426" i="1" s="1"/>
  <c r="A2427" i="1"/>
  <c r="B2427" i="1"/>
  <c r="C2427" i="1"/>
  <c r="D2427" i="1"/>
  <c r="E2427" i="1"/>
  <c r="F2427" i="1"/>
  <c r="G2427" i="1" s="1"/>
  <c r="A2428" i="1"/>
  <c r="B2428" i="1" s="1"/>
  <c r="C2428" i="1"/>
  <c r="D2428" i="1"/>
  <c r="E2428" i="1"/>
  <c r="F2428" i="1"/>
  <c r="G2428" i="1" s="1"/>
  <c r="A2429" i="1"/>
  <c r="B2429" i="1" s="1"/>
  <c r="C2429" i="1"/>
  <c r="D2429" i="1"/>
  <c r="E2429" i="1"/>
  <c r="F2429" i="1"/>
  <c r="G2429" i="1" s="1"/>
  <c r="A2430" i="1"/>
  <c r="B2430" i="1" s="1"/>
  <c r="C2430" i="1"/>
  <c r="D2430" i="1"/>
  <c r="E2430" i="1"/>
  <c r="F2430" i="1"/>
  <c r="G2430" i="1" s="1"/>
  <c r="A2431" i="1"/>
  <c r="B2431" i="1" s="1"/>
  <c r="C2431" i="1"/>
  <c r="D2431" i="1"/>
  <c r="E2431" i="1"/>
  <c r="F2431" i="1"/>
  <c r="G2431" i="1" s="1"/>
  <c r="A2432" i="1"/>
  <c r="B2432" i="1" s="1"/>
  <c r="C2432" i="1"/>
  <c r="D2432" i="1"/>
  <c r="E2432" i="1"/>
  <c r="F2432" i="1"/>
  <c r="G2432" i="1" s="1"/>
  <c r="A2433" i="1"/>
  <c r="B2433" i="1" s="1"/>
  <c r="C2433" i="1"/>
  <c r="D2433" i="1"/>
  <c r="E2433" i="1"/>
  <c r="F2433" i="1"/>
  <c r="G2433" i="1" s="1"/>
  <c r="A2434" i="1"/>
  <c r="B2434" i="1" s="1"/>
  <c r="C2434" i="1"/>
  <c r="D2434" i="1"/>
  <c r="E2434" i="1"/>
  <c r="F2434" i="1"/>
  <c r="G2434" i="1" s="1"/>
  <c r="A2435" i="1"/>
  <c r="B2435" i="1" s="1"/>
  <c r="C2435" i="1"/>
  <c r="D2435" i="1"/>
  <c r="E2435" i="1"/>
  <c r="F2435" i="1"/>
  <c r="G2435" i="1" s="1"/>
  <c r="A2436" i="1"/>
  <c r="B2436" i="1"/>
  <c r="C2436" i="1"/>
  <c r="D2436" i="1"/>
  <c r="E2436" i="1"/>
  <c r="F2436" i="1"/>
  <c r="G2436" i="1" s="1"/>
  <c r="A2437" i="1"/>
  <c r="B2437" i="1" s="1"/>
  <c r="C2437" i="1"/>
  <c r="D2437" i="1"/>
  <c r="E2437" i="1"/>
  <c r="F2437" i="1"/>
  <c r="G2437" i="1" s="1"/>
  <c r="A2438" i="1"/>
  <c r="B2438" i="1" s="1"/>
  <c r="C2438" i="1"/>
  <c r="D2438" i="1"/>
  <c r="E2438" i="1"/>
  <c r="F2438" i="1"/>
  <c r="G2438" i="1" s="1"/>
  <c r="A2439" i="1"/>
  <c r="B2439" i="1" s="1"/>
  <c r="C2439" i="1"/>
  <c r="D2439" i="1"/>
  <c r="E2439" i="1"/>
  <c r="F2439" i="1"/>
  <c r="G2439" i="1" s="1"/>
  <c r="A2440" i="1"/>
  <c r="B2440" i="1" s="1"/>
  <c r="C2440" i="1"/>
  <c r="D2440" i="1"/>
  <c r="E2440" i="1"/>
  <c r="F2440" i="1"/>
  <c r="G2440" i="1" s="1"/>
  <c r="A2441" i="1"/>
  <c r="B2441" i="1" s="1"/>
  <c r="C2441" i="1"/>
  <c r="D2441" i="1"/>
  <c r="E2441" i="1"/>
  <c r="F2441" i="1"/>
  <c r="G2441" i="1" s="1"/>
  <c r="A2442" i="1"/>
  <c r="B2442" i="1" s="1"/>
  <c r="C2442" i="1"/>
  <c r="D2442" i="1"/>
  <c r="E2442" i="1"/>
  <c r="F2442" i="1"/>
  <c r="G2442" i="1" s="1"/>
  <c r="A2443" i="1"/>
  <c r="B2443" i="1" s="1"/>
  <c r="C2443" i="1"/>
  <c r="D2443" i="1"/>
  <c r="E2443" i="1"/>
  <c r="F2443" i="1"/>
  <c r="G2443" i="1" s="1"/>
  <c r="A2444" i="1"/>
  <c r="B2444" i="1" s="1"/>
  <c r="C2444" i="1"/>
  <c r="D2444" i="1"/>
  <c r="E2444" i="1"/>
  <c r="F2444" i="1"/>
  <c r="G2444" i="1" s="1"/>
  <c r="A2445" i="1"/>
  <c r="B2445" i="1" s="1"/>
  <c r="C2445" i="1"/>
  <c r="D2445" i="1"/>
  <c r="E2445" i="1"/>
  <c r="F2445" i="1"/>
  <c r="G2445" i="1" s="1"/>
  <c r="A2446" i="1"/>
  <c r="B2446" i="1" s="1"/>
  <c r="C2446" i="1"/>
  <c r="D2446" i="1"/>
  <c r="E2446" i="1"/>
  <c r="F2446" i="1"/>
  <c r="G2446" i="1" s="1"/>
  <c r="A2447" i="1"/>
  <c r="B2447" i="1"/>
  <c r="C2447" i="1"/>
  <c r="D2447" i="1"/>
  <c r="E2447" i="1"/>
  <c r="F2447" i="1"/>
  <c r="G2447" i="1" s="1"/>
  <c r="A2448" i="1"/>
  <c r="B2448" i="1" s="1"/>
  <c r="C2448" i="1"/>
  <c r="D2448" i="1"/>
  <c r="E2448" i="1"/>
  <c r="F2448" i="1"/>
  <c r="G2448" i="1" s="1"/>
  <c r="A2449" i="1"/>
  <c r="B2449" i="1" s="1"/>
  <c r="C2449" i="1"/>
  <c r="D2449" i="1"/>
  <c r="E2449" i="1"/>
  <c r="F2449" i="1"/>
  <c r="G2449" i="1" s="1"/>
  <c r="A2450" i="1"/>
  <c r="B2450" i="1" s="1"/>
  <c r="C2450" i="1"/>
  <c r="D2450" i="1"/>
  <c r="E2450" i="1"/>
  <c r="F2450" i="1"/>
  <c r="G2450" i="1" s="1"/>
  <c r="A2451" i="1"/>
  <c r="B2451" i="1" s="1"/>
  <c r="C2451" i="1"/>
  <c r="D2451" i="1"/>
  <c r="E2451" i="1"/>
  <c r="F2451" i="1"/>
  <c r="G2451" i="1" s="1"/>
  <c r="A2452" i="1"/>
  <c r="B2452" i="1" s="1"/>
  <c r="C2452" i="1"/>
  <c r="D2452" i="1"/>
  <c r="E2452" i="1"/>
  <c r="F2452" i="1"/>
  <c r="G2452" i="1" s="1"/>
  <c r="A2453" i="1"/>
  <c r="B2453" i="1" s="1"/>
  <c r="C2453" i="1"/>
  <c r="D2453" i="1"/>
  <c r="E2453" i="1"/>
  <c r="F2453" i="1"/>
  <c r="G2453" i="1" s="1"/>
  <c r="A2454" i="1"/>
  <c r="B2454" i="1" s="1"/>
  <c r="C2454" i="1"/>
  <c r="D2454" i="1"/>
  <c r="E2454" i="1"/>
  <c r="F2454" i="1"/>
  <c r="G2454" i="1" s="1"/>
  <c r="A2455" i="1"/>
  <c r="B2455" i="1" s="1"/>
  <c r="C2455" i="1"/>
  <c r="D2455" i="1"/>
  <c r="E2455" i="1"/>
  <c r="F2455" i="1"/>
  <c r="G2455" i="1" s="1"/>
  <c r="A2456" i="1"/>
  <c r="B2456" i="1" s="1"/>
  <c r="C2456" i="1"/>
  <c r="D2456" i="1"/>
  <c r="E2456" i="1"/>
  <c r="F2456" i="1"/>
  <c r="G2456" i="1" s="1"/>
  <c r="A2457" i="1"/>
  <c r="B2457" i="1" s="1"/>
  <c r="C2457" i="1"/>
  <c r="D2457" i="1"/>
  <c r="E2457" i="1"/>
  <c r="F2457" i="1"/>
  <c r="G2457" i="1" s="1"/>
  <c r="A2458" i="1"/>
  <c r="B2458" i="1" s="1"/>
  <c r="C2458" i="1"/>
  <c r="D2458" i="1"/>
  <c r="E2458" i="1"/>
  <c r="F2458" i="1"/>
  <c r="G2458" i="1" s="1"/>
  <c r="A2459" i="1"/>
  <c r="B2459" i="1" s="1"/>
  <c r="C2459" i="1"/>
  <c r="D2459" i="1"/>
  <c r="E2459" i="1"/>
  <c r="F2459" i="1"/>
  <c r="G2459" i="1" s="1"/>
  <c r="A2460" i="1"/>
  <c r="B2460" i="1"/>
  <c r="C2460" i="1"/>
  <c r="D2460" i="1"/>
  <c r="E2460" i="1"/>
  <c r="F2460" i="1"/>
  <c r="G2460" i="1" s="1"/>
  <c r="A2461" i="1"/>
  <c r="B2461" i="1" s="1"/>
  <c r="C2461" i="1"/>
  <c r="D2461" i="1"/>
  <c r="E2461" i="1"/>
  <c r="F2461" i="1"/>
  <c r="G2461" i="1"/>
  <c r="A2462" i="1"/>
  <c r="B2462" i="1" s="1"/>
  <c r="C2462" i="1"/>
  <c r="D2462" i="1"/>
  <c r="E2462" i="1"/>
  <c r="F2462" i="1"/>
  <c r="G2462" i="1" s="1"/>
  <c r="A2463" i="1"/>
  <c r="B2463" i="1" s="1"/>
  <c r="C2463" i="1"/>
  <c r="D2463" i="1"/>
  <c r="E2463" i="1"/>
  <c r="F2463" i="1"/>
  <c r="G2463" i="1" s="1"/>
  <c r="A2464" i="1"/>
  <c r="B2464" i="1" s="1"/>
  <c r="C2464" i="1"/>
  <c r="D2464" i="1"/>
  <c r="E2464" i="1"/>
  <c r="F2464" i="1"/>
  <c r="G2464" i="1" s="1"/>
  <c r="A2465" i="1"/>
  <c r="B2465" i="1" s="1"/>
  <c r="C2465" i="1"/>
  <c r="D2465" i="1"/>
  <c r="E2465" i="1"/>
  <c r="F2465" i="1"/>
  <c r="G2465" i="1" s="1"/>
  <c r="A2466" i="1"/>
  <c r="B2466" i="1" s="1"/>
  <c r="C2466" i="1"/>
  <c r="D2466" i="1"/>
  <c r="E2466" i="1"/>
  <c r="F2466" i="1"/>
  <c r="G2466" i="1" s="1"/>
  <c r="A2467" i="1"/>
  <c r="B2467" i="1" s="1"/>
  <c r="C2467" i="1"/>
  <c r="D2467" i="1"/>
  <c r="E2467" i="1"/>
  <c r="F2467" i="1"/>
  <c r="G2467" i="1" s="1"/>
  <c r="A2468" i="1"/>
  <c r="B2468" i="1" s="1"/>
  <c r="C2468" i="1"/>
  <c r="D2468" i="1"/>
  <c r="E2468" i="1"/>
  <c r="F2468" i="1"/>
  <c r="G2468" i="1" s="1"/>
  <c r="A2469" i="1"/>
  <c r="B2469" i="1" s="1"/>
  <c r="C2469" i="1"/>
  <c r="D2469" i="1"/>
  <c r="E2469" i="1"/>
  <c r="F2469" i="1"/>
  <c r="G2469" i="1" s="1"/>
  <c r="A2470" i="1"/>
  <c r="B2470" i="1" s="1"/>
  <c r="C2470" i="1"/>
  <c r="D2470" i="1"/>
  <c r="E2470" i="1"/>
  <c r="F2470" i="1"/>
  <c r="G2470" i="1" s="1"/>
  <c r="A2471" i="1"/>
  <c r="B2471" i="1" s="1"/>
  <c r="C2471" i="1"/>
  <c r="D2471" i="1"/>
  <c r="E2471" i="1"/>
  <c r="F2471" i="1"/>
  <c r="G2471" i="1" s="1"/>
  <c r="A2472" i="1"/>
  <c r="B2472" i="1" s="1"/>
  <c r="C2472" i="1"/>
  <c r="D2472" i="1"/>
  <c r="E2472" i="1"/>
  <c r="F2472" i="1"/>
  <c r="G2472" i="1" s="1"/>
  <c r="A2473" i="1"/>
  <c r="B2473" i="1" s="1"/>
  <c r="C2473" i="1"/>
  <c r="D2473" i="1"/>
  <c r="E2473" i="1"/>
  <c r="F2473" i="1"/>
  <c r="G2473" i="1" s="1"/>
  <c r="A2474" i="1"/>
  <c r="B2474" i="1" s="1"/>
  <c r="C2474" i="1"/>
  <c r="D2474" i="1"/>
  <c r="E2474" i="1"/>
  <c r="F2474" i="1"/>
  <c r="G2474" i="1" s="1"/>
  <c r="A2475" i="1"/>
  <c r="B2475" i="1" s="1"/>
  <c r="C2475" i="1"/>
  <c r="D2475" i="1"/>
  <c r="E2475" i="1"/>
  <c r="F2475" i="1"/>
  <c r="G2475" i="1" s="1"/>
  <c r="A2476" i="1"/>
  <c r="B2476" i="1" s="1"/>
  <c r="C2476" i="1"/>
  <c r="D2476" i="1"/>
  <c r="E2476" i="1"/>
  <c r="F2476" i="1"/>
  <c r="G2476" i="1" s="1"/>
  <c r="A2477" i="1"/>
  <c r="B2477" i="1" s="1"/>
  <c r="C2477" i="1"/>
  <c r="D2477" i="1"/>
  <c r="E2477" i="1"/>
  <c r="F2477" i="1"/>
  <c r="G2477" i="1" s="1"/>
  <c r="A2478" i="1"/>
  <c r="B2478" i="1" s="1"/>
  <c r="C2478" i="1"/>
  <c r="D2478" i="1"/>
  <c r="E2478" i="1"/>
  <c r="F2478" i="1"/>
  <c r="G2478" i="1" s="1"/>
  <c r="A2479" i="1"/>
  <c r="B2479" i="1" s="1"/>
  <c r="C2479" i="1"/>
  <c r="D2479" i="1"/>
  <c r="E2479" i="1"/>
  <c r="F2479" i="1"/>
  <c r="G2479" i="1" s="1"/>
  <c r="A2480" i="1"/>
  <c r="B2480" i="1"/>
  <c r="C2480" i="1"/>
  <c r="D2480" i="1"/>
  <c r="E2480" i="1"/>
  <c r="F2480" i="1"/>
  <c r="G2480" i="1" s="1"/>
  <c r="A2481" i="1"/>
  <c r="B2481" i="1" s="1"/>
  <c r="C2481" i="1"/>
  <c r="D2481" i="1"/>
  <c r="E2481" i="1"/>
  <c r="F2481" i="1"/>
  <c r="G2481" i="1" s="1"/>
  <c r="A2482" i="1"/>
  <c r="B2482" i="1" s="1"/>
  <c r="C2482" i="1"/>
  <c r="D2482" i="1"/>
  <c r="E2482" i="1"/>
  <c r="F2482" i="1"/>
  <c r="G2482" i="1" s="1"/>
  <c r="A2483" i="1"/>
  <c r="B2483" i="1" s="1"/>
  <c r="C2483" i="1"/>
  <c r="D2483" i="1"/>
  <c r="E2483" i="1"/>
  <c r="F2483" i="1"/>
  <c r="G2483" i="1" s="1"/>
  <c r="A2484" i="1"/>
  <c r="B2484" i="1" s="1"/>
  <c r="C2484" i="1"/>
  <c r="D2484" i="1"/>
  <c r="E2484" i="1"/>
  <c r="F2484" i="1"/>
  <c r="G2484" i="1" s="1"/>
  <c r="A2485" i="1"/>
  <c r="B2485" i="1" s="1"/>
  <c r="C2485" i="1"/>
  <c r="D2485" i="1"/>
  <c r="E2485" i="1"/>
  <c r="F2485" i="1"/>
  <c r="G2485" i="1" s="1"/>
  <c r="A2486" i="1"/>
  <c r="B2486" i="1" s="1"/>
  <c r="C2486" i="1"/>
  <c r="D2486" i="1"/>
  <c r="E2486" i="1"/>
  <c r="F2486" i="1"/>
  <c r="G2486" i="1" s="1"/>
  <c r="A2487" i="1"/>
  <c r="B2487" i="1" s="1"/>
  <c r="C2487" i="1"/>
  <c r="D2487" i="1"/>
  <c r="E2487" i="1"/>
  <c r="F2487" i="1"/>
  <c r="G2487" i="1" s="1"/>
  <c r="A2488" i="1"/>
  <c r="B2488" i="1" s="1"/>
  <c r="C2488" i="1"/>
  <c r="D2488" i="1"/>
  <c r="E2488" i="1"/>
  <c r="F2488" i="1"/>
  <c r="G2488" i="1" s="1"/>
  <c r="A2489" i="1"/>
  <c r="B2489" i="1" s="1"/>
  <c r="C2489" i="1"/>
  <c r="D2489" i="1"/>
  <c r="E2489" i="1"/>
  <c r="F2489" i="1"/>
  <c r="G2489" i="1"/>
  <c r="A2490" i="1"/>
  <c r="B2490" i="1" s="1"/>
  <c r="C2490" i="1"/>
  <c r="D2490" i="1"/>
  <c r="E2490" i="1"/>
  <c r="F2490" i="1"/>
  <c r="G2490" i="1" s="1"/>
  <c r="A2491" i="1"/>
  <c r="B2491" i="1" s="1"/>
  <c r="C2491" i="1"/>
  <c r="D2491" i="1"/>
  <c r="E2491" i="1"/>
  <c r="F2491" i="1"/>
  <c r="G2491" i="1" s="1"/>
  <c r="A2492" i="1"/>
  <c r="B2492" i="1" s="1"/>
  <c r="C2492" i="1"/>
  <c r="D2492" i="1"/>
  <c r="E2492" i="1"/>
  <c r="F2492" i="1"/>
  <c r="G2492" i="1" s="1"/>
  <c r="A2493" i="1"/>
  <c r="B2493" i="1" s="1"/>
  <c r="C2493" i="1"/>
  <c r="D2493" i="1"/>
  <c r="E2493" i="1"/>
  <c r="F2493" i="1"/>
  <c r="G2493" i="1" s="1"/>
  <c r="A2494" i="1"/>
  <c r="B2494" i="1"/>
  <c r="C2494" i="1"/>
  <c r="D2494" i="1"/>
  <c r="E2494" i="1"/>
  <c r="F2494" i="1"/>
  <c r="G2494" i="1"/>
  <c r="A2495" i="1"/>
  <c r="B2495" i="1" s="1"/>
  <c r="C2495" i="1"/>
  <c r="D2495" i="1"/>
  <c r="E2495" i="1"/>
  <c r="F2495" i="1"/>
  <c r="G2495" i="1" s="1"/>
  <c r="A2496" i="1"/>
  <c r="B2496" i="1"/>
  <c r="C2496" i="1"/>
  <c r="D2496" i="1"/>
  <c r="E2496" i="1"/>
  <c r="F2496" i="1"/>
  <c r="G2496" i="1" s="1"/>
  <c r="A2497" i="1"/>
  <c r="B2497" i="1" s="1"/>
  <c r="C2497" i="1"/>
  <c r="D2497" i="1"/>
  <c r="E2497" i="1"/>
  <c r="F2497" i="1"/>
  <c r="G2497" i="1" s="1"/>
  <c r="A2498" i="1"/>
  <c r="B2498" i="1" s="1"/>
  <c r="C2498" i="1"/>
  <c r="D2498" i="1"/>
  <c r="E2498" i="1"/>
  <c r="F2498" i="1"/>
  <c r="G2498" i="1" s="1"/>
  <c r="A2499" i="1"/>
  <c r="B2499" i="1" s="1"/>
  <c r="C2499" i="1"/>
  <c r="D2499" i="1"/>
  <c r="E2499" i="1"/>
  <c r="F2499" i="1"/>
  <c r="G2499" i="1" s="1"/>
  <c r="A2500" i="1"/>
  <c r="B2500" i="1" s="1"/>
  <c r="C2500" i="1"/>
  <c r="D2500" i="1"/>
  <c r="E2500" i="1"/>
  <c r="F2500" i="1"/>
  <c r="G2500" i="1"/>
  <c r="A2501" i="1"/>
  <c r="B2501" i="1" s="1"/>
  <c r="C2501" i="1"/>
  <c r="D2501" i="1"/>
  <c r="E2501" i="1"/>
  <c r="F2501" i="1"/>
  <c r="G2501" i="1" s="1"/>
  <c r="A2502" i="1"/>
  <c r="B2502" i="1"/>
  <c r="C2502" i="1"/>
  <c r="D2502" i="1"/>
  <c r="E2502" i="1"/>
  <c r="F2502" i="1"/>
  <c r="G2502" i="1" s="1"/>
  <c r="A2503" i="1"/>
  <c r="B2503" i="1" s="1"/>
  <c r="C2503" i="1"/>
  <c r="D2503" i="1"/>
  <c r="E2503" i="1"/>
  <c r="F2503" i="1"/>
  <c r="G2503" i="1" s="1"/>
  <c r="A2504" i="1"/>
  <c r="B2504" i="1" s="1"/>
  <c r="C2504" i="1"/>
  <c r="D2504" i="1"/>
  <c r="E2504" i="1"/>
  <c r="F2504" i="1"/>
  <c r="G2504" i="1" s="1"/>
  <c r="A2505" i="1"/>
  <c r="B2505" i="1" s="1"/>
  <c r="C2505" i="1"/>
  <c r="D2505" i="1"/>
  <c r="E2505" i="1"/>
  <c r="F2505" i="1"/>
  <c r="G2505" i="1" s="1"/>
  <c r="A2506" i="1"/>
  <c r="B2506" i="1" s="1"/>
  <c r="C2506" i="1"/>
  <c r="D2506" i="1"/>
  <c r="E2506" i="1"/>
  <c r="F2506" i="1"/>
  <c r="G2506" i="1" s="1"/>
  <c r="A2507" i="1"/>
  <c r="B2507" i="1" s="1"/>
  <c r="C2507" i="1"/>
  <c r="D2507" i="1"/>
  <c r="E2507" i="1"/>
  <c r="F2507" i="1"/>
  <c r="G2507" i="1" s="1"/>
  <c r="A2508" i="1"/>
  <c r="B2508" i="1"/>
  <c r="C2508" i="1"/>
  <c r="D2508" i="1"/>
  <c r="E2508" i="1"/>
  <c r="F2508" i="1"/>
  <c r="G2508" i="1" s="1"/>
  <c r="A2509" i="1"/>
  <c r="B2509" i="1" s="1"/>
  <c r="C2509" i="1"/>
  <c r="D2509" i="1"/>
  <c r="E2509" i="1"/>
  <c r="F2509" i="1"/>
  <c r="G2509" i="1" s="1"/>
  <c r="A2510" i="1"/>
  <c r="B2510" i="1" s="1"/>
  <c r="C2510" i="1"/>
  <c r="D2510" i="1"/>
  <c r="E2510" i="1"/>
  <c r="F2510" i="1"/>
  <c r="G2510" i="1" s="1"/>
  <c r="A2511" i="1"/>
  <c r="B2511" i="1"/>
  <c r="C2511" i="1"/>
  <c r="D2511" i="1"/>
  <c r="E2511" i="1"/>
  <c r="F2511" i="1"/>
  <c r="G2511" i="1" s="1"/>
  <c r="A2512" i="1"/>
  <c r="B2512" i="1" s="1"/>
  <c r="C2512" i="1"/>
  <c r="D2512" i="1"/>
  <c r="E2512" i="1"/>
  <c r="F2512" i="1"/>
  <c r="G2512" i="1" s="1"/>
  <c r="A2513" i="1"/>
  <c r="B2513" i="1" s="1"/>
  <c r="C2513" i="1"/>
  <c r="D2513" i="1"/>
  <c r="E2513" i="1"/>
  <c r="F2513" i="1"/>
  <c r="G2513" i="1" s="1"/>
  <c r="A2514" i="1"/>
  <c r="B2514" i="1" s="1"/>
  <c r="C2514" i="1"/>
  <c r="D2514" i="1"/>
  <c r="E2514" i="1"/>
  <c r="F2514" i="1"/>
  <c r="G2514" i="1" s="1"/>
  <c r="A2515" i="1"/>
  <c r="B2515" i="1" s="1"/>
  <c r="C2515" i="1"/>
  <c r="D2515" i="1"/>
  <c r="E2515" i="1"/>
  <c r="F2515" i="1"/>
  <c r="G2515" i="1" s="1"/>
  <c r="A2516" i="1"/>
  <c r="B2516" i="1" s="1"/>
  <c r="C2516" i="1"/>
  <c r="D2516" i="1"/>
  <c r="E2516" i="1"/>
  <c r="F2516" i="1"/>
  <c r="G2516" i="1" s="1"/>
  <c r="A2517" i="1"/>
  <c r="B2517" i="1" s="1"/>
  <c r="C2517" i="1"/>
  <c r="D2517" i="1"/>
  <c r="E2517" i="1"/>
  <c r="F2517" i="1"/>
  <c r="G2517" i="1" s="1"/>
  <c r="A2518" i="1"/>
  <c r="B2518" i="1" s="1"/>
  <c r="C2518" i="1"/>
  <c r="D2518" i="1"/>
  <c r="E2518" i="1"/>
  <c r="F2518" i="1"/>
  <c r="G2518" i="1" s="1"/>
  <c r="A2519" i="1"/>
  <c r="B2519" i="1" s="1"/>
  <c r="C2519" i="1"/>
  <c r="D2519" i="1"/>
  <c r="E2519" i="1"/>
  <c r="F2519" i="1"/>
  <c r="G2519" i="1" s="1"/>
  <c r="A2520" i="1"/>
  <c r="B2520" i="1" s="1"/>
  <c r="C2520" i="1"/>
  <c r="D2520" i="1"/>
  <c r="E2520" i="1"/>
  <c r="F2520" i="1"/>
  <c r="G2520" i="1" s="1"/>
  <c r="A2521" i="1"/>
  <c r="B2521" i="1" s="1"/>
  <c r="C2521" i="1"/>
  <c r="D2521" i="1"/>
  <c r="E2521" i="1"/>
  <c r="F2521" i="1"/>
  <c r="G2521" i="1" s="1"/>
  <c r="A2522" i="1"/>
  <c r="B2522" i="1" s="1"/>
  <c r="C2522" i="1"/>
  <c r="D2522" i="1"/>
  <c r="E2522" i="1"/>
  <c r="F2522" i="1"/>
  <c r="G2522" i="1" s="1"/>
  <c r="A2523" i="1"/>
  <c r="B2523" i="1" s="1"/>
  <c r="C2523" i="1"/>
  <c r="D2523" i="1"/>
  <c r="E2523" i="1"/>
  <c r="F2523" i="1"/>
  <c r="G2523" i="1" s="1"/>
  <c r="A2524" i="1"/>
  <c r="B2524" i="1" s="1"/>
  <c r="C2524" i="1"/>
  <c r="D2524" i="1"/>
  <c r="E2524" i="1"/>
  <c r="F2524" i="1"/>
  <c r="G2524" i="1" s="1"/>
  <c r="A2525" i="1"/>
  <c r="B2525" i="1" s="1"/>
  <c r="C2525" i="1"/>
  <c r="D2525" i="1"/>
  <c r="E2525" i="1"/>
  <c r="F2525" i="1"/>
  <c r="G2525" i="1" s="1"/>
  <c r="A2526" i="1"/>
  <c r="B2526" i="1" s="1"/>
  <c r="C2526" i="1"/>
  <c r="D2526" i="1"/>
  <c r="E2526" i="1"/>
  <c r="F2526" i="1"/>
  <c r="G2526" i="1" s="1"/>
  <c r="A2527" i="1"/>
  <c r="B2527" i="1"/>
  <c r="C2527" i="1"/>
  <c r="D2527" i="1"/>
  <c r="E2527" i="1"/>
  <c r="F2527" i="1"/>
  <c r="G2527" i="1" s="1"/>
  <c r="A2528" i="1"/>
  <c r="B2528" i="1" s="1"/>
  <c r="C2528" i="1"/>
  <c r="D2528" i="1"/>
  <c r="E2528" i="1"/>
  <c r="F2528" i="1"/>
  <c r="G2528" i="1" s="1"/>
  <c r="A2529" i="1"/>
  <c r="B2529" i="1" s="1"/>
  <c r="C2529" i="1"/>
  <c r="D2529" i="1"/>
  <c r="E2529" i="1"/>
  <c r="F2529" i="1"/>
  <c r="G2529" i="1" s="1"/>
  <c r="A2530" i="1"/>
  <c r="B2530" i="1" s="1"/>
  <c r="C2530" i="1"/>
  <c r="D2530" i="1"/>
  <c r="E2530" i="1"/>
  <c r="F2530" i="1"/>
  <c r="G2530" i="1" s="1"/>
  <c r="A2531" i="1"/>
  <c r="B2531" i="1" s="1"/>
  <c r="C2531" i="1"/>
  <c r="D2531" i="1"/>
  <c r="E2531" i="1"/>
  <c r="F2531" i="1"/>
  <c r="G2531" i="1" s="1"/>
  <c r="A2532" i="1"/>
  <c r="B2532" i="1"/>
  <c r="C2532" i="1"/>
  <c r="D2532" i="1"/>
  <c r="E2532" i="1"/>
  <c r="F2532" i="1"/>
  <c r="G2532" i="1"/>
  <c r="A2533" i="1"/>
  <c r="B2533" i="1" s="1"/>
  <c r="C2533" i="1"/>
  <c r="D2533" i="1"/>
  <c r="E2533" i="1"/>
  <c r="F2533" i="1"/>
  <c r="G2533" i="1" s="1"/>
  <c r="A2534" i="1"/>
  <c r="B2534" i="1" s="1"/>
  <c r="C2534" i="1"/>
  <c r="D2534" i="1"/>
  <c r="E2534" i="1"/>
  <c r="F2534" i="1"/>
  <c r="G2534" i="1" s="1"/>
  <c r="A2535" i="1"/>
  <c r="B2535" i="1" s="1"/>
  <c r="C2535" i="1"/>
  <c r="D2535" i="1"/>
  <c r="E2535" i="1"/>
  <c r="F2535" i="1"/>
  <c r="G2535" i="1" s="1"/>
  <c r="A2536" i="1"/>
  <c r="B2536" i="1" s="1"/>
  <c r="C2536" i="1"/>
  <c r="D2536" i="1"/>
  <c r="E2536" i="1"/>
  <c r="F2536" i="1"/>
  <c r="G2536" i="1" s="1"/>
  <c r="A2537" i="1"/>
  <c r="B2537" i="1" s="1"/>
  <c r="C2537" i="1"/>
  <c r="D2537" i="1"/>
  <c r="E2537" i="1"/>
  <c r="F2537" i="1"/>
  <c r="G2537" i="1" s="1"/>
  <c r="A2538" i="1"/>
  <c r="B2538" i="1" s="1"/>
  <c r="C2538" i="1"/>
  <c r="D2538" i="1"/>
  <c r="E2538" i="1"/>
  <c r="F2538" i="1"/>
  <c r="G2538" i="1" s="1"/>
  <c r="A2539" i="1"/>
  <c r="B2539" i="1" s="1"/>
  <c r="C2539" i="1"/>
  <c r="D2539" i="1"/>
  <c r="E2539" i="1"/>
  <c r="F2539" i="1"/>
  <c r="G2539" i="1" s="1"/>
  <c r="A2540" i="1"/>
  <c r="B2540" i="1"/>
  <c r="C2540" i="1"/>
  <c r="D2540" i="1"/>
  <c r="E2540" i="1"/>
  <c r="F2540" i="1"/>
  <c r="G2540" i="1" s="1"/>
  <c r="A2541" i="1"/>
  <c r="B2541" i="1" s="1"/>
  <c r="C2541" i="1"/>
  <c r="D2541" i="1"/>
  <c r="E2541" i="1"/>
  <c r="F2541" i="1"/>
  <c r="G2541" i="1" s="1"/>
  <c r="A2542" i="1"/>
  <c r="B2542" i="1" s="1"/>
  <c r="C2542" i="1"/>
  <c r="D2542" i="1"/>
  <c r="E2542" i="1"/>
  <c r="F2542" i="1"/>
  <c r="G2542" i="1" s="1"/>
  <c r="A2543" i="1"/>
  <c r="B2543" i="1" s="1"/>
  <c r="C2543" i="1"/>
  <c r="D2543" i="1"/>
  <c r="E2543" i="1"/>
  <c r="F2543" i="1"/>
  <c r="G2543" i="1" s="1"/>
  <c r="A2544" i="1"/>
  <c r="B2544" i="1" s="1"/>
  <c r="C2544" i="1"/>
  <c r="D2544" i="1"/>
  <c r="E2544" i="1"/>
  <c r="F2544" i="1"/>
  <c r="G2544" i="1" s="1"/>
  <c r="A2545" i="1"/>
  <c r="B2545" i="1" s="1"/>
  <c r="C2545" i="1"/>
  <c r="D2545" i="1"/>
  <c r="E2545" i="1"/>
  <c r="F2545" i="1"/>
  <c r="G2545" i="1" s="1"/>
  <c r="A2546" i="1"/>
  <c r="B2546" i="1" s="1"/>
  <c r="C2546" i="1"/>
  <c r="D2546" i="1"/>
  <c r="E2546" i="1"/>
  <c r="F2546" i="1"/>
  <c r="G2546" i="1" s="1"/>
  <c r="A2547" i="1"/>
  <c r="B2547" i="1" s="1"/>
  <c r="C2547" i="1"/>
  <c r="D2547" i="1"/>
  <c r="E2547" i="1"/>
  <c r="F2547" i="1"/>
  <c r="G2547" i="1" s="1"/>
  <c r="A2548" i="1"/>
  <c r="B2548" i="1" s="1"/>
  <c r="C2548" i="1"/>
  <c r="D2548" i="1"/>
  <c r="E2548" i="1"/>
  <c r="F2548" i="1"/>
  <c r="G2548" i="1" s="1"/>
  <c r="A2549" i="1"/>
  <c r="B2549" i="1" s="1"/>
  <c r="C2549" i="1"/>
  <c r="D2549" i="1"/>
  <c r="E2549" i="1"/>
  <c r="F2549" i="1"/>
  <c r="G2549" i="1" s="1"/>
  <c r="A2550" i="1"/>
  <c r="B2550" i="1" s="1"/>
  <c r="C2550" i="1"/>
  <c r="D2550" i="1"/>
  <c r="E2550" i="1"/>
  <c r="F2550" i="1"/>
  <c r="G2550" i="1" s="1"/>
  <c r="A2551" i="1"/>
  <c r="B2551" i="1" s="1"/>
  <c r="C2551" i="1"/>
  <c r="D2551" i="1"/>
  <c r="E2551" i="1"/>
  <c r="F2551" i="1"/>
  <c r="G2551" i="1" s="1"/>
  <c r="A2552" i="1"/>
  <c r="B2552" i="1"/>
  <c r="C2552" i="1"/>
  <c r="D2552" i="1"/>
  <c r="E2552" i="1"/>
  <c r="F2552" i="1"/>
  <c r="G2552" i="1" s="1"/>
  <c r="A2553" i="1"/>
  <c r="B2553" i="1" s="1"/>
  <c r="C2553" i="1"/>
  <c r="D2553" i="1"/>
  <c r="E2553" i="1"/>
  <c r="F2553" i="1"/>
  <c r="G2553" i="1" s="1"/>
  <c r="A2554" i="1"/>
  <c r="B2554" i="1" s="1"/>
  <c r="C2554" i="1"/>
  <c r="D2554" i="1"/>
  <c r="E2554" i="1"/>
  <c r="F2554" i="1"/>
  <c r="G2554" i="1" s="1"/>
  <c r="A2555" i="1"/>
  <c r="B2555" i="1" s="1"/>
  <c r="C2555" i="1"/>
  <c r="D2555" i="1"/>
  <c r="E2555" i="1"/>
  <c r="F2555" i="1"/>
  <c r="G2555" i="1" s="1"/>
  <c r="A2556" i="1"/>
  <c r="B2556" i="1"/>
  <c r="C2556" i="1"/>
  <c r="D2556" i="1"/>
  <c r="E2556" i="1"/>
  <c r="F2556" i="1"/>
  <c r="G2556" i="1" s="1"/>
  <c r="A2557" i="1"/>
  <c r="B2557" i="1" s="1"/>
  <c r="C2557" i="1"/>
  <c r="D2557" i="1"/>
  <c r="E2557" i="1"/>
  <c r="F2557" i="1"/>
  <c r="G2557" i="1" s="1"/>
  <c r="A2558" i="1"/>
  <c r="B2558" i="1"/>
  <c r="C2558" i="1"/>
  <c r="D2558" i="1"/>
  <c r="E2558" i="1"/>
  <c r="F2558" i="1"/>
  <c r="G2558" i="1" s="1"/>
  <c r="A2559" i="1"/>
  <c r="B2559" i="1" s="1"/>
  <c r="C2559" i="1"/>
  <c r="D2559" i="1"/>
  <c r="E2559" i="1"/>
  <c r="F2559" i="1"/>
  <c r="G2559" i="1" s="1"/>
  <c r="A2560" i="1"/>
  <c r="B2560" i="1" s="1"/>
  <c r="C2560" i="1"/>
  <c r="D2560" i="1"/>
  <c r="E2560" i="1"/>
  <c r="F2560" i="1"/>
  <c r="G2560" i="1" s="1"/>
  <c r="A2561" i="1"/>
  <c r="B2561" i="1" s="1"/>
  <c r="C2561" i="1"/>
  <c r="D2561" i="1"/>
  <c r="E2561" i="1"/>
  <c r="F2561" i="1"/>
  <c r="G2561" i="1" s="1"/>
  <c r="A2562" i="1"/>
  <c r="B2562" i="1"/>
  <c r="C2562" i="1"/>
  <c r="D2562" i="1"/>
  <c r="E2562" i="1"/>
  <c r="F2562" i="1"/>
  <c r="G2562" i="1" s="1"/>
  <c r="A2563" i="1"/>
  <c r="B2563" i="1"/>
  <c r="C2563" i="1"/>
  <c r="D2563" i="1"/>
  <c r="E2563" i="1"/>
  <c r="F2563" i="1"/>
  <c r="G2563" i="1" s="1"/>
  <c r="A2564" i="1"/>
  <c r="B2564" i="1"/>
  <c r="C2564" i="1"/>
  <c r="D2564" i="1"/>
  <c r="E2564" i="1"/>
  <c r="F2564" i="1"/>
  <c r="G2564" i="1" s="1"/>
  <c r="A2565" i="1"/>
  <c r="B2565" i="1" s="1"/>
  <c r="C2565" i="1"/>
  <c r="D2565" i="1"/>
  <c r="E2565" i="1"/>
  <c r="F2565" i="1"/>
  <c r="G2565" i="1" s="1"/>
  <c r="A2566" i="1"/>
  <c r="B2566" i="1" s="1"/>
  <c r="C2566" i="1"/>
  <c r="D2566" i="1"/>
  <c r="E2566" i="1"/>
  <c r="F2566" i="1"/>
  <c r="G2566" i="1" s="1"/>
  <c r="A2567" i="1"/>
  <c r="B2567" i="1" s="1"/>
  <c r="C2567" i="1"/>
  <c r="D2567" i="1"/>
  <c r="E2567" i="1"/>
  <c r="F2567" i="1"/>
  <c r="G2567" i="1" s="1"/>
  <c r="A2568" i="1"/>
  <c r="B2568" i="1"/>
  <c r="C2568" i="1"/>
  <c r="D2568" i="1"/>
  <c r="E2568" i="1"/>
  <c r="F2568" i="1"/>
  <c r="G2568" i="1" s="1"/>
  <c r="A2569" i="1"/>
  <c r="B2569" i="1" s="1"/>
  <c r="C2569" i="1"/>
  <c r="D2569" i="1"/>
  <c r="E2569" i="1"/>
  <c r="F2569" i="1"/>
  <c r="G2569" i="1" s="1"/>
  <c r="A2570" i="1"/>
  <c r="B2570" i="1" s="1"/>
  <c r="C2570" i="1"/>
  <c r="D2570" i="1"/>
  <c r="E2570" i="1"/>
  <c r="F2570" i="1"/>
  <c r="G2570" i="1" s="1"/>
  <c r="A2571" i="1"/>
  <c r="B2571" i="1"/>
  <c r="C2571" i="1"/>
  <c r="D2571" i="1"/>
  <c r="E2571" i="1"/>
  <c r="F2571" i="1"/>
  <c r="G2571" i="1"/>
  <c r="A2572" i="1"/>
  <c r="B2572" i="1" s="1"/>
  <c r="C2572" i="1"/>
  <c r="D2572" i="1"/>
  <c r="E2572" i="1"/>
  <c r="F2572" i="1"/>
  <c r="G2572" i="1"/>
  <c r="A2573" i="1"/>
  <c r="B2573" i="1" s="1"/>
  <c r="C2573" i="1"/>
  <c r="D2573" i="1"/>
  <c r="E2573" i="1"/>
  <c r="F2573" i="1"/>
  <c r="G2573" i="1"/>
  <c r="A2574" i="1"/>
  <c r="B2574" i="1" s="1"/>
  <c r="C2574" i="1"/>
  <c r="D2574" i="1"/>
  <c r="E2574" i="1"/>
  <c r="F2574" i="1"/>
  <c r="G2574" i="1" s="1"/>
  <c r="A2575" i="1"/>
  <c r="B2575" i="1" s="1"/>
  <c r="C2575" i="1"/>
  <c r="D2575" i="1"/>
  <c r="E2575" i="1"/>
  <c r="F2575" i="1"/>
  <c r="G2575" i="1" s="1"/>
  <c r="A2576" i="1"/>
  <c r="B2576" i="1" s="1"/>
  <c r="C2576" i="1"/>
  <c r="D2576" i="1"/>
  <c r="E2576" i="1"/>
  <c r="F2576" i="1"/>
  <c r="G2576" i="1" s="1"/>
  <c r="A2577" i="1"/>
  <c r="B2577" i="1" s="1"/>
  <c r="C2577" i="1"/>
  <c r="D2577" i="1"/>
  <c r="E2577" i="1"/>
  <c r="F2577" i="1"/>
  <c r="G2577" i="1" s="1"/>
  <c r="A2578" i="1"/>
  <c r="B2578" i="1" s="1"/>
  <c r="C2578" i="1"/>
  <c r="D2578" i="1"/>
  <c r="E2578" i="1"/>
  <c r="F2578" i="1"/>
  <c r="G2578" i="1" s="1"/>
  <c r="A2579" i="1"/>
  <c r="B2579" i="1" s="1"/>
  <c r="C2579" i="1"/>
  <c r="D2579" i="1"/>
  <c r="E2579" i="1"/>
  <c r="F2579" i="1"/>
  <c r="G2579" i="1" s="1"/>
  <c r="A2580" i="1"/>
  <c r="B2580" i="1"/>
  <c r="C2580" i="1"/>
  <c r="D2580" i="1"/>
  <c r="E2580" i="1"/>
  <c r="F2580" i="1"/>
  <c r="G2580" i="1" s="1"/>
  <c r="A2581" i="1"/>
  <c r="B2581" i="1" s="1"/>
  <c r="C2581" i="1"/>
  <c r="D2581" i="1"/>
  <c r="E2581" i="1"/>
  <c r="F2581" i="1"/>
  <c r="G2581" i="1" s="1"/>
  <c r="A2582" i="1"/>
  <c r="B2582" i="1" s="1"/>
  <c r="C2582" i="1"/>
  <c r="D2582" i="1"/>
  <c r="E2582" i="1"/>
  <c r="F2582" i="1"/>
  <c r="G2582" i="1" s="1"/>
  <c r="A2583" i="1"/>
  <c r="B2583" i="1" s="1"/>
  <c r="C2583" i="1"/>
  <c r="D2583" i="1"/>
  <c r="E2583" i="1"/>
  <c r="F2583" i="1"/>
  <c r="G2583" i="1" s="1"/>
  <c r="A2584" i="1"/>
  <c r="B2584" i="1"/>
  <c r="C2584" i="1"/>
  <c r="D2584" i="1"/>
  <c r="E2584" i="1"/>
  <c r="F2584" i="1"/>
  <c r="G2584" i="1" s="1"/>
  <c r="A2585" i="1"/>
  <c r="B2585" i="1" s="1"/>
  <c r="C2585" i="1"/>
  <c r="D2585" i="1"/>
  <c r="E2585" i="1"/>
  <c r="F2585" i="1"/>
  <c r="G2585" i="1" s="1"/>
  <c r="A2586" i="1"/>
  <c r="B2586" i="1" s="1"/>
  <c r="C2586" i="1"/>
  <c r="D2586" i="1"/>
  <c r="E2586" i="1"/>
  <c r="F2586" i="1"/>
  <c r="G2586" i="1" s="1"/>
  <c r="A2587" i="1"/>
  <c r="B2587" i="1" s="1"/>
  <c r="C2587" i="1"/>
  <c r="D2587" i="1"/>
  <c r="E2587" i="1"/>
  <c r="F2587" i="1"/>
  <c r="G2587" i="1" s="1"/>
  <c r="A2588" i="1"/>
  <c r="B2588" i="1" s="1"/>
  <c r="C2588" i="1"/>
  <c r="D2588" i="1"/>
  <c r="E2588" i="1"/>
  <c r="F2588" i="1"/>
  <c r="G2588" i="1" s="1"/>
  <c r="A2589" i="1"/>
  <c r="B2589" i="1"/>
  <c r="C2589" i="1"/>
  <c r="D2589" i="1"/>
  <c r="E2589" i="1"/>
  <c r="F2589" i="1"/>
  <c r="G2589" i="1"/>
  <c r="A2590" i="1"/>
  <c r="B2590" i="1" s="1"/>
  <c r="C2590" i="1"/>
  <c r="D2590" i="1"/>
  <c r="E2590" i="1"/>
  <c r="F2590" i="1"/>
  <c r="G2590" i="1"/>
  <c r="A2591" i="1"/>
  <c r="B2591" i="1" s="1"/>
  <c r="C2591" i="1"/>
  <c r="D2591" i="1"/>
  <c r="E2591" i="1"/>
  <c r="F2591" i="1"/>
  <c r="G2591" i="1" s="1"/>
  <c r="A2592" i="1"/>
  <c r="B2592" i="1" s="1"/>
  <c r="C2592" i="1"/>
  <c r="D2592" i="1"/>
  <c r="E2592" i="1"/>
  <c r="F2592" i="1"/>
  <c r="G2592" i="1" s="1"/>
  <c r="A2593" i="1"/>
  <c r="B2593" i="1" s="1"/>
  <c r="C2593" i="1"/>
  <c r="D2593" i="1"/>
  <c r="E2593" i="1"/>
  <c r="F2593" i="1"/>
  <c r="G2593" i="1" s="1"/>
  <c r="A2594" i="1"/>
  <c r="B2594" i="1" s="1"/>
  <c r="C2594" i="1"/>
  <c r="D2594" i="1"/>
  <c r="E2594" i="1"/>
  <c r="F2594" i="1"/>
  <c r="G2594" i="1" s="1"/>
  <c r="A2595" i="1"/>
  <c r="B2595" i="1" s="1"/>
  <c r="C2595" i="1"/>
  <c r="D2595" i="1"/>
  <c r="E2595" i="1"/>
  <c r="F2595" i="1"/>
  <c r="G2595" i="1" s="1"/>
  <c r="A2596" i="1"/>
  <c r="B2596" i="1" s="1"/>
  <c r="C2596" i="1"/>
  <c r="D2596" i="1"/>
  <c r="E2596" i="1"/>
  <c r="F2596" i="1"/>
  <c r="G2596" i="1" s="1"/>
  <c r="A2597" i="1"/>
  <c r="B2597" i="1" s="1"/>
  <c r="C2597" i="1"/>
  <c r="D2597" i="1"/>
  <c r="E2597" i="1"/>
  <c r="F2597" i="1"/>
  <c r="G2597" i="1" s="1"/>
  <c r="A2598" i="1"/>
  <c r="B2598" i="1" s="1"/>
  <c r="C2598" i="1"/>
  <c r="D2598" i="1"/>
  <c r="E2598" i="1"/>
  <c r="F2598" i="1"/>
  <c r="G2598" i="1" s="1"/>
  <c r="A2599" i="1"/>
  <c r="B2599" i="1" s="1"/>
  <c r="C2599" i="1"/>
  <c r="D2599" i="1"/>
  <c r="E2599" i="1"/>
  <c r="F2599" i="1"/>
  <c r="G2599" i="1" s="1"/>
  <c r="A2600" i="1"/>
  <c r="B2600" i="1" s="1"/>
  <c r="C2600" i="1"/>
  <c r="D2600" i="1"/>
  <c r="E2600" i="1"/>
  <c r="F2600" i="1"/>
  <c r="G2600" i="1" s="1"/>
  <c r="A2601" i="1"/>
  <c r="B2601" i="1"/>
  <c r="C2601" i="1"/>
  <c r="D2601" i="1"/>
  <c r="E2601" i="1"/>
  <c r="F2601" i="1"/>
  <c r="G2601" i="1" s="1"/>
  <c r="A2602" i="1"/>
  <c r="B2602" i="1" s="1"/>
  <c r="C2602" i="1"/>
  <c r="D2602" i="1"/>
  <c r="E2602" i="1"/>
  <c r="F2602" i="1"/>
  <c r="G2602" i="1" s="1"/>
  <c r="A2603" i="1"/>
  <c r="B2603" i="1" s="1"/>
  <c r="C2603" i="1"/>
  <c r="D2603" i="1"/>
  <c r="E2603" i="1"/>
  <c r="F2603" i="1"/>
  <c r="G2603" i="1" s="1"/>
  <c r="A2604" i="1"/>
  <c r="B2604" i="1" s="1"/>
  <c r="C2604" i="1"/>
  <c r="D2604" i="1"/>
  <c r="E2604" i="1"/>
  <c r="F2604" i="1"/>
  <c r="G2604" i="1" s="1"/>
  <c r="A2605" i="1"/>
  <c r="B2605" i="1" s="1"/>
  <c r="C2605" i="1"/>
  <c r="D2605" i="1"/>
  <c r="E2605" i="1"/>
  <c r="F2605" i="1"/>
  <c r="G2605" i="1" s="1"/>
  <c r="A2606" i="1"/>
  <c r="B2606" i="1" s="1"/>
  <c r="C2606" i="1"/>
  <c r="D2606" i="1"/>
  <c r="E2606" i="1"/>
  <c r="F2606" i="1"/>
  <c r="G2606" i="1" s="1"/>
  <c r="A2607" i="1"/>
  <c r="B2607" i="1" s="1"/>
  <c r="C2607" i="1"/>
  <c r="D2607" i="1"/>
  <c r="E2607" i="1"/>
  <c r="F2607" i="1"/>
  <c r="G2607" i="1" s="1"/>
  <c r="A2608" i="1"/>
  <c r="B2608" i="1" s="1"/>
  <c r="C2608" i="1"/>
  <c r="D2608" i="1"/>
  <c r="E2608" i="1"/>
  <c r="F2608" i="1"/>
  <c r="G2608" i="1" s="1"/>
  <c r="A2609" i="1"/>
  <c r="B2609" i="1" s="1"/>
  <c r="C2609" i="1"/>
  <c r="D2609" i="1"/>
  <c r="E2609" i="1"/>
  <c r="F2609" i="1"/>
  <c r="G2609" i="1" s="1"/>
  <c r="A2610" i="1"/>
  <c r="B2610" i="1" s="1"/>
  <c r="C2610" i="1"/>
  <c r="D2610" i="1"/>
  <c r="E2610" i="1"/>
  <c r="F2610" i="1"/>
  <c r="G2610" i="1" s="1"/>
  <c r="A2611" i="1"/>
  <c r="B2611" i="1" s="1"/>
  <c r="C2611" i="1"/>
  <c r="D2611" i="1"/>
  <c r="E2611" i="1"/>
  <c r="F2611" i="1"/>
  <c r="G2611" i="1" s="1"/>
  <c r="A2612" i="1"/>
  <c r="B2612" i="1"/>
  <c r="C2612" i="1"/>
  <c r="D2612" i="1"/>
  <c r="E2612" i="1"/>
  <c r="F2612" i="1"/>
  <c r="G2612" i="1" s="1"/>
  <c r="A2613" i="1"/>
  <c r="B2613" i="1" s="1"/>
  <c r="C2613" i="1"/>
  <c r="D2613" i="1"/>
  <c r="E2613" i="1"/>
  <c r="F2613" i="1"/>
  <c r="G2613" i="1" s="1"/>
  <c r="A2614" i="1"/>
  <c r="B2614" i="1" s="1"/>
  <c r="C2614" i="1"/>
  <c r="D2614" i="1"/>
  <c r="E2614" i="1"/>
  <c r="F2614" i="1"/>
  <c r="G2614" i="1" s="1"/>
  <c r="A2615" i="1"/>
  <c r="B2615" i="1"/>
  <c r="C2615" i="1"/>
  <c r="D2615" i="1"/>
  <c r="E2615" i="1"/>
  <c r="F2615" i="1"/>
  <c r="G2615" i="1" s="1"/>
  <c r="A2616" i="1"/>
  <c r="B2616" i="1" s="1"/>
  <c r="C2616" i="1"/>
  <c r="D2616" i="1"/>
  <c r="E2616" i="1"/>
  <c r="F2616" i="1"/>
  <c r="G2616" i="1" s="1"/>
  <c r="A2617" i="1"/>
  <c r="B2617" i="1" s="1"/>
  <c r="C2617" i="1"/>
  <c r="D2617" i="1"/>
  <c r="E2617" i="1"/>
  <c r="F2617" i="1"/>
  <c r="G2617" i="1" s="1"/>
  <c r="A2618" i="1"/>
  <c r="B2618" i="1" s="1"/>
  <c r="C2618" i="1"/>
  <c r="D2618" i="1"/>
  <c r="E2618" i="1"/>
  <c r="F2618" i="1"/>
  <c r="G2618" i="1" s="1"/>
  <c r="A2619" i="1"/>
  <c r="B2619" i="1" s="1"/>
  <c r="C2619" i="1"/>
  <c r="D2619" i="1"/>
  <c r="E2619" i="1"/>
  <c r="F2619" i="1"/>
  <c r="G2619" i="1" s="1"/>
  <c r="A2620" i="1"/>
  <c r="B2620" i="1" s="1"/>
  <c r="C2620" i="1"/>
  <c r="D2620" i="1"/>
  <c r="E2620" i="1"/>
  <c r="F2620" i="1"/>
  <c r="G2620" i="1" s="1"/>
  <c r="A2621" i="1"/>
  <c r="B2621" i="1" s="1"/>
  <c r="C2621" i="1"/>
  <c r="D2621" i="1"/>
  <c r="E2621" i="1"/>
  <c r="F2621" i="1"/>
  <c r="G2621" i="1" s="1"/>
  <c r="A2622" i="1"/>
  <c r="B2622" i="1" s="1"/>
  <c r="C2622" i="1"/>
  <c r="D2622" i="1"/>
  <c r="E2622" i="1"/>
  <c r="F2622" i="1"/>
  <c r="G2622" i="1" s="1"/>
  <c r="A2623" i="1"/>
  <c r="B2623" i="1" s="1"/>
  <c r="C2623" i="1"/>
  <c r="D2623" i="1"/>
  <c r="E2623" i="1"/>
  <c r="F2623" i="1"/>
  <c r="G2623" i="1" s="1"/>
  <c r="A2624" i="1"/>
  <c r="B2624" i="1" s="1"/>
  <c r="C2624" i="1"/>
  <c r="D2624" i="1"/>
  <c r="E2624" i="1"/>
  <c r="F2624" i="1"/>
  <c r="G2624" i="1" s="1"/>
  <c r="A2625" i="1"/>
  <c r="B2625" i="1" s="1"/>
  <c r="C2625" i="1"/>
  <c r="D2625" i="1"/>
  <c r="E2625" i="1"/>
  <c r="F2625" i="1"/>
  <c r="G2625" i="1" s="1"/>
  <c r="A2626" i="1"/>
  <c r="B2626" i="1" s="1"/>
  <c r="C2626" i="1"/>
  <c r="D2626" i="1"/>
  <c r="E2626" i="1"/>
  <c r="F2626" i="1"/>
  <c r="G2626" i="1" s="1"/>
  <c r="A2627" i="1"/>
  <c r="B2627" i="1" s="1"/>
  <c r="C2627" i="1"/>
  <c r="D2627" i="1"/>
  <c r="E2627" i="1"/>
  <c r="F2627" i="1"/>
  <c r="G2627" i="1" s="1"/>
  <c r="A2628" i="1"/>
  <c r="B2628" i="1"/>
  <c r="C2628" i="1"/>
  <c r="D2628" i="1"/>
  <c r="E2628" i="1"/>
  <c r="F2628" i="1"/>
  <c r="G2628" i="1" s="1"/>
  <c r="A2629" i="1"/>
  <c r="B2629" i="1" s="1"/>
  <c r="C2629" i="1"/>
  <c r="D2629" i="1"/>
  <c r="E2629" i="1"/>
  <c r="F2629" i="1"/>
  <c r="G2629" i="1" s="1"/>
  <c r="A2630" i="1"/>
  <c r="B2630" i="1" s="1"/>
  <c r="C2630" i="1"/>
  <c r="D2630" i="1"/>
  <c r="E2630" i="1"/>
  <c r="F2630" i="1"/>
  <c r="G2630" i="1" s="1"/>
  <c r="A2631" i="1"/>
  <c r="B2631" i="1" s="1"/>
  <c r="C2631" i="1"/>
  <c r="D2631" i="1"/>
  <c r="E2631" i="1"/>
  <c r="F2631" i="1"/>
  <c r="G2631" i="1" s="1"/>
  <c r="A2632" i="1"/>
  <c r="B2632" i="1" s="1"/>
  <c r="C2632" i="1"/>
  <c r="D2632" i="1"/>
  <c r="E2632" i="1"/>
  <c r="F2632" i="1"/>
  <c r="G2632" i="1" s="1"/>
  <c r="A2633" i="1"/>
  <c r="B2633" i="1" s="1"/>
  <c r="C2633" i="1"/>
  <c r="D2633" i="1"/>
  <c r="E2633" i="1"/>
  <c r="F2633" i="1"/>
  <c r="G2633" i="1" s="1"/>
  <c r="A2634" i="1"/>
  <c r="B2634" i="1" s="1"/>
  <c r="C2634" i="1"/>
  <c r="D2634" i="1"/>
  <c r="E2634" i="1"/>
  <c r="F2634" i="1"/>
  <c r="G2634" i="1" s="1"/>
  <c r="A2635" i="1"/>
  <c r="B2635" i="1" s="1"/>
  <c r="C2635" i="1"/>
  <c r="D2635" i="1"/>
  <c r="E2635" i="1"/>
  <c r="F2635" i="1"/>
  <c r="G2635" i="1" s="1"/>
  <c r="A2636" i="1"/>
  <c r="B2636" i="1" s="1"/>
  <c r="C2636" i="1"/>
  <c r="D2636" i="1"/>
  <c r="E2636" i="1"/>
  <c r="F2636" i="1"/>
  <c r="G2636" i="1" s="1"/>
  <c r="A2637" i="1"/>
  <c r="B2637" i="1"/>
  <c r="C2637" i="1"/>
  <c r="D2637" i="1"/>
  <c r="E2637" i="1"/>
  <c r="F2637" i="1"/>
  <c r="G2637" i="1" s="1"/>
  <c r="A2638" i="1"/>
  <c r="B2638" i="1" s="1"/>
  <c r="C2638" i="1"/>
  <c r="D2638" i="1"/>
  <c r="E2638" i="1"/>
  <c r="F2638" i="1"/>
  <c r="G2638" i="1" s="1"/>
  <c r="A2639" i="1"/>
  <c r="B2639" i="1" s="1"/>
  <c r="C2639" i="1"/>
  <c r="D2639" i="1"/>
  <c r="E2639" i="1"/>
  <c r="F2639" i="1"/>
  <c r="G2639" i="1" s="1"/>
  <c r="A2640" i="1"/>
  <c r="B2640" i="1"/>
  <c r="C2640" i="1"/>
  <c r="D2640" i="1"/>
  <c r="E2640" i="1"/>
  <c r="F2640" i="1"/>
  <c r="G2640" i="1" s="1"/>
  <c r="A2641" i="1"/>
  <c r="B2641" i="1" s="1"/>
  <c r="C2641" i="1"/>
  <c r="D2641" i="1"/>
  <c r="E2641" i="1"/>
  <c r="F2641" i="1"/>
  <c r="G2641" i="1" s="1"/>
  <c r="A2642" i="1"/>
  <c r="B2642" i="1"/>
  <c r="C2642" i="1"/>
  <c r="D2642" i="1"/>
  <c r="E2642" i="1"/>
  <c r="F2642" i="1"/>
  <c r="G2642" i="1" s="1"/>
  <c r="A2643" i="1"/>
  <c r="B2643" i="1" s="1"/>
  <c r="C2643" i="1"/>
  <c r="D2643" i="1"/>
  <c r="E2643" i="1"/>
  <c r="F2643" i="1"/>
  <c r="G2643" i="1" s="1"/>
  <c r="A2644" i="1"/>
  <c r="B2644" i="1" s="1"/>
  <c r="C2644" i="1"/>
  <c r="D2644" i="1"/>
  <c r="E2644" i="1"/>
  <c r="F2644" i="1"/>
  <c r="G2644" i="1"/>
  <c r="A2645" i="1"/>
  <c r="B2645" i="1" s="1"/>
  <c r="C2645" i="1"/>
  <c r="D2645" i="1"/>
  <c r="E2645" i="1"/>
  <c r="F2645" i="1"/>
  <c r="G2645" i="1" s="1"/>
  <c r="A2646" i="1"/>
  <c r="B2646" i="1" s="1"/>
  <c r="C2646" i="1"/>
  <c r="D2646" i="1"/>
  <c r="E2646" i="1"/>
  <c r="F2646" i="1"/>
  <c r="G2646" i="1" s="1"/>
  <c r="A2647" i="1"/>
  <c r="B2647" i="1" s="1"/>
  <c r="C2647" i="1"/>
  <c r="D2647" i="1"/>
  <c r="E2647" i="1"/>
  <c r="F2647" i="1"/>
  <c r="G2647" i="1" s="1"/>
  <c r="A2648" i="1"/>
  <c r="B2648" i="1" s="1"/>
  <c r="C2648" i="1"/>
  <c r="D2648" i="1"/>
  <c r="E2648" i="1"/>
  <c r="F2648" i="1"/>
  <c r="G2648" i="1" s="1"/>
  <c r="A2649" i="1"/>
  <c r="B2649" i="1" s="1"/>
  <c r="C2649" i="1"/>
  <c r="D2649" i="1"/>
  <c r="E2649" i="1"/>
  <c r="F2649" i="1"/>
  <c r="G2649" i="1"/>
  <c r="A2650" i="1"/>
  <c r="B2650" i="1" s="1"/>
  <c r="C2650" i="1"/>
  <c r="D2650" i="1"/>
  <c r="E2650" i="1"/>
  <c r="F2650" i="1"/>
  <c r="G2650" i="1" s="1"/>
  <c r="A2651" i="1"/>
  <c r="B2651" i="1"/>
  <c r="C2651" i="1"/>
  <c r="D2651" i="1"/>
  <c r="E2651" i="1"/>
  <c r="F2651" i="1"/>
  <c r="G2651" i="1" s="1"/>
  <c r="A2652" i="1"/>
  <c r="B2652" i="1" s="1"/>
  <c r="C2652" i="1"/>
  <c r="D2652" i="1"/>
  <c r="E2652" i="1"/>
  <c r="F2652" i="1"/>
  <c r="G2652" i="1" s="1"/>
  <c r="A2653" i="1"/>
  <c r="B2653" i="1" s="1"/>
  <c r="C2653" i="1"/>
  <c r="D2653" i="1"/>
  <c r="E2653" i="1"/>
  <c r="F2653" i="1"/>
  <c r="G2653" i="1" s="1"/>
  <c r="A2654" i="1"/>
  <c r="B2654" i="1" s="1"/>
  <c r="C2654" i="1"/>
  <c r="D2654" i="1"/>
  <c r="E2654" i="1"/>
  <c r="F2654" i="1"/>
  <c r="G2654" i="1" s="1"/>
  <c r="A2655" i="1"/>
  <c r="B2655" i="1"/>
  <c r="C2655" i="1"/>
  <c r="D2655" i="1"/>
  <c r="E2655" i="1"/>
  <c r="F2655" i="1"/>
  <c r="G2655" i="1" s="1"/>
  <c r="A2656" i="1"/>
  <c r="B2656" i="1" s="1"/>
  <c r="C2656" i="1"/>
  <c r="D2656" i="1"/>
  <c r="E2656" i="1"/>
  <c r="F2656" i="1"/>
  <c r="G2656" i="1" s="1"/>
  <c r="A2657" i="1"/>
  <c r="B2657" i="1" s="1"/>
  <c r="C2657" i="1"/>
  <c r="D2657" i="1"/>
  <c r="E2657" i="1"/>
  <c r="F2657" i="1"/>
  <c r="G2657" i="1" s="1"/>
  <c r="A2658" i="1"/>
  <c r="B2658" i="1" s="1"/>
  <c r="C2658" i="1"/>
  <c r="D2658" i="1"/>
  <c r="E2658" i="1"/>
  <c r="F2658" i="1"/>
  <c r="G2658" i="1" s="1"/>
  <c r="A2659" i="1"/>
  <c r="B2659" i="1"/>
  <c r="C2659" i="1"/>
  <c r="D2659" i="1"/>
  <c r="E2659" i="1"/>
  <c r="F2659" i="1"/>
  <c r="G2659" i="1" s="1"/>
  <c r="A2660" i="1"/>
  <c r="B2660" i="1" s="1"/>
  <c r="C2660" i="1"/>
  <c r="D2660" i="1"/>
  <c r="E2660" i="1"/>
  <c r="F2660" i="1"/>
  <c r="G2660" i="1" s="1"/>
  <c r="A2661" i="1"/>
  <c r="B2661" i="1"/>
  <c r="C2661" i="1"/>
  <c r="D2661" i="1"/>
  <c r="E2661" i="1"/>
  <c r="F2661" i="1"/>
  <c r="G2661" i="1" s="1"/>
  <c r="A2662" i="1"/>
  <c r="B2662" i="1" s="1"/>
  <c r="C2662" i="1"/>
  <c r="D2662" i="1"/>
  <c r="E2662" i="1"/>
  <c r="F2662" i="1"/>
  <c r="G2662" i="1" s="1"/>
  <c r="A2663" i="1"/>
  <c r="B2663" i="1" s="1"/>
  <c r="C2663" i="1"/>
  <c r="D2663" i="1"/>
  <c r="E2663" i="1"/>
  <c r="F2663" i="1"/>
  <c r="G2663" i="1" s="1"/>
  <c r="A2664" i="1"/>
  <c r="B2664" i="1" s="1"/>
  <c r="C2664" i="1"/>
  <c r="D2664" i="1"/>
  <c r="E2664" i="1"/>
  <c r="F2664" i="1"/>
  <c r="G2664" i="1" s="1"/>
  <c r="A2665" i="1"/>
  <c r="B2665" i="1" s="1"/>
  <c r="C2665" i="1"/>
  <c r="D2665" i="1"/>
  <c r="E2665" i="1"/>
  <c r="F2665" i="1"/>
  <c r="G2665" i="1" s="1"/>
  <c r="A2666" i="1"/>
  <c r="B2666" i="1" s="1"/>
  <c r="C2666" i="1"/>
  <c r="D2666" i="1"/>
  <c r="E2666" i="1"/>
  <c r="F2666" i="1"/>
  <c r="G2666" i="1" s="1"/>
  <c r="A2667" i="1"/>
  <c r="B2667" i="1" s="1"/>
  <c r="C2667" i="1"/>
  <c r="D2667" i="1"/>
  <c r="E2667" i="1"/>
  <c r="F2667" i="1"/>
  <c r="G2667" i="1" s="1"/>
  <c r="A2668" i="1"/>
  <c r="B2668" i="1" s="1"/>
  <c r="C2668" i="1"/>
  <c r="D2668" i="1"/>
  <c r="E2668" i="1"/>
  <c r="F2668" i="1"/>
  <c r="G2668" i="1" s="1"/>
  <c r="A2669" i="1"/>
  <c r="B2669" i="1" s="1"/>
  <c r="C2669" i="1"/>
  <c r="D2669" i="1"/>
  <c r="E2669" i="1"/>
  <c r="F2669" i="1"/>
  <c r="G2669" i="1" s="1"/>
  <c r="A2670" i="1"/>
  <c r="B2670" i="1" s="1"/>
  <c r="C2670" i="1"/>
  <c r="D2670" i="1"/>
  <c r="E2670" i="1"/>
  <c r="F2670" i="1"/>
  <c r="G2670" i="1" s="1"/>
  <c r="A2671" i="1"/>
  <c r="B2671" i="1"/>
  <c r="C2671" i="1"/>
  <c r="D2671" i="1"/>
  <c r="E2671" i="1"/>
  <c r="F2671" i="1"/>
  <c r="G2671" i="1" s="1"/>
  <c r="A2672" i="1"/>
  <c r="B2672" i="1" s="1"/>
  <c r="C2672" i="1"/>
  <c r="D2672" i="1"/>
  <c r="E2672" i="1"/>
  <c r="F2672" i="1"/>
  <c r="G2672" i="1" s="1"/>
  <c r="A2673" i="1"/>
  <c r="B2673" i="1" s="1"/>
  <c r="C2673" i="1"/>
  <c r="D2673" i="1"/>
  <c r="E2673" i="1"/>
  <c r="F2673" i="1"/>
  <c r="G2673" i="1" s="1"/>
  <c r="A2674" i="1"/>
  <c r="B2674" i="1" s="1"/>
  <c r="C2674" i="1"/>
  <c r="D2674" i="1"/>
  <c r="E2674" i="1"/>
  <c r="F2674" i="1"/>
  <c r="G2674" i="1" s="1"/>
  <c r="A2675" i="1"/>
  <c r="B2675" i="1"/>
  <c r="C2675" i="1"/>
  <c r="D2675" i="1"/>
  <c r="E2675" i="1"/>
  <c r="F2675" i="1"/>
  <c r="G2675" i="1"/>
  <c r="A2676" i="1"/>
  <c r="B2676" i="1"/>
  <c r="C2676" i="1"/>
  <c r="D2676" i="1"/>
  <c r="E2676" i="1"/>
  <c r="F2676" i="1"/>
  <c r="G2676" i="1" s="1"/>
  <c r="A2677" i="1"/>
  <c r="B2677" i="1" s="1"/>
  <c r="C2677" i="1"/>
  <c r="D2677" i="1"/>
  <c r="E2677" i="1"/>
  <c r="F2677" i="1"/>
  <c r="G2677" i="1" s="1"/>
  <c r="A2678" i="1"/>
  <c r="B2678" i="1" s="1"/>
  <c r="C2678" i="1"/>
  <c r="D2678" i="1"/>
  <c r="E2678" i="1"/>
  <c r="F2678" i="1"/>
  <c r="G2678" i="1" s="1"/>
  <c r="A2679" i="1"/>
  <c r="B2679" i="1"/>
  <c r="C2679" i="1"/>
  <c r="D2679" i="1"/>
  <c r="E2679" i="1"/>
  <c r="F2679" i="1"/>
  <c r="G2679" i="1"/>
  <c r="A2680" i="1"/>
  <c r="B2680" i="1" s="1"/>
  <c r="C2680" i="1"/>
  <c r="D2680" i="1"/>
  <c r="E2680" i="1"/>
  <c r="F2680" i="1"/>
  <c r="G2680" i="1" s="1"/>
  <c r="A2681" i="1"/>
  <c r="B2681" i="1" s="1"/>
  <c r="C2681" i="1"/>
  <c r="D2681" i="1"/>
  <c r="E2681" i="1"/>
  <c r="F2681" i="1"/>
  <c r="G2681" i="1" s="1"/>
  <c r="A2682" i="1"/>
  <c r="B2682" i="1" s="1"/>
  <c r="C2682" i="1"/>
  <c r="D2682" i="1"/>
  <c r="E2682" i="1"/>
  <c r="F2682" i="1"/>
  <c r="G2682" i="1" s="1"/>
  <c r="A2683" i="1"/>
  <c r="B2683" i="1" s="1"/>
  <c r="C2683" i="1"/>
  <c r="D2683" i="1"/>
  <c r="E2683" i="1"/>
  <c r="F2683" i="1"/>
  <c r="G2683" i="1" s="1"/>
  <c r="A2684" i="1"/>
  <c r="B2684" i="1" s="1"/>
  <c r="C2684" i="1"/>
  <c r="D2684" i="1"/>
  <c r="E2684" i="1"/>
  <c r="F2684" i="1"/>
  <c r="G2684" i="1" s="1"/>
  <c r="A2685" i="1"/>
  <c r="B2685" i="1" s="1"/>
  <c r="C2685" i="1"/>
  <c r="D2685" i="1"/>
  <c r="E2685" i="1"/>
  <c r="F2685" i="1"/>
  <c r="G2685" i="1" s="1"/>
  <c r="A2686" i="1"/>
  <c r="B2686" i="1" s="1"/>
  <c r="C2686" i="1"/>
  <c r="D2686" i="1"/>
  <c r="E2686" i="1"/>
  <c r="F2686" i="1"/>
  <c r="G2686" i="1" s="1"/>
  <c r="A2687" i="1"/>
  <c r="B2687" i="1"/>
  <c r="C2687" i="1"/>
  <c r="D2687" i="1"/>
  <c r="E2687" i="1"/>
  <c r="F2687" i="1"/>
  <c r="G2687" i="1" s="1"/>
  <c r="A2688" i="1"/>
  <c r="B2688" i="1" s="1"/>
  <c r="C2688" i="1"/>
  <c r="D2688" i="1"/>
  <c r="E2688" i="1"/>
  <c r="F2688" i="1"/>
  <c r="G2688" i="1"/>
  <c r="A2689" i="1"/>
  <c r="B2689" i="1" s="1"/>
  <c r="C2689" i="1"/>
  <c r="D2689" i="1"/>
  <c r="E2689" i="1"/>
  <c r="F2689" i="1"/>
  <c r="G2689" i="1" s="1"/>
  <c r="A2690" i="1"/>
  <c r="B2690" i="1" s="1"/>
  <c r="C2690" i="1"/>
  <c r="D2690" i="1"/>
  <c r="E2690" i="1"/>
  <c r="F2690" i="1"/>
  <c r="G2690" i="1" s="1"/>
  <c r="A2691" i="1"/>
  <c r="B2691" i="1" s="1"/>
  <c r="C2691" i="1"/>
  <c r="D2691" i="1"/>
  <c r="E2691" i="1"/>
  <c r="F2691" i="1"/>
  <c r="G2691" i="1" s="1"/>
  <c r="A2692" i="1"/>
  <c r="B2692" i="1" s="1"/>
  <c r="C2692" i="1"/>
  <c r="D2692" i="1"/>
  <c r="E2692" i="1"/>
  <c r="F2692" i="1"/>
  <c r="G2692" i="1" s="1"/>
  <c r="A2693" i="1"/>
  <c r="B2693" i="1" s="1"/>
  <c r="C2693" i="1"/>
  <c r="D2693" i="1"/>
  <c r="E2693" i="1"/>
  <c r="F2693" i="1"/>
  <c r="G2693" i="1" s="1"/>
  <c r="A2694" i="1"/>
  <c r="B2694" i="1" s="1"/>
  <c r="C2694" i="1"/>
  <c r="D2694" i="1"/>
  <c r="E2694" i="1"/>
  <c r="F2694" i="1"/>
  <c r="G2694" i="1" s="1"/>
  <c r="A2695" i="1"/>
  <c r="B2695" i="1" s="1"/>
  <c r="C2695" i="1"/>
  <c r="D2695" i="1"/>
  <c r="E2695" i="1"/>
  <c r="F2695" i="1"/>
  <c r="G2695" i="1" s="1"/>
  <c r="A2696" i="1"/>
  <c r="B2696" i="1" s="1"/>
  <c r="C2696" i="1"/>
  <c r="D2696" i="1"/>
  <c r="E2696" i="1"/>
  <c r="F2696" i="1"/>
  <c r="G2696" i="1" s="1"/>
  <c r="A2697" i="1"/>
  <c r="B2697" i="1" s="1"/>
  <c r="C2697" i="1"/>
  <c r="D2697" i="1"/>
  <c r="E2697" i="1"/>
  <c r="F2697" i="1"/>
  <c r="G2697" i="1" s="1"/>
  <c r="A2698" i="1"/>
  <c r="B2698" i="1" s="1"/>
  <c r="C2698" i="1"/>
  <c r="D2698" i="1"/>
  <c r="E2698" i="1"/>
  <c r="F2698" i="1"/>
  <c r="G2698" i="1" s="1"/>
  <c r="A2699" i="1"/>
  <c r="B2699" i="1" s="1"/>
  <c r="C2699" i="1"/>
  <c r="D2699" i="1"/>
  <c r="E2699" i="1"/>
  <c r="F2699" i="1"/>
  <c r="G2699" i="1" s="1"/>
  <c r="A2700" i="1"/>
  <c r="B2700" i="1" s="1"/>
  <c r="C2700" i="1"/>
  <c r="D2700" i="1"/>
  <c r="E2700" i="1"/>
  <c r="F2700" i="1"/>
  <c r="G2700" i="1"/>
  <c r="A2701" i="1"/>
  <c r="B2701" i="1" s="1"/>
  <c r="C2701" i="1"/>
  <c r="D2701" i="1"/>
  <c r="E2701" i="1"/>
  <c r="F2701" i="1"/>
  <c r="G2701" i="1" s="1"/>
  <c r="A2702" i="1"/>
  <c r="B2702" i="1" s="1"/>
  <c r="C2702" i="1"/>
  <c r="D2702" i="1"/>
  <c r="E2702" i="1"/>
  <c r="F2702" i="1"/>
  <c r="G2702" i="1" s="1"/>
  <c r="A2703" i="1"/>
  <c r="B2703" i="1" s="1"/>
  <c r="C2703" i="1"/>
  <c r="D2703" i="1"/>
  <c r="E2703" i="1"/>
  <c r="F2703" i="1"/>
  <c r="G2703" i="1" s="1"/>
  <c r="A2704" i="1"/>
  <c r="B2704" i="1" s="1"/>
  <c r="C2704" i="1"/>
  <c r="D2704" i="1"/>
  <c r="E2704" i="1"/>
  <c r="F2704" i="1"/>
  <c r="G2704" i="1" s="1"/>
  <c r="A2705" i="1"/>
  <c r="B2705" i="1" s="1"/>
  <c r="C2705" i="1"/>
  <c r="D2705" i="1"/>
  <c r="E2705" i="1"/>
  <c r="F2705" i="1"/>
  <c r="G2705" i="1" s="1"/>
  <c r="A2706" i="1"/>
  <c r="B2706" i="1" s="1"/>
  <c r="C2706" i="1"/>
  <c r="D2706" i="1"/>
  <c r="E2706" i="1"/>
  <c r="F2706" i="1"/>
  <c r="G2706" i="1" s="1"/>
  <c r="A2707" i="1"/>
  <c r="B2707" i="1" s="1"/>
  <c r="C2707" i="1"/>
  <c r="D2707" i="1"/>
  <c r="E2707" i="1"/>
  <c r="F2707" i="1"/>
  <c r="G2707" i="1" s="1"/>
  <c r="A2708" i="1"/>
  <c r="B2708" i="1" s="1"/>
  <c r="C2708" i="1"/>
  <c r="D2708" i="1"/>
  <c r="E2708" i="1"/>
  <c r="F2708" i="1"/>
  <c r="G2708" i="1" s="1"/>
  <c r="A2709" i="1"/>
  <c r="B2709" i="1" s="1"/>
  <c r="C2709" i="1"/>
  <c r="D2709" i="1"/>
  <c r="E2709" i="1"/>
  <c r="F2709" i="1"/>
  <c r="G2709" i="1" s="1"/>
  <c r="A2710" i="1"/>
  <c r="B2710" i="1" s="1"/>
  <c r="C2710" i="1"/>
  <c r="D2710" i="1"/>
  <c r="E2710" i="1"/>
  <c r="F2710" i="1"/>
  <c r="G2710" i="1" s="1"/>
  <c r="A2711" i="1"/>
  <c r="B2711" i="1" s="1"/>
  <c r="C2711" i="1"/>
  <c r="D2711" i="1"/>
  <c r="E2711" i="1"/>
  <c r="F2711" i="1"/>
  <c r="G2711" i="1" s="1"/>
  <c r="A2712" i="1"/>
  <c r="B2712" i="1" s="1"/>
  <c r="C2712" i="1"/>
  <c r="D2712" i="1"/>
  <c r="E2712" i="1"/>
  <c r="F2712" i="1"/>
  <c r="G2712" i="1" s="1"/>
  <c r="A2713" i="1"/>
  <c r="B2713" i="1" s="1"/>
  <c r="C2713" i="1"/>
  <c r="D2713" i="1"/>
  <c r="E2713" i="1"/>
  <c r="F2713" i="1"/>
  <c r="G2713" i="1" s="1"/>
  <c r="A2714" i="1"/>
  <c r="B2714" i="1" s="1"/>
  <c r="C2714" i="1"/>
  <c r="D2714" i="1"/>
  <c r="E2714" i="1"/>
  <c r="F2714" i="1"/>
  <c r="G2714" i="1" s="1"/>
  <c r="A2715" i="1"/>
  <c r="B2715" i="1" s="1"/>
  <c r="C2715" i="1"/>
  <c r="D2715" i="1"/>
  <c r="E2715" i="1"/>
  <c r="F2715" i="1"/>
  <c r="G2715" i="1" s="1"/>
  <c r="A2716" i="1"/>
  <c r="B2716" i="1" s="1"/>
  <c r="C2716" i="1"/>
  <c r="D2716" i="1"/>
  <c r="E2716" i="1"/>
  <c r="F2716" i="1"/>
  <c r="G2716" i="1" s="1"/>
  <c r="A2717" i="1"/>
  <c r="B2717" i="1" s="1"/>
  <c r="C2717" i="1"/>
  <c r="D2717" i="1"/>
  <c r="E2717" i="1"/>
  <c r="F2717" i="1"/>
  <c r="G2717" i="1" s="1"/>
  <c r="A2718" i="1"/>
  <c r="B2718" i="1" s="1"/>
  <c r="C2718" i="1"/>
  <c r="D2718" i="1"/>
  <c r="E2718" i="1"/>
  <c r="F2718" i="1"/>
  <c r="G2718" i="1" s="1"/>
  <c r="A2719" i="1"/>
  <c r="B2719" i="1" s="1"/>
  <c r="C2719" i="1"/>
  <c r="D2719" i="1"/>
  <c r="E2719" i="1"/>
  <c r="F2719" i="1"/>
  <c r="G2719" i="1" s="1"/>
  <c r="A2720" i="1"/>
  <c r="B2720" i="1" s="1"/>
  <c r="C2720" i="1"/>
  <c r="D2720" i="1"/>
  <c r="E2720" i="1"/>
  <c r="F2720" i="1"/>
  <c r="G2720" i="1" s="1"/>
  <c r="A2721" i="1"/>
  <c r="B2721" i="1" s="1"/>
  <c r="C2721" i="1"/>
  <c r="D2721" i="1"/>
  <c r="E2721" i="1"/>
  <c r="F2721" i="1"/>
  <c r="G2721" i="1" s="1"/>
  <c r="A2722" i="1"/>
  <c r="B2722" i="1" s="1"/>
  <c r="C2722" i="1"/>
  <c r="D2722" i="1"/>
  <c r="E2722" i="1"/>
  <c r="F2722" i="1"/>
  <c r="G2722" i="1" s="1"/>
  <c r="A2723" i="1"/>
  <c r="B2723" i="1" s="1"/>
  <c r="C2723" i="1"/>
  <c r="D2723" i="1"/>
  <c r="E2723" i="1"/>
  <c r="F2723" i="1"/>
  <c r="G2723" i="1" s="1"/>
  <c r="A2724" i="1"/>
  <c r="B2724" i="1" s="1"/>
  <c r="C2724" i="1"/>
  <c r="D2724" i="1"/>
  <c r="E2724" i="1"/>
  <c r="F2724" i="1"/>
  <c r="G2724" i="1" s="1"/>
  <c r="A2725" i="1"/>
  <c r="B2725" i="1" s="1"/>
  <c r="C2725" i="1"/>
  <c r="D2725" i="1"/>
  <c r="E2725" i="1"/>
  <c r="F2725" i="1"/>
  <c r="G2725" i="1" s="1"/>
  <c r="A2726" i="1"/>
  <c r="B2726" i="1" s="1"/>
  <c r="C2726" i="1"/>
  <c r="D2726" i="1"/>
  <c r="E2726" i="1"/>
  <c r="F2726" i="1"/>
  <c r="G2726" i="1" s="1"/>
  <c r="A2727" i="1"/>
  <c r="B2727" i="1" s="1"/>
  <c r="C2727" i="1"/>
  <c r="D2727" i="1"/>
  <c r="E2727" i="1"/>
  <c r="F2727" i="1"/>
  <c r="G2727" i="1" s="1"/>
  <c r="A2728" i="1"/>
  <c r="B2728" i="1"/>
  <c r="C2728" i="1"/>
  <c r="D2728" i="1"/>
  <c r="E2728" i="1"/>
  <c r="F2728" i="1"/>
  <c r="G2728" i="1" s="1"/>
  <c r="A2729" i="1"/>
  <c r="B2729" i="1" s="1"/>
  <c r="C2729" i="1"/>
  <c r="D2729" i="1"/>
  <c r="E2729" i="1"/>
  <c r="F2729" i="1"/>
  <c r="G2729" i="1" s="1"/>
  <c r="A2730" i="1"/>
  <c r="B2730" i="1" s="1"/>
  <c r="C2730" i="1"/>
  <c r="D2730" i="1"/>
  <c r="E2730" i="1"/>
  <c r="F2730" i="1"/>
  <c r="G2730" i="1" s="1"/>
  <c r="A2731" i="1"/>
  <c r="B2731" i="1" s="1"/>
  <c r="C2731" i="1"/>
  <c r="D2731" i="1"/>
  <c r="E2731" i="1"/>
  <c r="F2731" i="1"/>
  <c r="G2731" i="1" s="1"/>
  <c r="A2732" i="1"/>
  <c r="B2732" i="1" s="1"/>
  <c r="C2732" i="1"/>
  <c r="D2732" i="1"/>
  <c r="E2732" i="1"/>
  <c r="F2732" i="1"/>
  <c r="G2732" i="1" s="1"/>
  <c r="A2733" i="1"/>
  <c r="B2733" i="1" s="1"/>
  <c r="C2733" i="1"/>
  <c r="D2733" i="1"/>
  <c r="E2733" i="1"/>
  <c r="F2733" i="1"/>
  <c r="G2733" i="1" s="1"/>
  <c r="A2734" i="1"/>
  <c r="B2734" i="1" s="1"/>
  <c r="C2734" i="1"/>
  <c r="D2734" i="1"/>
  <c r="E2734" i="1"/>
  <c r="F2734" i="1"/>
  <c r="G2734" i="1" s="1"/>
  <c r="A2735" i="1"/>
  <c r="B2735" i="1" s="1"/>
  <c r="C2735" i="1"/>
  <c r="D2735" i="1"/>
  <c r="E2735" i="1"/>
  <c r="F2735" i="1"/>
  <c r="G2735" i="1" s="1"/>
  <c r="A2736" i="1"/>
  <c r="B2736" i="1" s="1"/>
  <c r="C2736" i="1"/>
  <c r="D2736" i="1"/>
  <c r="E2736" i="1"/>
  <c r="F2736" i="1"/>
  <c r="G2736" i="1" s="1"/>
  <c r="A2737" i="1"/>
  <c r="B2737" i="1" s="1"/>
  <c r="C2737" i="1"/>
  <c r="D2737" i="1"/>
  <c r="E2737" i="1"/>
  <c r="F2737" i="1"/>
  <c r="G2737" i="1" s="1"/>
  <c r="A2738" i="1"/>
  <c r="B2738" i="1" s="1"/>
  <c r="C2738" i="1"/>
  <c r="D2738" i="1"/>
  <c r="E2738" i="1"/>
  <c r="F2738" i="1"/>
  <c r="G2738" i="1" s="1"/>
  <c r="A2739" i="1"/>
  <c r="B2739" i="1" s="1"/>
  <c r="C2739" i="1"/>
  <c r="D2739" i="1"/>
  <c r="E2739" i="1"/>
  <c r="F2739" i="1"/>
  <c r="G2739" i="1" s="1"/>
  <c r="A2740" i="1"/>
  <c r="B2740" i="1" s="1"/>
  <c r="C2740" i="1"/>
  <c r="D2740" i="1"/>
  <c r="E2740" i="1"/>
  <c r="F2740" i="1"/>
  <c r="G2740" i="1" s="1"/>
  <c r="A2741" i="1"/>
  <c r="B2741" i="1" s="1"/>
  <c r="C2741" i="1"/>
  <c r="D2741" i="1"/>
  <c r="E2741" i="1"/>
  <c r="F2741" i="1"/>
  <c r="G2741" i="1" s="1"/>
  <c r="A2742" i="1"/>
  <c r="B2742" i="1" s="1"/>
  <c r="C2742" i="1"/>
  <c r="D2742" i="1"/>
  <c r="E2742" i="1"/>
  <c r="F2742" i="1"/>
  <c r="G2742" i="1" s="1"/>
  <c r="A2743" i="1"/>
  <c r="B2743" i="1" s="1"/>
  <c r="C2743" i="1"/>
  <c r="D2743" i="1"/>
  <c r="E2743" i="1"/>
  <c r="F2743" i="1"/>
  <c r="G2743" i="1" s="1"/>
  <c r="A2744" i="1"/>
  <c r="B2744" i="1" s="1"/>
  <c r="C2744" i="1"/>
  <c r="D2744" i="1"/>
  <c r="E2744" i="1"/>
  <c r="F2744" i="1"/>
  <c r="G2744" i="1" s="1"/>
  <c r="A2745" i="1"/>
  <c r="B2745" i="1" s="1"/>
  <c r="C2745" i="1"/>
  <c r="D2745" i="1"/>
  <c r="E2745" i="1"/>
  <c r="F2745" i="1"/>
  <c r="G2745" i="1" s="1"/>
  <c r="A2746" i="1"/>
  <c r="B2746" i="1" s="1"/>
  <c r="C2746" i="1"/>
  <c r="D2746" i="1"/>
  <c r="E2746" i="1"/>
  <c r="F2746" i="1"/>
  <c r="G2746" i="1" s="1"/>
  <c r="A2747" i="1"/>
  <c r="B2747" i="1" s="1"/>
  <c r="C2747" i="1"/>
  <c r="D2747" i="1"/>
  <c r="E2747" i="1"/>
  <c r="F2747" i="1"/>
  <c r="G2747" i="1" s="1"/>
  <c r="A2748" i="1"/>
  <c r="B2748" i="1" s="1"/>
  <c r="C2748" i="1"/>
  <c r="D2748" i="1"/>
  <c r="E2748" i="1"/>
  <c r="F2748" i="1"/>
  <c r="G2748" i="1" s="1"/>
  <c r="A2749" i="1"/>
  <c r="B2749" i="1" s="1"/>
  <c r="C2749" i="1"/>
  <c r="D2749" i="1"/>
  <c r="E2749" i="1"/>
  <c r="F2749" i="1"/>
  <c r="G2749" i="1" s="1"/>
  <c r="A2750" i="1"/>
  <c r="B2750" i="1"/>
  <c r="C2750" i="1"/>
  <c r="D2750" i="1"/>
  <c r="E2750" i="1"/>
  <c r="F2750" i="1"/>
  <c r="G2750" i="1"/>
  <c r="A2751" i="1"/>
  <c r="B2751" i="1" s="1"/>
  <c r="C2751" i="1"/>
  <c r="D2751" i="1"/>
  <c r="E2751" i="1"/>
  <c r="F2751" i="1"/>
  <c r="G2751" i="1" s="1"/>
  <c r="A2752" i="1"/>
  <c r="B2752" i="1" s="1"/>
  <c r="C2752" i="1"/>
  <c r="D2752" i="1"/>
  <c r="E2752" i="1"/>
  <c r="F2752" i="1"/>
  <c r="G2752" i="1" s="1"/>
  <c r="A2753" i="1"/>
  <c r="B2753" i="1"/>
  <c r="C2753" i="1"/>
  <c r="D2753" i="1"/>
  <c r="E2753" i="1"/>
  <c r="F2753" i="1"/>
  <c r="G2753" i="1" s="1"/>
  <c r="A2754" i="1"/>
  <c r="B2754" i="1" s="1"/>
  <c r="C2754" i="1"/>
  <c r="D2754" i="1"/>
  <c r="E2754" i="1"/>
  <c r="F2754" i="1"/>
  <c r="G2754" i="1" s="1"/>
  <c r="A2755" i="1"/>
  <c r="B2755" i="1" s="1"/>
  <c r="C2755" i="1"/>
  <c r="D2755" i="1"/>
  <c r="E2755" i="1"/>
  <c r="F2755" i="1"/>
  <c r="G2755" i="1" s="1"/>
  <c r="A2756" i="1"/>
  <c r="B2756" i="1"/>
  <c r="C2756" i="1"/>
  <c r="D2756" i="1"/>
  <c r="E2756" i="1"/>
  <c r="F2756" i="1"/>
  <c r="G2756" i="1" s="1"/>
  <c r="A2757" i="1"/>
  <c r="B2757" i="1" s="1"/>
  <c r="C2757" i="1"/>
  <c r="D2757" i="1"/>
  <c r="E2757" i="1"/>
  <c r="F2757" i="1"/>
  <c r="G2757" i="1" s="1"/>
  <c r="A2758" i="1"/>
  <c r="B2758" i="1" s="1"/>
  <c r="C2758" i="1"/>
  <c r="D2758" i="1"/>
  <c r="E2758" i="1"/>
  <c r="F2758" i="1"/>
  <c r="G2758" i="1" s="1"/>
  <c r="A2759" i="1"/>
  <c r="B2759" i="1" s="1"/>
  <c r="C2759" i="1"/>
  <c r="D2759" i="1"/>
  <c r="E2759" i="1"/>
  <c r="F2759" i="1"/>
  <c r="G2759" i="1" s="1"/>
  <c r="A2760" i="1"/>
  <c r="B2760" i="1" s="1"/>
  <c r="C2760" i="1"/>
  <c r="D2760" i="1"/>
  <c r="E2760" i="1"/>
  <c r="F2760" i="1"/>
  <c r="G2760" i="1" s="1"/>
  <c r="A2761" i="1"/>
  <c r="B2761" i="1" s="1"/>
  <c r="C2761" i="1"/>
  <c r="D2761" i="1"/>
  <c r="E2761" i="1"/>
  <c r="F2761" i="1"/>
  <c r="G2761" i="1" s="1"/>
  <c r="A2762" i="1"/>
  <c r="B2762" i="1" s="1"/>
  <c r="C2762" i="1"/>
  <c r="D2762" i="1"/>
  <c r="E2762" i="1"/>
  <c r="F2762" i="1"/>
  <c r="G2762" i="1" s="1"/>
  <c r="A2763" i="1"/>
  <c r="B2763" i="1"/>
  <c r="C2763" i="1"/>
  <c r="D2763" i="1"/>
  <c r="E2763" i="1"/>
  <c r="F2763" i="1"/>
  <c r="G2763" i="1" s="1"/>
  <c r="A2764" i="1"/>
  <c r="B2764" i="1"/>
  <c r="C2764" i="1"/>
  <c r="D2764" i="1"/>
  <c r="E2764" i="1"/>
  <c r="F2764" i="1"/>
  <c r="G2764" i="1" s="1"/>
  <c r="A2765" i="1"/>
  <c r="B2765" i="1"/>
  <c r="C2765" i="1"/>
  <c r="D2765" i="1"/>
  <c r="E2765" i="1"/>
  <c r="F2765" i="1"/>
  <c r="G2765" i="1" s="1"/>
  <c r="A2766" i="1"/>
  <c r="B2766" i="1" s="1"/>
  <c r="C2766" i="1"/>
  <c r="D2766" i="1"/>
  <c r="E2766" i="1"/>
  <c r="F2766" i="1"/>
  <c r="G2766" i="1"/>
  <c r="A2767" i="1"/>
  <c r="B2767" i="1" s="1"/>
  <c r="C2767" i="1"/>
  <c r="D2767" i="1"/>
  <c r="E2767" i="1"/>
  <c r="F2767" i="1"/>
  <c r="G2767" i="1" s="1"/>
  <c r="A2768" i="1"/>
  <c r="B2768" i="1" s="1"/>
  <c r="C2768" i="1"/>
  <c r="D2768" i="1"/>
  <c r="E2768" i="1"/>
  <c r="F2768" i="1"/>
  <c r="G2768" i="1" s="1"/>
  <c r="A2769" i="1"/>
  <c r="B2769" i="1" s="1"/>
  <c r="C2769" i="1"/>
  <c r="D2769" i="1"/>
  <c r="E2769" i="1"/>
  <c r="F2769" i="1"/>
  <c r="G2769" i="1" s="1"/>
  <c r="A2770" i="1"/>
  <c r="B2770" i="1" s="1"/>
  <c r="C2770" i="1"/>
  <c r="D2770" i="1"/>
  <c r="E2770" i="1"/>
  <c r="F2770" i="1"/>
  <c r="G2770" i="1" s="1"/>
  <c r="A2771" i="1"/>
  <c r="B2771" i="1" s="1"/>
  <c r="C2771" i="1"/>
  <c r="D2771" i="1"/>
  <c r="E2771" i="1"/>
  <c r="F2771" i="1"/>
  <c r="G2771" i="1" s="1"/>
  <c r="A2772" i="1"/>
  <c r="B2772" i="1" s="1"/>
  <c r="C2772" i="1"/>
  <c r="D2772" i="1"/>
  <c r="E2772" i="1"/>
  <c r="F2772" i="1"/>
  <c r="G2772" i="1" s="1"/>
  <c r="A2773" i="1"/>
  <c r="B2773" i="1" s="1"/>
  <c r="C2773" i="1"/>
  <c r="D2773" i="1"/>
  <c r="E2773" i="1"/>
  <c r="F2773" i="1"/>
  <c r="G2773" i="1" s="1"/>
  <c r="A2774" i="1"/>
  <c r="B2774" i="1" s="1"/>
  <c r="C2774" i="1"/>
  <c r="D2774" i="1"/>
  <c r="E2774" i="1"/>
  <c r="F2774" i="1"/>
  <c r="G2774" i="1" s="1"/>
  <c r="A2775" i="1"/>
  <c r="B2775" i="1"/>
  <c r="C2775" i="1"/>
  <c r="D2775" i="1"/>
  <c r="E2775" i="1"/>
  <c r="F2775" i="1"/>
  <c r="G2775" i="1" s="1"/>
  <c r="A2776" i="1"/>
  <c r="B2776" i="1" s="1"/>
  <c r="C2776" i="1"/>
  <c r="D2776" i="1"/>
  <c r="E2776" i="1"/>
  <c r="F2776" i="1"/>
  <c r="G2776" i="1" s="1"/>
  <c r="A2777" i="1"/>
  <c r="B2777" i="1" s="1"/>
  <c r="C2777" i="1"/>
  <c r="D2777" i="1"/>
  <c r="E2777" i="1"/>
  <c r="F2777" i="1"/>
  <c r="G2777" i="1" s="1"/>
  <c r="A2778" i="1"/>
  <c r="B2778" i="1" s="1"/>
  <c r="C2778" i="1"/>
  <c r="D2778" i="1"/>
  <c r="E2778" i="1"/>
  <c r="F2778" i="1"/>
  <c r="G2778" i="1" s="1"/>
  <c r="A2779" i="1"/>
  <c r="B2779" i="1" s="1"/>
  <c r="C2779" i="1"/>
  <c r="D2779" i="1"/>
  <c r="E2779" i="1"/>
  <c r="F2779" i="1"/>
  <c r="G2779" i="1" s="1"/>
  <c r="A2780" i="1"/>
  <c r="B2780" i="1"/>
  <c r="C2780" i="1"/>
  <c r="D2780" i="1"/>
  <c r="E2780" i="1"/>
  <c r="F2780" i="1"/>
  <c r="G2780" i="1" s="1"/>
  <c r="A2781" i="1"/>
  <c r="B2781" i="1" s="1"/>
  <c r="C2781" i="1"/>
  <c r="D2781" i="1"/>
  <c r="E2781" i="1"/>
  <c r="F2781" i="1"/>
  <c r="G2781" i="1" s="1"/>
  <c r="A2782" i="1"/>
  <c r="B2782" i="1" s="1"/>
  <c r="C2782" i="1"/>
  <c r="D2782" i="1"/>
  <c r="E2782" i="1"/>
  <c r="F2782" i="1"/>
  <c r="G2782" i="1" s="1"/>
  <c r="A2783" i="1"/>
  <c r="B2783" i="1" s="1"/>
  <c r="C2783" i="1"/>
  <c r="D2783" i="1"/>
  <c r="E2783" i="1"/>
  <c r="F2783" i="1"/>
  <c r="G2783" i="1" s="1"/>
  <c r="A2784" i="1"/>
  <c r="B2784" i="1"/>
  <c r="C2784" i="1"/>
  <c r="D2784" i="1"/>
  <c r="E2784" i="1"/>
  <c r="F2784" i="1"/>
  <c r="G2784" i="1" s="1"/>
  <c r="A2785" i="1"/>
  <c r="B2785" i="1" s="1"/>
  <c r="C2785" i="1"/>
  <c r="D2785" i="1"/>
  <c r="E2785" i="1"/>
  <c r="F2785" i="1"/>
  <c r="G2785" i="1" s="1"/>
  <c r="A2786" i="1"/>
  <c r="B2786" i="1" s="1"/>
  <c r="C2786" i="1"/>
  <c r="D2786" i="1"/>
  <c r="E2786" i="1"/>
  <c r="F2786" i="1"/>
  <c r="G2786" i="1"/>
  <c r="A2787" i="1"/>
  <c r="B2787" i="1" s="1"/>
  <c r="C2787" i="1"/>
  <c r="D2787" i="1"/>
  <c r="E2787" i="1"/>
  <c r="F2787" i="1"/>
  <c r="G2787" i="1" s="1"/>
  <c r="A2788" i="1"/>
  <c r="B2788" i="1"/>
  <c r="C2788" i="1"/>
  <c r="D2788" i="1"/>
  <c r="E2788" i="1"/>
  <c r="F2788" i="1"/>
  <c r="G2788" i="1"/>
  <c r="A2789" i="1"/>
  <c r="B2789" i="1" s="1"/>
  <c r="C2789" i="1"/>
  <c r="D2789" i="1"/>
  <c r="E2789" i="1"/>
  <c r="F2789" i="1"/>
  <c r="G2789" i="1" s="1"/>
  <c r="A2790" i="1"/>
  <c r="B2790" i="1" s="1"/>
  <c r="C2790" i="1"/>
  <c r="D2790" i="1"/>
  <c r="E2790" i="1"/>
  <c r="F2790" i="1"/>
  <c r="G2790" i="1" s="1"/>
  <c r="A2791" i="1"/>
  <c r="B2791" i="1" s="1"/>
  <c r="C2791" i="1"/>
  <c r="D2791" i="1"/>
  <c r="E2791" i="1"/>
  <c r="F2791" i="1"/>
  <c r="G2791" i="1" s="1"/>
  <c r="A2792" i="1"/>
  <c r="B2792" i="1" s="1"/>
  <c r="C2792" i="1"/>
  <c r="D2792" i="1"/>
  <c r="E2792" i="1"/>
  <c r="F2792" i="1"/>
  <c r="G2792" i="1" s="1"/>
  <c r="A2793" i="1"/>
  <c r="B2793" i="1" s="1"/>
  <c r="C2793" i="1"/>
  <c r="D2793" i="1"/>
  <c r="E2793" i="1"/>
  <c r="F2793" i="1"/>
  <c r="G2793" i="1" s="1"/>
  <c r="A2794" i="1"/>
  <c r="B2794" i="1" s="1"/>
  <c r="C2794" i="1"/>
  <c r="D2794" i="1"/>
  <c r="E2794" i="1"/>
  <c r="F2794" i="1"/>
  <c r="G2794" i="1" s="1"/>
  <c r="A2795" i="1"/>
  <c r="B2795" i="1" s="1"/>
  <c r="C2795" i="1"/>
  <c r="D2795" i="1"/>
  <c r="E2795" i="1"/>
  <c r="F2795" i="1"/>
  <c r="G2795" i="1" s="1"/>
  <c r="A2796" i="1"/>
  <c r="B2796" i="1" s="1"/>
  <c r="C2796" i="1"/>
  <c r="D2796" i="1"/>
  <c r="E2796" i="1"/>
  <c r="F2796" i="1"/>
  <c r="G2796" i="1" s="1"/>
  <c r="A2797" i="1"/>
  <c r="B2797" i="1" s="1"/>
  <c r="C2797" i="1"/>
  <c r="D2797" i="1"/>
  <c r="E2797" i="1"/>
  <c r="F2797" i="1"/>
  <c r="G2797" i="1" s="1"/>
  <c r="A2798" i="1"/>
  <c r="B2798" i="1" s="1"/>
  <c r="C2798" i="1"/>
  <c r="D2798" i="1"/>
  <c r="E2798" i="1"/>
  <c r="F2798" i="1"/>
  <c r="G2798" i="1" s="1"/>
  <c r="A2799" i="1"/>
  <c r="B2799" i="1" s="1"/>
  <c r="C2799" i="1"/>
  <c r="D2799" i="1"/>
  <c r="E2799" i="1"/>
  <c r="F2799" i="1"/>
  <c r="G2799" i="1" s="1"/>
  <c r="A2800" i="1"/>
  <c r="B2800" i="1" s="1"/>
  <c r="C2800" i="1"/>
  <c r="D2800" i="1"/>
  <c r="E2800" i="1"/>
  <c r="F2800" i="1"/>
  <c r="G2800" i="1" s="1"/>
  <c r="A2801" i="1"/>
  <c r="B2801" i="1" s="1"/>
  <c r="C2801" i="1"/>
  <c r="D2801" i="1"/>
  <c r="E2801" i="1"/>
  <c r="F2801" i="1"/>
  <c r="G2801" i="1" s="1"/>
  <c r="A2802" i="1"/>
  <c r="B2802" i="1" s="1"/>
  <c r="C2802" i="1"/>
  <c r="D2802" i="1"/>
  <c r="E2802" i="1"/>
  <c r="F2802" i="1"/>
  <c r="G2802" i="1" s="1"/>
  <c r="A2803" i="1"/>
  <c r="B2803" i="1" s="1"/>
  <c r="C2803" i="1"/>
  <c r="D2803" i="1"/>
  <c r="E2803" i="1"/>
  <c r="F2803" i="1"/>
  <c r="G2803" i="1" s="1"/>
  <c r="A2804" i="1"/>
  <c r="B2804" i="1" s="1"/>
  <c r="C2804" i="1"/>
  <c r="D2804" i="1"/>
  <c r="E2804" i="1"/>
  <c r="F2804" i="1"/>
  <c r="G2804" i="1"/>
  <c r="A2805" i="1"/>
  <c r="B2805" i="1" s="1"/>
  <c r="C2805" i="1"/>
  <c r="D2805" i="1"/>
  <c r="E2805" i="1"/>
  <c r="F2805" i="1"/>
  <c r="G2805" i="1" s="1"/>
  <c r="A2806" i="1"/>
  <c r="B2806" i="1" s="1"/>
  <c r="C2806" i="1"/>
  <c r="D2806" i="1"/>
  <c r="E2806" i="1"/>
  <c r="F2806" i="1"/>
  <c r="G2806" i="1" s="1"/>
  <c r="A2807" i="1"/>
  <c r="B2807" i="1" s="1"/>
  <c r="C2807" i="1"/>
  <c r="D2807" i="1"/>
  <c r="E2807" i="1"/>
  <c r="F2807" i="1"/>
  <c r="G2807" i="1" s="1"/>
  <c r="A2808" i="1"/>
  <c r="B2808" i="1"/>
  <c r="C2808" i="1"/>
  <c r="D2808" i="1"/>
  <c r="E2808" i="1"/>
  <c r="F2808" i="1"/>
  <c r="G2808" i="1" s="1"/>
  <c r="A2809" i="1"/>
  <c r="B2809" i="1"/>
  <c r="C2809" i="1"/>
  <c r="D2809" i="1"/>
  <c r="E2809" i="1"/>
  <c r="F2809" i="1"/>
  <c r="G2809" i="1"/>
  <c r="A2810" i="1"/>
  <c r="B2810" i="1" s="1"/>
  <c r="C2810" i="1"/>
  <c r="D2810" i="1"/>
  <c r="E2810" i="1"/>
  <c r="F2810" i="1"/>
  <c r="G2810" i="1" s="1"/>
  <c r="A2811" i="1"/>
  <c r="B2811" i="1" s="1"/>
  <c r="C2811" i="1"/>
  <c r="D2811" i="1"/>
  <c r="E2811" i="1"/>
  <c r="F2811" i="1"/>
  <c r="G2811" i="1" s="1"/>
  <c r="A2812" i="1"/>
  <c r="B2812" i="1" s="1"/>
  <c r="C2812" i="1"/>
  <c r="D2812" i="1"/>
  <c r="E2812" i="1"/>
  <c r="F2812" i="1"/>
  <c r="G2812" i="1"/>
  <c r="A2813" i="1"/>
  <c r="B2813" i="1" s="1"/>
  <c r="C2813" i="1"/>
  <c r="D2813" i="1"/>
  <c r="E2813" i="1"/>
  <c r="F2813" i="1"/>
  <c r="G2813" i="1" s="1"/>
  <c r="A2814" i="1"/>
  <c r="B2814" i="1" s="1"/>
  <c r="C2814" i="1"/>
  <c r="D2814" i="1"/>
  <c r="E2814" i="1"/>
  <c r="F2814" i="1"/>
  <c r="G2814" i="1" s="1"/>
  <c r="A2815" i="1"/>
  <c r="B2815" i="1"/>
  <c r="C2815" i="1"/>
  <c r="D2815" i="1"/>
  <c r="E2815" i="1"/>
  <c r="F2815" i="1"/>
  <c r="G2815" i="1" s="1"/>
  <c r="A2816" i="1"/>
  <c r="B2816" i="1" s="1"/>
  <c r="C2816" i="1"/>
  <c r="D2816" i="1"/>
  <c r="E2816" i="1"/>
  <c r="F2816" i="1"/>
  <c r="G2816" i="1" s="1"/>
  <c r="A2817" i="1"/>
  <c r="B2817" i="1" s="1"/>
  <c r="C2817" i="1"/>
  <c r="D2817" i="1"/>
  <c r="E2817" i="1"/>
  <c r="F2817" i="1"/>
  <c r="G2817" i="1" s="1"/>
  <c r="A2818" i="1"/>
  <c r="B2818" i="1" s="1"/>
  <c r="C2818" i="1"/>
  <c r="D2818" i="1"/>
  <c r="E2818" i="1"/>
  <c r="F2818" i="1"/>
  <c r="G2818" i="1" s="1"/>
  <c r="A2819" i="1"/>
  <c r="B2819" i="1" s="1"/>
  <c r="C2819" i="1"/>
  <c r="D2819" i="1"/>
  <c r="E2819" i="1"/>
  <c r="F2819" i="1"/>
  <c r="G2819" i="1" s="1"/>
  <c r="A2820" i="1"/>
  <c r="B2820" i="1" s="1"/>
  <c r="C2820" i="1"/>
  <c r="D2820" i="1"/>
  <c r="E2820" i="1"/>
  <c r="F2820" i="1"/>
  <c r="G2820" i="1" s="1"/>
  <c r="A2821" i="1"/>
  <c r="B2821" i="1" s="1"/>
  <c r="C2821" i="1"/>
  <c r="D2821" i="1"/>
  <c r="E2821" i="1"/>
  <c r="F2821" i="1"/>
  <c r="G2821" i="1" s="1"/>
  <c r="A2822" i="1"/>
  <c r="B2822" i="1" s="1"/>
  <c r="C2822" i="1"/>
  <c r="D2822" i="1"/>
  <c r="E2822" i="1"/>
  <c r="F2822" i="1"/>
  <c r="G2822" i="1" s="1"/>
  <c r="A2823" i="1"/>
  <c r="B2823" i="1" s="1"/>
  <c r="C2823" i="1"/>
  <c r="D2823" i="1"/>
  <c r="E2823" i="1"/>
  <c r="F2823" i="1"/>
  <c r="G2823" i="1" s="1"/>
  <c r="A2824" i="1"/>
  <c r="B2824" i="1" s="1"/>
  <c r="C2824" i="1"/>
  <c r="D2824" i="1"/>
  <c r="E2824" i="1"/>
  <c r="F2824" i="1"/>
  <c r="G2824" i="1" s="1"/>
  <c r="A2825" i="1"/>
  <c r="B2825" i="1" s="1"/>
  <c r="C2825" i="1"/>
  <c r="D2825" i="1"/>
  <c r="E2825" i="1"/>
  <c r="F2825" i="1"/>
  <c r="G2825" i="1" s="1"/>
  <c r="A2826" i="1"/>
  <c r="B2826" i="1"/>
  <c r="C2826" i="1"/>
  <c r="D2826" i="1"/>
  <c r="E2826" i="1"/>
  <c r="F2826" i="1"/>
  <c r="G2826" i="1" s="1"/>
  <c r="A2827" i="1"/>
  <c r="B2827" i="1" s="1"/>
  <c r="C2827" i="1"/>
  <c r="D2827" i="1"/>
  <c r="E2827" i="1"/>
  <c r="F2827" i="1"/>
  <c r="G2827" i="1" s="1"/>
  <c r="A2828" i="1"/>
  <c r="B2828" i="1" s="1"/>
  <c r="C2828" i="1"/>
  <c r="D2828" i="1"/>
  <c r="E2828" i="1"/>
  <c r="F2828" i="1"/>
  <c r="G2828" i="1" s="1"/>
  <c r="A2829" i="1"/>
  <c r="B2829" i="1" s="1"/>
  <c r="C2829" i="1"/>
  <c r="D2829" i="1"/>
  <c r="E2829" i="1"/>
  <c r="F2829" i="1"/>
  <c r="G2829" i="1" s="1"/>
  <c r="A2830" i="1"/>
  <c r="B2830" i="1" s="1"/>
  <c r="C2830" i="1"/>
  <c r="D2830" i="1"/>
  <c r="E2830" i="1"/>
  <c r="F2830" i="1"/>
  <c r="G2830" i="1" s="1"/>
  <c r="A2831" i="1"/>
  <c r="B2831" i="1" s="1"/>
  <c r="C2831" i="1"/>
  <c r="D2831" i="1"/>
  <c r="E2831" i="1"/>
  <c r="F2831" i="1"/>
  <c r="G2831" i="1" s="1"/>
  <c r="A2832" i="1"/>
  <c r="B2832" i="1" s="1"/>
  <c r="C2832" i="1"/>
  <c r="D2832" i="1"/>
  <c r="E2832" i="1"/>
  <c r="F2832" i="1"/>
  <c r="G2832" i="1" s="1"/>
  <c r="A2833" i="1"/>
  <c r="B2833" i="1"/>
  <c r="C2833" i="1"/>
  <c r="D2833" i="1"/>
  <c r="E2833" i="1"/>
  <c r="F2833" i="1"/>
  <c r="G2833" i="1" s="1"/>
  <c r="A2834" i="1"/>
  <c r="B2834" i="1" s="1"/>
  <c r="C2834" i="1"/>
  <c r="D2834" i="1"/>
  <c r="E2834" i="1"/>
  <c r="F2834" i="1"/>
  <c r="G2834" i="1"/>
  <c r="A2835" i="1"/>
  <c r="B2835" i="1" s="1"/>
  <c r="C2835" i="1"/>
  <c r="D2835" i="1"/>
  <c r="E2835" i="1"/>
  <c r="F2835" i="1"/>
  <c r="G2835" i="1" s="1"/>
  <c r="A2836" i="1"/>
  <c r="B2836" i="1"/>
  <c r="C2836" i="1"/>
  <c r="D2836" i="1"/>
  <c r="E2836" i="1"/>
  <c r="F2836" i="1"/>
  <c r="G2836" i="1" s="1"/>
  <c r="A2837" i="1"/>
  <c r="B2837" i="1" s="1"/>
  <c r="C2837" i="1"/>
  <c r="D2837" i="1"/>
  <c r="E2837" i="1"/>
  <c r="F2837" i="1"/>
  <c r="G2837" i="1" s="1"/>
  <c r="A2838" i="1"/>
  <c r="B2838" i="1" s="1"/>
  <c r="C2838" i="1"/>
  <c r="D2838" i="1"/>
  <c r="E2838" i="1"/>
  <c r="F2838" i="1"/>
  <c r="G2838" i="1" s="1"/>
  <c r="A2839" i="1"/>
  <c r="B2839" i="1" s="1"/>
  <c r="C2839" i="1"/>
  <c r="D2839" i="1"/>
  <c r="E2839" i="1"/>
  <c r="F2839" i="1"/>
  <c r="G2839" i="1" s="1"/>
  <c r="A2840" i="1"/>
  <c r="B2840" i="1" s="1"/>
  <c r="C2840" i="1"/>
  <c r="D2840" i="1"/>
  <c r="E2840" i="1"/>
  <c r="F2840" i="1"/>
  <c r="G2840" i="1" s="1"/>
  <c r="A2841" i="1"/>
  <c r="B2841" i="1" s="1"/>
  <c r="C2841" i="1"/>
  <c r="D2841" i="1"/>
  <c r="E2841" i="1"/>
  <c r="F2841" i="1"/>
  <c r="G2841" i="1" s="1"/>
  <c r="A2842" i="1"/>
  <c r="B2842" i="1" s="1"/>
  <c r="C2842" i="1"/>
  <c r="D2842" i="1"/>
  <c r="E2842" i="1"/>
  <c r="F2842" i="1"/>
  <c r="G2842" i="1" s="1"/>
  <c r="A2843" i="1"/>
  <c r="B2843" i="1" s="1"/>
  <c r="C2843" i="1"/>
  <c r="D2843" i="1"/>
  <c r="E2843" i="1"/>
  <c r="F2843" i="1"/>
  <c r="G2843" i="1" s="1"/>
  <c r="A2844" i="1"/>
  <c r="B2844" i="1" s="1"/>
  <c r="C2844" i="1"/>
  <c r="D2844" i="1"/>
  <c r="E2844" i="1"/>
  <c r="F2844" i="1"/>
  <c r="G2844" i="1" s="1"/>
  <c r="A2845" i="1"/>
  <c r="B2845" i="1"/>
  <c r="C2845" i="1"/>
  <c r="D2845" i="1"/>
  <c r="E2845" i="1"/>
  <c r="F2845" i="1"/>
  <c r="G2845" i="1" s="1"/>
  <c r="A2846" i="1"/>
  <c r="B2846" i="1" s="1"/>
  <c r="C2846" i="1"/>
  <c r="D2846" i="1"/>
  <c r="E2846" i="1"/>
  <c r="F2846" i="1"/>
  <c r="G2846" i="1" s="1"/>
  <c r="A2847" i="1"/>
  <c r="B2847" i="1" s="1"/>
  <c r="C2847" i="1"/>
  <c r="D2847" i="1"/>
  <c r="E2847" i="1"/>
  <c r="F2847" i="1"/>
  <c r="G2847" i="1" s="1"/>
  <c r="A2848" i="1"/>
  <c r="B2848" i="1" s="1"/>
  <c r="C2848" i="1"/>
  <c r="D2848" i="1"/>
  <c r="E2848" i="1"/>
  <c r="F2848" i="1"/>
  <c r="G2848" i="1" s="1"/>
  <c r="A2849" i="1"/>
  <c r="B2849" i="1" s="1"/>
  <c r="C2849" i="1"/>
  <c r="D2849" i="1"/>
  <c r="E2849" i="1"/>
  <c r="F2849" i="1"/>
  <c r="G2849" i="1" s="1"/>
  <c r="A2850" i="1"/>
  <c r="B2850" i="1" s="1"/>
  <c r="C2850" i="1"/>
  <c r="D2850" i="1"/>
  <c r="E2850" i="1"/>
  <c r="F2850" i="1"/>
  <c r="G2850" i="1" s="1"/>
  <c r="A2851" i="1"/>
  <c r="B2851" i="1" s="1"/>
  <c r="C2851" i="1"/>
  <c r="D2851" i="1"/>
  <c r="E2851" i="1"/>
  <c r="F2851" i="1"/>
  <c r="G2851" i="1" s="1"/>
  <c r="A2852" i="1"/>
  <c r="B2852" i="1" s="1"/>
  <c r="C2852" i="1"/>
  <c r="D2852" i="1"/>
  <c r="E2852" i="1"/>
  <c r="F2852" i="1"/>
  <c r="G2852" i="1" s="1"/>
  <c r="A2853" i="1"/>
  <c r="B2853" i="1" s="1"/>
  <c r="C2853" i="1"/>
  <c r="D2853" i="1"/>
  <c r="E2853" i="1"/>
  <c r="F2853" i="1"/>
  <c r="G2853" i="1" s="1"/>
  <c r="A2854" i="1"/>
  <c r="B2854" i="1" s="1"/>
  <c r="C2854" i="1"/>
  <c r="D2854" i="1"/>
  <c r="E2854" i="1"/>
  <c r="F2854" i="1"/>
  <c r="G2854" i="1" s="1"/>
  <c r="A2855" i="1"/>
  <c r="B2855" i="1" s="1"/>
  <c r="C2855" i="1"/>
  <c r="D2855" i="1"/>
  <c r="E2855" i="1"/>
  <c r="F2855" i="1"/>
  <c r="G2855" i="1" s="1"/>
  <c r="A2856" i="1"/>
  <c r="B2856" i="1" s="1"/>
  <c r="C2856" i="1"/>
  <c r="D2856" i="1"/>
  <c r="E2856" i="1"/>
  <c r="F2856" i="1"/>
  <c r="G2856" i="1" s="1"/>
  <c r="A2857" i="1"/>
  <c r="B2857" i="1" s="1"/>
  <c r="C2857" i="1"/>
  <c r="D2857" i="1"/>
  <c r="E2857" i="1"/>
  <c r="F2857" i="1"/>
  <c r="G2857" i="1" s="1"/>
  <c r="A2858" i="1"/>
  <c r="B2858" i="1"/>
  <c r="C2858" i="1"/>
  <c r="D2858" i="1"/>
  <c r="E2858" i="1"/>
  <c r="F2858" i="1"/>
  <c r="G2858" i="1" s="1"/>
  <c r="A2859" i="1"/>
  <c r="B2859" i="1"/>
  <c r="C2859" i="1"/>
  <c r="D2859" i="1"/>
  <c r="E2859" i="1"/>
  <c r="F2859" i="1"/>
  <c r="G2859" i="1" s="1"/>
  <c r="A2860" i="1"/>
  <c r="B2860" i="1" s="1"/>
  <c r="C2860" i="1"/>
  <c r="D2860" i="1"/>
  <c r="E2860" i="1"/>
  <c r="F2860" i="1"/>
  <c r="G2860" i="1" s="1"/>
  <c r="A2861" i="1"/>
  <c r="B2861" i="1" s="1"/>
  <c r="C2861" i="1"/>
  <c r="D2861" i="1"/>
  <c r="E2861" i="1"/>
  <c r="F2861" i="1"/>
  <c r="G2861" i="1" s="1"/>
  <c r="A2862" i="1"/>
  <c r="B2862" i="1" s="1"/>
  <c r="C2862" i="1"/>
  <c r="D2862" i="1"/>
  <c r="E2862" i="1"/>
  <c r="F2862" i="1"/>
  <c r="G2862" i="1" s="1"/>
  <c r="A2863" i="1"/>
  <c r="B2863" i="1" s="1"/>
  <c r="C2863" i="1"/>
  <c r="D2863" i="1"/>
  <c r="E2863" i="1"/>
  <c r="F2863" i="1"/>
  <c r="G2863" i="1" s="1"/>
  <c r="A2864" i="1"/>
  <c r="B2864" i="1" s="1"/>
  <c r="C2864" i="1"/>
  <c r="D2864" i="1"/>
  <c r="E2864" i="1"/>
  <c r="F2864" i="1"/>
  <c r="G2864" i="1" s="1"/>
  <c r="A2865" i="1"/>
  <c r="B2865" i="1" s="1"/>
  <c r="C2865" i="1"/>
  <c r="D2865" i="1"/>
  <c r="E2865" i="1"/>
  <c r="F2865" i="1"/>
  <c r="G2865" i="1" s="1"/>
  <c r="A2866" i="1"/>
  <c r="B2866" i="1" s="1"/>
  <c r="C2866" i="1"/>
  <c r="D2866" i="1"/>
  <c r="E2866" i="1"/>
  <c r="F2866" i="1"/>
  <c r="G2866" i="1" s="1"/>
  <c r="A2867" i="1"/>
  <c r="B2867" i="1"/>
  <c r="C2867" i="1"/>
  <c r="D2867" i="1"/>
  <c r="E2867" i="1"/>
  <c r="F2867" i="1"/>
  <c r="G2867" i="1" s="1"/>
  <c r="A2868" i="1"/>
  <c r="B2868" i="1" s="1"/>
  <c r="C2868" i="1"/>
  <c r="D2868" i="1"/>
  <c r="E2868" i="1"/>
  <c r="F2868" i="1"/>
  <c r="G2868" i="1" s="1"/>
  <c r="A2869" i="1"/>
  <c r="B2869" i="1" s="1"/>
  <c r="C2869" i="1"/>
  <c r="D2869" i="1"/>
  <c r="E2869" i="1"/>
  <c r="F2869" i="1"/>
  <c r="G2869" i="1" s="1"/>
  <c r="A2870" i="1"/>
  <c r="B2870" i="1" s="1"/>
  <c r="C2870" i="1"/>
  <c r="D2870" i="1"/>
  <c r="E2870" i="1"/>
  <c r="F2870" i="1"/>
  <c r="G2870" i="1" s="1"/>
  <c r="A2871" i="1"/>
  <c r="B2871" i="1" s="1"/>
  <c r="C2871" i="1"/>
  <c r="D2871" i="1"/>
  <c r="E2871" i="1"/>
  <c r="F2871" i="1"/>
  <c r="G2871" i="1" s="1"/>
  <c r="A2872" i="1"/>
  <c r="B2872" i="1" s="1"/>
  <c r="C2872" i="1"/>
  <c r="D2872" i="1"/>
  <c r="E2872" i="1"/>
  <c r="F2872" i="1"/>
  <c r="G2872" i="1" s="1"/>
  <c r="A2873" i="1"/>
  <c r="B2873" i="1" s="1"/>
  <c r="C2873" i="1"/>
  <c r="D2873" i="1"/>
  <c r="E2873" i="1"/>
  <c r="F2873" i="1"/>
  <c r="G2873" i="1" s="1"/>
  <c r="A2874" i="1"/>
  <c r="B2874" i="1" s="1"/>
  <c r="C2874" i="1"/>
  <c r="D2874" i="1"/>
  <c r="E2874" i="1"/>
  <c r="F2874" i="1"/>
  <c r="G2874" i="1" s="1"/>
  <c r="A2875" i="1"/>
  <c r="B2875" i="1" s="1"/>
  <c r="C2875" i="1"/>
  <c r="D2875" i="1"/>
  <c r="E2875" i="1"/>
  <c r="F2875" i="1"/>
  <c r="G2875" i="1" s="1"/>
  <c r="A2876" i="1"/>
  <c r="B2876" i="1" s="1"/>
  <c r="C2876" i="1"/>
  <c r="D2876" i="1"/>
  <c r="E2876" i="1"/>
  <c r="F2876" i="1"/>
  <c r="G2876" i="1" s="1"/>
  <c r="A2877" i="1"/>
  <c r="B2877" i="1" s="1"/>
  <c r="C2877" i="1"/>
  <c r="D2877" i="1"/>
  <c r="E2877" i="1"/>
  <c r="F2877" i="1"/>
  <c r="G2877" i="1" s="1"/>
  <c r="A2878" i="1"/>
  <c r="B2878" i="1" s="1"/>
  <c r="C2878" i="1"/>
  <c r="D2878" i="1"/>
  <c r="E2878" i="1"/>
  <c r="F2878" i="1"/>
  <c r="G2878" i="1" s="1"/>
  <c r="A2879" i="1"/>
  <c r="B2879" i="1" s="1"/>
  <c r="C2879" i="1"/>
  <c r="D2879" i="1"/>
  <c r="E2879" i="1"/>
  <c r="F2879" i="1"/>
  <c r="G2879" i="1" s="1"/>
  <c r="A2880" i="1"/>
  <c r="B2880" i="1" s="1"/>
  <c r="C2880" i="1"/>
  <c r="D2880" i="1"/>
  <c r="E2880" i="1"/>
  <c r="F2880" i="1"/>
  <c r="G2880" i="1"/>
  <c r="A2881" i="1"/>
  <c r="B2881" i="1" s="1"/>
  <c r="C2881" i="1"/>
  <c r="D2881" i="1"/>
  <c r="E2881" i="1"/>
  <c r="F2881" i="1"/>
  <c r="G2881" i="1" s="1"/>
  <c r="A2882" i="1"/>
  <c r="B2882" i="1" s="1"/>
  <c r="C2882" i="1"/>
  <c r="D2882" i="1"/>
  <c r="E2882" i="1"/>
  <c r="F2882" i="1"/>
  <c r="G2882" i="1" s="1"/>
  <c r="A2883" i="1"/>
  <c r="B2883" i="1" s="1"/>
  <c r="C2883" i="1"/>
  <c r="D2883" i="1"/>
  <c r="E2883" i="1"/>
  <c r="F2883" i="1"/>
  <c r="G2883" i="1" s="1"/>
  <c r="A2884" i="1"/>
  <c r="B2884" i="1"/>
  <c r="C2884" i="1"/>
  <c r="D2884" i="1"/>
  <c r="E2884" i="1"/>
  <c r="F2884" i="1"/>
  <c r="G2884" i="1" s="1"/>
  <c r="A2885" i="1"/>
  <c r="B2885" i="1" s="1"/>
  <c r="C2885" i="1"/>
  <c r="D2885" i="1"/>
  <c r="E2885" i="1"/>
  <c r="F2885" i="1"/>
  <c r="G2885" i="1" s="1"/>
  <c r="A2886" i="1"/>
  <c r="B2886" i="1" s="1"/>
  <c r="C2886" i="1"/>
  <c r="D2886" i="1"/>
  <c r="E2886" i="1"/>
  <c r="F2886" i="1"/>
  <c r="G2886" i="1" s="1"/>
  <c r="A2887" i="1"/>
  <c r="B2887" i="1" s="1"/>
  <c r="C2887" i="1"/>
  <c r="D2887" i="1"/>
  <c r="E2887" i="1"/>
  <c r="F2887" i="1"/>
  <c r="G2887" i="1" s="1"/>
  <c r="A2888" i="1"/>
  <c r="B2888" i="1" s="1"/>
  <c r="C2888" i="1"/>
  <c r="D2888" i="1"/>
  <c r="E2888" i="1"/>
  <c r="F2888" i="1"/>
  <c r="G2888" i="1" s="1"/>
  <c r="A2889" i="1"/>
  <c r="B2889" i="1" s="1"/>
  <c r="C2889" i="1"/>
  <c r="D2889" i="1"/>
  <c r="E2889" i="1"/>
  <c r="F2889" i="1"/>
  <c r="G2889" i="1"/>
  <c r="A2890" i="1"/>
  <c r="B2890" i="1" s="1"/>
  <c r="C2890" i="1"/>
  <c r="D2890" i="1"/>
  <c r="E2890" i="1"/>
  <c r="F2890" i="1"/>
  <c r="G2890" i="1" s="1"/>
  <c r="A2891" i="1"/>
  <c r="B2891" i="1" s="1"/>
  <c r="C2891" i="1"/>
  <c r="D2891" i="1"/>
  <c r="E2891" i="1"/>
  <c r="F2891" i="1"/>
  <c r="G2891" i="1" s="1"/>
  <c r="A2892" i="1"/>
  <c r="B2892" i="1"/>
  <c r="C2892" i="1"/>
  <c r="D2892" i="1"/>
  <c r="E2892" i="1"/>
  <c r="F2892" i="1"/>
  <c r="G2892" i="1" s="1"/>
  <c r="A2893" i="1"/>
  <c r="B2893" i="1" s="1"/>
  <c r="C2893" i="1"/>
  <c r="D2893" i="1"/>
  <c r="E2893" i="1"/>
  <c r="F2893" i="1"/>
  <c r="G2893" i="1" s="1"/>
  <c r="A2894" i="1"/>
  <c r="B2894" i="1" s="1"/>
  <c r="C2894" i="1"/>
  <c r="D2894" i="1"/>
  <c r="E2894" i="1"/>
  <c r="F2894" i="1"/>
  <c r="G2894" i="1" s="1"/>
  <c r="A2895" i="1"/>
  <c r="B2895" i="1" s="1"/>
  <c r="C2895" i="1"/>
  <c r="D2895" i="1"/>
  <c r="E2895" i="1"/>
  <c r="F2895" i="1"/>
  <c r="G2895" i="1" s="1"/>
  <c r="A2896" i="1"/>
  <c r="B2896" i="1" s="1"/>
  <c r="C2896" i="1"/>
  <c r="D2896" i="1"/>
  <c r="E2896" i="1"/>
  <c r="F2896" i="1"/>
  <c r="G2896" i="1" s="1"/>
  <c r="A2897" i="1"/>
  <c r="B2897" i="1" s="1"/>
  <c r="C2897" i="1"/>
  <c r="D2897" i="1"/>
  <c r="E2897" i="1"/>
  <c r="F2897" i="1"/>
  <c r="G2897" i="1" s="1"/>
  <c r="A2898" i="1"/>
  <c r="B2898" i="1" s="1"/>
  <c r="C2898" i="1"/>
  <c r="D2898" i="1"/>
  <c r="E2898" i="1"/>
  <c r="F2898" i="1"/>
  <c r="G2898" i="1" s="1"/>
  <c r="A2899" i="1"/>
  <c r="B2899" i="1" s="1"/>
  <c r="C2899" i="1"/>
  <c r="D2899" i="1"/>
  <c r="E2899" i="1"/>
  <c r="F2899" i="1"/>
  <c r="G2899" i="1" s="1"/>
  <c r="A2900" i="1"/>
  <c r="B2900" i="1" s="1"/>
  <c r="C2900" i="1"/>
  <c r="D2900" i="1"/>
  <c r="E2900" i="1"/>
  <c r="F2900" i="1"/>
  <c r="G2900" i="1" s="1"/>
  <c r="A2901" i="1"/>
  <c r="B2901" i="1" s="1"/>
  <c r="C2901" i="1"/>
  <c r="D2901" i="1"/>
  <c r="E2901" i="1"/>
  <c r="F2901" i="1"/>
  <c r="G2901" i="1" s="1"/>
  <c r="A2902" i="1"/>
  <c r="B2902" i="1" s="1"/>
  <c r="C2902" i="1"/>
  <c r="D2902" i="1"/>
  <c r="E2902" i="1"/>
  <c r="F2902" i="1"/>
  <c r="G2902" i="1" s="1"/>
  <c r="A2903" i="1"/>
  <c r="B2903" i="1" s="1"/>
  <c r="C2903" i="1"/>
  <c r="D2903" i="1"/>
  <c r="E2903" i="1"/>
  <c r="F2903" i="1"/>
  <c r="G2903" i="1" s="1"/>
  <c r="A2904" i="1"/>
  <c r="B2904" i="1" s="1"/>
  <c r="C2904" i="1"/>
  <c r="D2904" i="1"/>
  <c r="E2904" i="1"/>
  <c r="F2904" i="1"/>
  <c r="G2904" i="1" s="1"/>
  <c r="A2905" i="1"/>
  <c r="B2905" i="1" s="1"/>
  <c r="C2905" i="1"/>
  <c r="D2905" i="1"/>
  <c r="E2905" i="1"/>
  <c r="F2905" i="1"/>
  <c r="G2905" i="1" s="1"/>
  <c r="A2906" i="1"/>
  <c r="B2906" i="1" s="1"/>
  <c r="C2906" i="1"/>
  <c r="D2906" i="1"/>
  <c r="E2906" i="1"/>
  <c r="F2906" i="1"/>
  <c r="G2906" i="1" s="1"/>
  <c r="A2907" i="1"/>
  <c r="B2907" i="1" s="1"/>
  <c r="C2907" i="1"/>
  <c r="D2907" i="1"/>
  <c r="E2907" i="1"/>
  <c r="F2907" i="1"/>
  <c r="G2907" i="1" s="1"/>
  <c r="A2908" i="1"/>
  <c r="B2908" i="1" s="1"/>
  <c r="C2908" i="1"/>
  <c r="D2908" i="1"/>
  <c r="E2908" i="1"/>
  <c r="F2908" i="1"/>
  <c r="G2908" i="1" s="1"/>
  <c r="A2909" i="1"/>
  <c r="B2909" i="1" s="1"/>
  <c r="C2909" i="1"/>
  <c r="D2909" i="1"/>
  <c r="E2909" i="1"/>
  <c r="F2909" i="1"/>
  <c r="G2909" i="1" s="1"/>
  <c r="A2910" i="1"/>
  <c r="B2910" i="1" s="1"/>
  <c r="C2910" i="1"/>
  <c r="D2910" i="1"/>
  <c r="E2910" i="1"/>
  <c r="F2910" i="1"/>
  <c r="G2910" i="1" s="1"/>
  <c r="A2911" i="1"/>
  <c r="B2911" i="1" s="1"/>
  <c r="C2911" i="1"/>
  <c r="D2911" i="1"/>
  <c r="E2911" i="1"/>
  <c r="F2911" i="1"/>
  <c r="G2911" i="1" s="1"/>
  <c r="A2912" i="1"/>
  <c r="B2912" i="1" s="1"/>
  <c r="C2912" i="1"/>
  <c r="D2912" i="1"/>
  <c r="E2912" i="1"/>
  <c r="F2912" i="1"/>
  <c r="G2912" i="1" s="1"/>
  <c r="A2913" i="1"/>
  <c r="B2913" i="1" s="1"/>
  <c r="C2913" i="1"/>
  <c r="D2913" i="1"/>
  <c r="E2913" i="1"/>
  <c r="F2913" i="1"/>
  <c r="G2913" i="1" s="1"/>
  <c r="A2914" i="1"/>
  <c r="B2914" i="1"/>
  <c r="C2914" i="1"/>
  <c r="D2914" i="1"/>
  <c r="E2914" i="1"/>
  <c r="F2914" i="1"/>
  <c r="G2914" i="1" s="1"/>
  <c r="A2915" i="1"/>
  <c r="B2915" i="1" s="1"/>
  <c r="C2915" i="1"/>
  <c r="D2915" i="1"/>
  <c r="E2915" i="1"/>
  <c r="F2915" i="1"/>
  <c r="G2915" i="1" s="1"/>
  <c r="A2916" i="1"/>
  <c r="B2916" i="1" s="1"/>
  <c r="C2916" i="1"/>
  <c r="D2916" i="1"/>
  <c r="E2916" i="1"/>
  <c r="F2916" i="1"/>
  <c r="G2916" i="1" s="1"/>
  <c r="A2917" i="1"/>
  <c r="B2917" i="1" s="1"/>
  <c r="C2917" i="1"/>
  <c r="D2917" i="1"/>
  <c r="E2917" i="1"/>
  <c r="F2917" i="1"/>
  <c r="G2917" i="1" s="1"/>
  <c r="A2918" i="1"/>
  <c r="B2918" i="1" s="1"/>
  <c r="C2918" i="1"/>
  <c r="D2918" i="1"/>
  <c r="E2918" i="1"/>
  <c r="F2918" i="1"/>
  <c r="G2918" i="1" s="1"/>
  <c r="A2919" i="1"/>
  <c r="B2919" i="1" s="1"/>
  <c r="C2919" i="1"/>
  <c r="D2919" i="1"/>
  <c r="E2919" i="1"/>
  <c r="F2919" i="1"/>
  <c r="G2919" i="1" s="1"/>
  <c r="A2920" i="1"/>
  <c r="B2920" i="1"/>
  <c r="C2920" i="1"/>
  <c r="D2920" i="1"/>
  <c r="E2920" i="1"/>
  <c r="F2920" i="1"/>
  <c r="G2920" i="1" s="1"/>
  <c r="A2921" i="1"/>
  <c r="B2921" i="1" s="1"/>
  <c r="C2921" i="1"/>
  <c r="D2921" i="1"/>
  <c r="E2921" i="1"/>
  <c r="F2921" i="1"/>
  <c r="G2921" i="1" s="1"/>
  <c r="A2922" i="1"/>
  <c r="B2922" i="1" s="1"/>
  <c r="C2922" i="1"/>
  <c r="D2922" i="1"/>
  <c r="E2922" i="1"/>
  <c r="F2922" i="1"/>
  <c r="G2922" i="1" s="1"/>
  <c r="A2923" i="1"/>
  <c r="B2923" i="1" s="1"/>
  <c r="C2923" i="1"/>
  <c r="D2923" i="1"/>
  <c r="E2923" i="1"/>
  <c r="F2923" i="1"/>
  <c r="G2923" i="1" s="1"/>
  <c r="A2924" i="1"/>
  <c r="B2924" i="1" s="1"/>
  <c r="C2924" i="1"/>
  <c r="D2924" i="1"/>
  <c r="E2924" i="1"/>
  <c r="F2924" i="1"/>
  <c r="G2924" i="1" s="1"/>
  <c r="A2925" i="1"/>
  <c r="B2925" i="1" s="1"/>
  <c r="C2925" i="1"/>
  <c r="D2925" i="1"/>
  <c r="E2925" i="1"/>
  <c r="F2925" i="1"/>
  <c r="G2925" i="1" s="1"/>
  <c r="A2926" i="1"/>
  <c r="B2926" i="1" s="1"/>
  <c r="C2926" i="1"/>
  <c r="D2926" i="1"/>
  <c r="E2926" i="1"/>
  <c r="F2926" i="1"/>
  <c r="G2926" i="1" s="1"/>
  <c r="A2927" i="1"/>
  <c r="B2927" i="1" s="1"/>
  <c r="C2927" i="1"/>
  <c r="D2927" i="1"/>
  <c r="E2927" i="1"/>
  <c r="F2927" i="1"/>
  <c r="G2927" i="1" s="1"/>
  <c r="A2928" i="1"/>
  <c r="B2928" i="1" s="1"/>
  <c r="C2928" i="1"/>
  <c r="D2928" i="1"/>
  <c r="E2928" i="1"/>
  <c r="F2928" i="1"/>
  <c r="G2928" i="1" s="1"/>
  <c r="A2929" i="1"/>
  <c r="B2929" i="1" s="1"/>
  <c r="C2929" i="1"/>
  <c r="D2929" i="1"/>
  <c r="E2929" i="1"/>
  <c r="F2929" i="1"/>
  <c r="G2929" i="1" s="1"/>
  <c r="A2930" i="1"/>
  <c r="B2930" i="1" s="1"/>
  <c r="C2930" i="1"/>
  <c r="D2930" i="1"/>
  <c r="E2930" i="1"/>
  <c r="F2930" i="1"/>
  <c r="G2930" i="1" s="1"/>
  <c r="A2931" i="1"/>
  <c r="B2931" i="1" s="1"/>
  <c r="C2931" i="1"/>
  <c r="D2931" i="1"/>
  <c r="E2931" i="1"/>
  <c r="F2931" i="1"/>
  <c r="G2931" i="1" s="1"/>
  <c r="A2932" i="1"/>
  <c r="B2932" i="1" s="1"/>
  <c r="C2932" i="1"/>
  <c r="D2932" i="1"/>
  <c r="E2932" i="1"/>
  <c r="F2932" i="1"/>
  <c r="G2932" i="1" s="1"/>
  <c r="A2933" i="1"/>
  <c r="B2933" i="1" s="1"/>
  <c r="C2933" i="1"/>
  <c r="D2933" i="1"/>
  <c r="E2933" i="1"/>
  <c r="F2933" i="1"/>
  <c r="G2933" i="1" s="1"/>
  <c r="A2934" i="1"/>
  <c r="B2934" i="1" s="1"/>
  <c r="C2934" i="1"/>
  <c r="D2934" i="1"/>
  <c r="E2934" i="1"/>
  <c r="F2934" i="1"/>
  <c r="G2934" i="1"/>
  <c r="A2935" i="1"/>
  <c r="B2935" i="1" s="1"/>
  <c r="C2935" i="1"/>
  <c r="D2935" i="1"/>
  <c r="E2935" i="1"/>
  <c r="F2935" i="1"/>
  <c r="G2935" i="1" s="1"/>
  <c r="A2936" i="1"/>
  <c r="B2936" i="1" s="1"/>
  <c r="C2936" i="1"/>
  <c r="D2936" i="1"/>
  <c r="E2936" i="1"/>
  <c r="F2936" i="1"/>
  <c r="G2936" i="1" s="1"/>
  <c r="A2937" i="1"/>
  <c r="B2937" i="1" s="1"/>
  <c r="C2937" i="1"/>
  <c r="D2937" i="1"/>
  <c r="E2937" i="1"/>
  <c r="F2937" i="1"/>
  <c r="G2937" i="1" s="1"/>
  <c r="A2938" i="1"/>
  <c r="B2938" i="1" s="1"/>
  <c r="C2938" i="1"/>
  <c r="D2938" i="1"/>
  <c r="E2938" i="1"/>
  <c r="F2938" i="1"/>
  <c r="G2938" i="1" s="1"/>
  <c r="A2939" i="1"/>
  <c r="B2939" i="1" s="1"/>
  <c r="C2939" i="1"/>
  <c r="D2939" i="1"/>
  <c r="E2939" i="1"/>
  <c r="F2939" i="1"/>
  <c r="G2939" i="1" s="1"/>
  <c r="A2940" i="1"/>
  <c r="B2940" i="1" s="1"/>
  <c r="C2940" i="1"/>
  <c r="D2940" i="1"/>
  <c r="E2940" i="1"/>
  <c r="F2940" i="1"/>
  <c r="G2940" i="1" s="1"/>
  <c r="A2941" i="1"/>
  <c r="B2941" i="1" s="1"/>
  <c r="C2941" i="1"/>
  <c r="D2941" i="1"/>
  <c r="E2941" i="1"/>
  <c r="F2941" i="1"/>
  <c r="G2941" i="1" s="1"/>
  <c r="A2942" i="1"/>
  <c r="B2942" i="1" s="1"/>
  <c r="C2942" i="1"/>
  <c r="D2942" i="1"/>
  <c r="E2942" i="1"/>
  <c r="F2942" i="1"/>
  <c r="G2942" i="1" s="1"/>
  <c r="A2943" i="1"/>
  <c r="B2943" i="1" s="1"/>
  <c r="C2943" i="1"/>
  <c r="D2943" i="1"/>
  <c r="E2943" i="1"/>
  <c r="F2943" i="1"/>
  <c r="G2943" i="1" s="1"/>
  <c r="A2944" i="1"/>
  <c r="B2944" i="1" s="1"/>
  <c r="C2944" i="1"/>
  <c r="D2944" i="1"/>
  <c r="E2944" i="1"/>
  <c r="F2944" i="1"/>
  <c r="G2944" i="1" s="1"/>
  <c r="A2945" i="1"/>
  <c r="B2945" i="1" s="1"/>
  <c r="C2945" i="1"/>
  <c r="D2945" i="1"/>
  <c r="E2945" i="1"/>
  <c r="F2945" i="1"/>
  <c r="G2945" i="1"/>
  <c r="A2946" i="1"/>
  <c r="B2946" i="1" s="1"/>
  <c r="C2946" i="1"/>
  <c r="D2946" i="1"/>
  <c r="E2946" i="1"/>
  <c r="F2946" i="1"/>
  <c r="G2946" i="1" s="1"/>
  <c r="A2947" i="1"/>
  <c r="B2947" i="1"/>
  <c r="C2947" i="1"/>
  <c r="D2947" i="1"/>
  <c r="E2947" i="1"/>
  <c r="F2947" i="1"/>
  <c r="G2947" i="1" s="1"/>
  <c r="A2948" i="1"/>
  <c r="B2948" i="1" s="1"/>
  <c r="C2948" i="1"/>
  <c r="D2948" i="1"/>
  <c r="E2948" i="1"/>
  <c r="F2948" i="1"/>
  <c r="G2948" i="1" s="1"/>
  <c r="A2949" i="1"/>
  <c r="B2949" i="1" s="1"/>
  <c r="C2949" i="1"/>
  <c r="D2949" i="1"/>
  <c r="E2949" i="1"/>
  <c r="F2949" i="1"/>
  <c r="G2949" i="1" s="1"/>
  <c r="A2950" i="1"/>
  <c r="B2950" i="1" s="1"/>
  <c r="C2950" i="1"/>
  <c r="D2950" i="1"/>
  <c r="E2950" i="1"/>
  <c r="F2950" i="1"/>
  <c r="G2950" i="1" s="1"/>
  <c r="A2951" i="1"/>
  <c r="B2951" i="1" s="1"/>
  <c r="C2951" i="1"/>
  <c r="D2951" i="1"/>
  <c r="E2951" i="1"/>
  <c r="F2951" i="1"/>
  <c r="G2951" i="1" s="1"/>
  <c r="A2952" i="1"/>
  <c r="B2952" i="1" s="1"/>
  <c r="C2952" i="1"/>
  <c r="D2952" i="1"/>
  <c r="E2952" i="1"/>
  <c r="F2952" i="1"/>
  <c r="G2952" i="1" s="1"/>
  <c r="A2953" i="1"/>
  <c r="B2953" i="1" s="1"/>
  <c r="C2953" i="1"/>
  <c r="D2953" i="1"/>
  <c r="E2953" i="1"/>
  <c r="F2953" i="1"/>
  <c r="G2953" i="1" s="1"/>
  <c r="A2954" i="1"/>
  <c r="B2954" i="1" s="1"/>
  <c r="C2954" i="1"/>
  <c r="D2954" i="1"/>
  <c r="E2954" i="1"/>
  <c r="F2954" i="1"/>
  <c r="G2954" i="1" s="1"/>
  <c r="A2955" i="1"/>
  <c r="B2955" i="1" s="1"/>
  <c r="C2955" i="1"/>
  <c r="D2955" i="1"/>
  <c r="E2955" i="1"/>
  <c r="F2955" i="1"/>
  <c r="G2955" i="1" s="1"/>
  <c r="A2956" i="1"/>
  <c r="B2956" i="1" s="1"/>
  <c r="C2956" i="1"/>
  <c r="D2956" i="1"/>
  <c r="E2956" i="1"/>
  <c r="F2956" i="1"/>
  <c r="G2956" i="1" s="1"/>
  <c r="A2957" i="1"/>
  <c r="B2957" i="1"/>
  <c r="C2957" i="1"/>
  <c r="D2957" i="1"/>
  <c r="E2957" i="1"/>
  <c r="F2957" i="1"/>
  <c r="G2957" i="1" s="1"/>
  <c r="A2958" i="1"/>
  <c r="B2958" i="1"/>
  <c r="C2958" i="1"/>
  <c r="D2958" i="1"/>
  <c r="E2958" i="1"/>
  <c r="F2958" i="1"/>
  <c r="G2958" i="1" s="1"/>
  <c r="A2959" i="1"/>
  <c r="B2959" i="1"/>
  <c r="C2959" i="1"/>
  <c r="D2959" i="1"/>
  <c r="E2959" i="1"/>
  <c r="F2959" i="1"/>
  <c r="G2959" i="1"/>
  <c r="A2960" i="1"/>
  <c r="B2960" i="1" s="1"/>
  <c r="C2960" i="1"/>
  <c r="D2960" i="1"/>
  <c r="E2960" i="1"/>
  <c r="F2960" i="1"/>
  <c r="G2960" i="1" s="1"/>
  <c r="A2961" i="1"/>
  <c r="B2961" i="1" s="1"/>
  <c r="C2961" i="1"/>
  <c r="D2961" i="1"/>
  <c r="E2961" i="1"/>
  <c r="F2961" i="1"/>
  <c r="G2961" i="1" s="1"/>
  <c r="A2962" i="1"/>
  <c r="B2962" i="1" s="1"/>
  <c r="C2962" i="1"/>
  <c r="D2962" i="1"/>
  <c r="E2962" i="1"/>
  <c r="F2962" i="1"/>
  <c r="G2962" i="1" s="1"/>
  <c r="A2963" i="1"/>
  <c r="B2963" i="1" s="1"/>
  <c r="C2963" i="1"/>
  <c r="D2963" i="1"/>
  <c r="E2963" i="1"/>
  <c r="F2963" i="1"/>
  <c r="G2963" i="1" s="1"/>
  <c r="A2964" i="1"/>
  <c r="B2964" i="1" s="1"/>
  <c r="C2964" i="1"/>
  <c r="D2964" i="1"/>
  <c r="E2964" i="1"/>
  <c r="F2964" i="1"/>
  <c r="G2964" i="1" s="1"/>
  <c r="A2965" i="1"/>
  <c r="B2965" i="1" s="1"/>
  <c r="C2965" i="1"/>
  <c r="D2965" i="1"/>
  <c r="E2965" i="1"/>
  <c r="F2965" i="1"/>
  <c r="G2965" i="1" s="1"/>
  <c r="A2966" i="1"/>
  <c r="B2966" i="1" s="1"/>
  <c r="C2966" i="1"/>
  <c r="D2966" i="1"/>
  <c r="E2966" i="1"/>
  <c r="F2966" i="1"/>
  <c r="G2966" i="1" s="1"/>
  <c r="A2967" i="1"/>
  <c r="B2967" i="1" s="1"/>
  <c r="C2967" i="1"/>
  <c r="D2967" i="1"/>
  <c r="E2967" i="1"/>
  <c r="F2967" i="1"/>
  <c r="G2967" i="1" s="1"/>
  <c r="A2968" i="1"/>
  <c r="B2968" i="1" s="1"/>
  <c r="C2968" i="1"/>
  <c r="D2968" i="1"/>
  <c r="E2968" i="1"/>
  <c r="F2968" i="1"/>
  <c r="G2968" i="1" s="1"/>
  <c r="A2969" i="1"/>
  <c r="B2969" i="1" s="1"/>
  <c r="C2969" i="1"/>
  <c r="D2969" i="1"/>
  <c r="E2969" i="1"/>
  <c r="F2969" i="1"/>
  <c r="G2969" i="1" s="1"/>
  <c r="A2970" i="1"/>
  <c r="B2970" i="1" s="1"/>
  <c r="C2970" i="1"/>
  <c r="D2970" i="1"/>
  <c r="E2970" i="1"/>
  <c r="F2970" i="1"/>
  <c r="G2970" i="1" s="1"/>
  <c r="A2971" i="1"/>
  <c r="B2971" i="1" s="1"/>
  <c r="C2971" i="1"/>
  <c r="D2971" i="1"/>
  <c r="E2971" i="1"/>
  <c r="F2971" i="1"/>
  <c r="G2971" i="1" s="1"/>
  <c r="A2972" i="1"/>
  <c r="B2972" i="1"/>
  <c r="C2972" i="1"/>
  <c r="D2972" i="1"/>
  <c r="E2972" i="1"/>
  <c r="F2972" i="1"/>
  <c r="G2972" i="1" s="1"/>
  <c r="A2973" i="1"/>
  <c r="B2973" i="1" s="1"/>
  <c r="C2973" i="1"/>
  <c r="D2973" i="1"/>
  <c r="E2973" i="1"/>
  <c r="F2973" i="1"/>
  <c r="G2973" i="1" s="1"/>
  <c r="A2974" i="1"/>
  <c r="B2974" i="1" s="1"/>
  <c r="C2974" i="1"/>
  <c r="D2974" i="1"/>
  <c r="E2974" i="1"/>
  <c r="F2974" i="1"/>
  <c r="G2974" i="1" s="1"/>
  <c r="A2975" i="1"/>
  <c r="B2975" i="1" s="1"/>
  <c r="C2975" i="1"/>
  <c r="D2975" i="1"/>
  <c r="E2975" i="1"/>
  <c r="F2975" i="1"/>
  <c r="G2975" i="1" s="1"/>
  <c r="A2976" i="1"/>
  <c r="B2976" i="1" s="1"/>
  <c r="C2976" i="1"/>
  <c r="D2976" i="1"/>
  <c r="E2976" i="1"/>
  <c r="F2976" i="1"/>
  <c r="G2976" i="1" s="1"/>
  <c r="A2977" i="1"/>
  <c r="B2977" i="1" s="1"/>
  <c r="C2977" i="1"/>
  <c r="D2977" i="1"/>
  <c r="E2977" i="1"/>
  <c r="F2977" i="1"/>
  <c r="G2977" i="1" s="1"/>
  <c r="A2978" i="1"/>
  <c r="B2978" i="1" s="1"/>
  <c r="C2978" i="1"/>
  <c r="D2978" i="1"/>
  <c r="E2978" i="1"/>
  <c r="F2978" i="1"/>
  <c r="G2978" i="1" s="1"/>
  <c r="A2979" i="1"/>
  <c r="B2979" i="1" s="1"/>
  <c r="C2979" i="1"/>
  <c r="D2979" i="1"/>
  <c r="E2979" i="1"/>
  <c r="F2979" i="1"/>
  <c r="G2979" i="1" s="1"/>
  <c r="A2980" i="1"/>
  <c r="B2980" i="1" s="1"/>
  <c r="C2980" i="1"/>
  <c r="D2980" i="1"/>
  <c r="E2980" i="1"/>
  <c r="F2980" i="1"/>
  <c r="G2980" i="1" s="1"/>
  <c r="A2981" i="1"/>
  <c r="B2981" i="1" s="1"/>
  <c r="C2981" i="1"/>
  <c r="D2981" i="1"/>
  <c r="E2981" i="1"/>
  <c r="F2981" i="1"/>
  <c r="G2981" i="1" s="1"/>
  <c r="A2982" i="1"/>
  <c r="B2982" i="1" s="1"/>
  <c r="C2982" i="1"/>
  <c r="D2982" i="1"/>
  <c r="E2982" i="1"/>
  <c r="F2982" i="1"/>
  <c r="G2982" i="1" s="1"/>
  <c r="A2983" i="1"/>
  <c r="B2983" i="1" s="1"/>
  <c r="C2983" i="1"/>
  <c r="D2983" i="1"/>
  <c r="E2983" i="1"/>
  <c r="F2983" i="1"/>
  <c r="G2983" i="1" s="1"/>
  <c r="A2984" i="1"/>
  <c r="B2984" i="1"/>
  <c r="C2984" i="1"/>
  <c r="D2984" i="1"/>
  <c r="E2984" i="1"/>
  <c r="F2984" i="1"/>
  <c r="G2984" i="1" s="1"/>
  <c r="A2985" i="1"/>
  <c r="B2985" i="1" s="1"/>
  <c r="C2985" i="1"/>
  <c r="D2985" i="1"/>
  <c r="E2985" i="1"/>
  <c r="F2985" i="1"/>
  <c r="G2985" i="1" s="1"/>
  <c r="A2986" i="1"/>
  <c r="B2986" i="1" s="1"/>
  <c r="C2986" i="1"/>
  <c r="D2986" i="1"/>
  <c r="E2986" i="1"/>
  <c r="F2986" i="1"/>
  <c r="G2986" i="1" s="1"/>
  <c r="A2987" i="1"/>
  <c r="B2987" i="1" s="1"/>
  <c r="C2987" i="1"/>
  <c r="D2987" i="1"/>
  <c r="E2987" i="1"/>
  <c r="F2987" i="1"/>
  <c r="G2987" i="1" s="1"/>
  <c r="A2988" i="1"/>
  <c r="B2988" i="1" s="1"/>
  <c r="C2988" i="1"/>
  <c r="D2988" i="1"/>
  <c r="E2988" i="1"/>
  <c r="F2988" i="1"/>
  <c r="G2988" i="1" s="1"/>
  <c r="A2989" i="1"/>
  <c r="B2989" i="1" s="1"/>
  <c r="C2989" i="1"/>
  <c r="D2989" i="1"/>
  <c r="E2989" i="1"/>
  <c r="F2989" i="1"/>
  <c r="G2989" i="1" s="1"/>
  <c r="A2990" i="1"/>
  <c r="B2990" i="1" s="1"/>
  <c r="C2990" i="1"/>
  <c r="D2990" i="1"/>
  <c r="E2990" i="1"/>
  <c r="F2990" i="1"/>
  <c r="G2990" i="1" s="1"/>
  <c r="A2991" i="1"/>
  <c r="B2991" i="1" s="1"/>
  <c r="C2991" i="1"/>
  <c r="D2991" i="1"/>
  <c r="E2991" i="1"/>
  <c r="F2991" i="1"/>
  <c r="G2991" i="1" s="1"/>
  <c r="A2992" i="1"/>
  <c r="B2992" i="1" s="1"/>
  <c r="C2992" i="1"/>
  <c r="D2992" i="1"/>
  <c r="E2992" i="1"/>
  <c r="F2992" i="1"/>
  <c r="G2992" i="1" s="1"/>
  <c r="A2993" i="1"/>
  <c r="B2993" i="1" s="1"/>
  <c r="C2993" i="1"/>
  <c r="D2993" i="1"/>
  <c r="E2993" i="1"/>
  <c r="F2993" i="1"/>
  <c r="G2993" i="1" s="1"/>
  <c r="A2994" i="1"/>
  <c r="B2994" i="1" s="1"/>
  <c r="C2994" i="1"/>
  <c r="D2994" i="1"/>
  <c r="E2994" i="1"/>
  <c r="F2994" i="1"/>
  <c r="G2994" i="1" s="1"/>
  <c r="A2995" i="1"/>
  <c r="B2995" i="1"/>
  <c r="C2995" i="1"/>
  <c r="D2995" i="1"/>
  <c r="E2995" i="1"/>
  <c r="F2995" i="1"/>
  <c r="G2995" i="1" s="1"/>
  <c r="A2996" i="1"/>
  <c r="B2996" i="1" s="1"/>
  <c r="C2996" i="1"/>
  <c r="D2996" i="1"/>
  <c r="E2996" i="1"/>
  <c r="F2996" i="1"/>
  <c r="G2996" i="1"/>
  <c r="A2997" i="1"/>
  <c r="B2997" i="1" s="1"/>
  <c r="C2997" i="1"/>
  <c r="D2997" i="1"/>
  <c r="E2997" i="1"/>
  <c r="F2997" i="1"/>
  <c r="G2997" i="1" s="1"/>
  <c r="A2998" i="1"/>
  <c r="B2998" i="1" s="1"/>
  <c r="C2998" i="1"/>
  <c r="D2998" i="1"/>
  <c r="E2998" i="1"/>
  <c r="F2998" i="1"/>
  <c r="G2998" i="1" s="1"/>
  <c r="A2999" i="1"/>
  <c r="B2999" i="1" s="1"/>
  <c r="C2999" i="1"/>
  <c r="D2999" i="1"/>
  <c r="E2999" i="1"/>
  <c r="F2999" i="1"/>
  <c r="G2999" i="1" s="1"/>
  <c r="A3000" i="1"/>
  <c r="B3000" i="1" s="1"/>
  <c r="C3000" i="1"/>
  <c r="D3000" i="1"/>
  <c r="E3000" i="1"/>
  <c r="F3000" i="1"/>
  <c r="G3000" i="1" s="1"/>
  <c r="A3001" i="1"/>
  <c r="B3001" i="1" s="1"/>
  <c r="C3001" i="1"/>
  <c r="D3001" i="1"/>
  <c r="E3001" i="1"/>
  <c r="F3001" i="1"/>
  <c r="G3001" i="1" s="1"/>
  <c r="A3002" i="1"/>
  <c r="B3002" i="1" s="1"/>
  <c r="C3002" i="1"/>
  <c r="D3002" i="1"/>
  <c r="E3002" i="1"/>
  <c r="F3002" i="1"/>
  <c r="G3002" i="1" s="1"/>
  <c r="A3003" i="1"/>
  <c r="B3003" i="1" s="1"/>
  <c r="C3003" i="1"/>
  <c r="D3003" i="1"/>
  <c r="E3003" i="1"/>
  <c r="F3003" i="1"/>
  <c r="G3003" i="1" s="1"/>
  <c r="A3004" i="1"/>
  <c r="B3004" i="1"/>
  <c r="C3004" i="1"/>
  <c r="D3004" i="1"/>
  <c r="E3004" i="1"/>
  <c r="F3004" i="1"/>
  <c r="G3004" i="1" s="1"/>
  <c r="A3005" i="1"/>
  <c r="B3005" i="1" s="1"/>
  <c r="C3005" i="1"/>
  <c r="D3005" i="1"/>
  <c r="E3005" i="1"/>
  <c r="F3005" i="1"/>
  <c r="G3005" i="1" s="1"/>
  <c r="A3006" i="1"/>
  <c r="B3006" i="1" s="1"/>
  <c r="C3006" i="1"/>
  <c r="D3006" i="1"/>
  <c r="E3006" i="1"/>
  <c r="F3006" i="1"/>
  <c r="G3006" i="1" s="1"/>
  <c r="A3007" i="1"/>
  <c r="B3007" i="1" s="1"/>
  <c r="C3007" i="1"/>
  <c r="D3007" i="1"/>
  <c r="E3007" i="1"/>
  <c r="F3007" i="1"/>
  <c r="G3007" i="1" s="1"/>
  <c r="A3008" i="1"/>
  <c r="B3008" i="1" s="1"/>
  <c r="C3008" i="1"/>
  <c r="D3008" i="1"/>
  <c r="E3008" i="1"/>
  <c r="F3008" i="1"/>
  <c r="G3008" i="1" s="1"/>
  <c r="A3009" i="1"/>
  <c r="B3009" i="1" s="1"/>
  <c r="C3009" i="1"/>
  <c r="D3009" i="1"/>
  <c r="E3009" i="1"/>
  <c r="F3009" i="1"/>
  <c r="G3009" i="1" s="1"/>
  <c r="A3010" i="1"/>
  <c r="B3010" i="1" s="1"/>
  <c r="C3010" i="1"/>
  <c r="D3010" i="1"/>
  <c r="E3010" i="1"/>
  <c r="F3010" i="1"/>
  <c r="G3010" i="1" s="1"/>
  <c r="A3011" i="1"/>
  <c r="B3011" i="1" s="1"/>
  <c r="C3011" i="1"/>
  <c r="D3011" i="1"/>
  <c r="E3011" i="1"/>
  <c r="F3011" i="1"/>
  <c r="G3011" i="1" s="1"/>
  <c r="A3012" i="1"/>
  <c r="B3012" i="1" s="1"/>
  <c r="C3012" i="1"/>
  <c r="D3012" i="1"/>
  <c r="E3012" i="1"/>
  <c r="F3012" i="1"/>
  <c r="G3012" i="1" s="1"/>
  <c r="A3013" i="1"/>
  <c r="B3013" i="1" s="1"/>
  <c r="C3013" i="1"/>
  <c r="D3013" i="1"/>
  <c r="E3013" i="1"/>
  <c r="F3013" i="1"/>
  <c r="G3013" i="1" s="1"/>
  <c r="A3014" i="1"/>
  <c r="B3014" i="1" s="1"/>
  <c r="C3014" i="1"/>
  <c r="D3014" i="1"/>
  <c r="E3014" i="1"/>
  <c r="F3014" i="1"/>
  <c r="G3014" i="1" s="1"/>
  <c r="A3015" i="1"/>
  <c r="B3015" i="1" s="1"/>
  <c r="C3015" i="1"/>
  <c r="D3015" i="1"/>
  <c r="E3015" i="1"/>
  <c r="F3015" i="1"/>
  <c r="G3015" i="1" s="1"/>
  <c r="A3016" i="1"/>
  <c r="B3016" i="1"/>
  <c r="C3016" i="1"/>
  <c r="D3016" i="1"/>
  <c r="E3016" i="1"/>
  <c r="F3016" i="1"/>
  <c r="G3016" i="1" s="1"/>
  <c r="A3017" i="1"/>
  <c r="B3017" i="1" s="1"/>
  <c r="C3017" i="1"/>
  <c r="D3017" i="1"/>
  <c r="E3017" i="1"/>
  <c r="F3017" i="1"/>
  <c r="G3017" i="1"/>
  <c r="A3018" i="1"/>
  <c r="B3018" i="1" s="1"/>
  <c r="C3018" i="1"/>
  <c r="D3018" i="1"/>
  <c r="E3018" i="1"/>
  <c r="F3018" i="1"/>
  <c r="G3018" i="1" s="1"/>
  <c r="A3019" i="1"/>
  <c r="B3019" i="1" s="1"/>
  <c r="C3019" i="1"/>
  <c r="D3019" i="1"/>
  <c r="E3019" i="1"/>
  <c r="F3019" i="1"/>
  <c r="G3019" i="1" s="1"/>
  <c r="A3020" i="1"/>
  <c r="B3020" i="1" s="1"/>
  <c r="C3020" i="1"/>
  <c r="D3020" i="1"/>
  <c r="E3020" i="1"/>
  <c r="F3020" i="1"/>
  <c r="G3020" i="1" s="1"/>
  <c r="A3021" i="1"/>
  <c r="B3021" i="1" s="1"/>
  <c r="C3021" i="1"/>
  <c r="D3021" i="1"/>
  <c r="E3021" i="1"/>
  <c r="F3021" i="1"/>
  <c r="G3021" i="1" s="1"/>
  <c r="A3022" i="1"/>
  <c r="B3022" i="1" s="1"/>
  <c r="C3022" i="1"/>
  <c r="D3022" i="1"/>
  <c r="E3022" i="1"/>
  <c r="F3022" i="1"/>
  <c r="G3022" i="1" s="1"/>
  <c r="A3023" i="1"/>
  <c r="B3023" i="1" s="1"/>
  <c r="C3023" i="1"/>
  <c r="D3023" i="1"/>
  <c r="E3023" i="1"/>
  <c r="F3023" i="1"/>
  <c r="G3023" i="1" s="1"/>
  <c r="A3024" i="1"/>
  <c r="B3024" i="1" s="1"/>
  <c r="C3024" i="1"/>
  <c r="D3024" i="1"/>
  <c r="E3024" i="1"/>
  <c r="F3024" i="1"/>
  <c r="G3024" i="1" s="1"/>
  <c r="A3025" i="1"/>
  <c r="B3025" i="1" s="1"/>
  <c r="C3025" i="1"/>
  <c r="D3025" i="1"/>
  <c r="E3025" i="1"/>
  <c r="F3025" i="1"/>
  <c r="G3025" i="1" s="1"/>
  <c r="A3026" i="1"/>
  <c r="B3026" i="1" s="1"/>
  <c r="C3026" i="1"/>
  <c r="D3026" i="1"/>
  <c r="E3026" i="1"/>
  <c r="F3026" i="1"/>
  <c r="G3026" i="1" s="1"/>
  <c r="A3027" i="1"/>
  <c r="B3027" i="1" s="1"/>
  <c r="C3027" i="1"/>
  <c r="D3027" i="1"/>
  <c r="E3027" i="1"/>
  <c r="F3027" i="1"/>
  <c r="G3027" i="1" s="1"/>
  <c r="A3028" i="1"/>
  <c r="B3028" i="1" s="1"/>
  <c r="C3028" i="1"/>
  <c r="D3028" i="1"/>
  <c r="E3028" i="1"/>
  <c r="F3028" i="1"/>
  <c r="G3028" i="1" s="1"/>
  <c r="A3029" i="1"/>
  <c r="B3029" i="1"/>
  <c r="C3029" i="1"/>
  <c r="D3029" i="1"/>
  <c r="E3029" i="1"/>
  <c r="F3029" i="1"/>
  <c r="G3029" i="1" s="1"/>
  <c r="A3030" i="1"/>
  <c r="B3030" i="1" s="1"/>
  <c r="C3030" i="1"/>
  <c r="D3030" i="1"/>
  <c r="E3030" i="1"/>
  <c r="F3030" i="1"/>
  <c r="G3030" i="1" s="1"/>
  <c r="A3031" i="1"/>
  <c r="B3031" i="1" s="1"/>
  <c r="C3031" i="1"/>
  <c r="D3031" i="1"/>
  <c r="E3031" i="1"/>
  <c r="F3031" i="1"/>
  <c r="G3031" i="1" s="1"/>
  <c r="A3032" i="1"/>
  <c r="B3032" i="1" s="1"/>
  <c r="C3032" i="1"/>
  <c r="D3032" i="1"/>
  <c r="E3032" i="1"/>
  <c r="F3032" i="1"/>
  <c r="G3032" i="1" s="1"/>
  <c r="A3033" i="1"/>
  <c r="B3033" i="1" s="1"/>
  <c r="C3033" i="1"/>
  <c r="D3033" i="1"/>
  <c r="E3033" i="1"/>
  <c r="F3033" i="1"/>
  <c r="G3033" i="1" s="1"/>
  <c r="A3034" i="1"/>
  <c r="B3034" i="1" s="1"/>
  <c r="C3034" i="1"/>
  <c r="D3034" i="1"/>
  <c r="E3034" i="1"/>
  <c r="F3034" i="1"/>
  <c r="G3034" i="1" s="1"/>
  <c r="A3035" i="1"/>
  <c r="B3035" i="1" s="1"/>
  <c r="C3035" i="1"/>
  <c r="D3035" i="1"/>
  <c r="E3035" i="1"/>
  <c r="F3035" i="1"/>
  <c r="G3035" i="1" s="1"/>
  <c r="A3036" i="1"/>
  <c r="B3036" i="1" s="1"/>
  <c r="C3036" i="1"/>
  <c r="D3036" i="1"/>
  <c r="E3036" i="1"/>
  <c r="F3036" i="1"/>
  <c r="G3036" i="1" s="1"/>
  <c r="A3037" i="1"/>
  <c r="B3037" i="1" s="1"/>
  <c r="C3037" i="1"/>
  <c r="D3037" i="1"/>
  <c r="E3037" i="1"/>
  <c r="F3037" i="1"/>
  <c r="G3037" i="1" s="1"/>
  <c r="A3038" i="1"/>
  <c r="B3038" i="1" s="1"/>
  <c r="C3038" i="1"/>
  <c r="D3038" i="1"/>
  <c r="E3038" i="1"/>
  <c r="F3038" i="1"/>
  <c r="G3038" i="1" s="1"/>
  <c r="A3039" i="1"/>
  <c r="B3039" i="1" s="1"/>
  <c r="C3039" i="1"/>
  <c r="D3039" i="1"/>
  <c r="E3039" i="1"/>
  <c r="F3039" i="1"/>
  <c r="G3039" i="1" s="1"/>
  <c r="A3040" i="1"/>
  <c r="B3040" i="1" s="1"/>
  <c r="C3040" i="1"/>
  <c r="D3040" i="1"/>
  <c r="E3040" i="1"/>
  <c r="F3040" i="1"/>
  <c r="G3040" i="1" s="1"/>
  <c r="A3041" i="1"/>
  <c r="B3041" i="1"/>
  <c r="C3041" i="1"/>
  <c r="D3041" i="1"/>
  <c r="E3041" i="1"/>
  <c r="F3041" i="1"/>
  <c r="G3041" i="1" s="1"/>
  <c r="A3042" i="1"/>
  <c r="B3042" i="1" s="1"/>
  <c r="C3042" i="1"/>
  <c r="D3042" i="1"/>
  <c r="E3042" i="1"/>
  <c r="F3042" i="1"/>
  <c r="G3042" i="1" s="1"/>
  <c r="A3043" i="1"/>
  <c r="B3043" i="1"/>
  <c r="C3043" i="1"/>
  <c r="D3043" i="1"/>
  <c r="E3043" i="1"/>
  <c r="F3043" i="1"/>
  <c r="G3043" i="1"/>
  <c r="A3044" i="1"/>
  <c r="B3044" i="1" s="1"/>
  <c r="C3044" i="1"/>
  <c r="D3044" i="1"/>
  <c r="E3044" i="1"/>
  <c r="F3044" i="1"/>
  <c r="G3044" i="1" s="1"/>
  <c r="A3045" i="1"/>
  <c r="B3045" i="1" s="1"/>
  <c r="C3045" i="1"/>
  <c r="D3045" i="1"/>
  <c r="E3045" i="1"/>
  <c r="F3045" i="1"/>
  <c r="G3045" i="1" s="1"/>
  <c r="A3046" i="1"/>
  <c r="B3046" i="1" s="1"/>
  <c r="C3046" i="1"/>
  <c r="D3046" i="1"/>
  <c r="E3046" i="1"/>
  <c r="F3046" i="1"/>
  <c r="G3046" i="1" s="1"/>
  <c r="A3047" i="1"/>
  <c r="B3047" i="1" s="1"/>
  <c r="C3047" i="1"/>
  <c r="D3047" i="1"/>
  <c r="E3047" i="1"/>
  <c r="F3047" i="1"/>
  <c r="G3047" i="1" s="1"/>
  <c r="A3048" i="1"/>
  <c r="B3048" i="1" s="1"/>
  <c r="C3048" i="1"/>
  <c r="D3048" i="1"/>
  <c r="E3048" i="1"/>
  <c r="F3048" i="1"/>
  <c r="G3048" i="1" s="1"/>
  <c r="A3049" i="1"/>
  <c r="B3049" i="1" s="1"/>
  <c r="C3049" i="1"/>
  <c r="D3049" i="1"/>
  <c r="E3049" i="1"/>
  <c r="F3049" i="1"/>
  <c r="G3049" i="1" s="1"/>
  <c r="A3050" i="1"/>
  <c r="B3050" i="1" s="1"/>
  <c r="C3050" i="1"/>
  <c r="D3050" i="1"/>
  <c r="E3050" i="1"/>
  <c r="F3050" i="1"/>
  <c r="G3050" i="1" s="1"/>
  <c r="A3051" i="1"/>
  <c r="B3051" i="1" s="1"/>
  <c r="C3051" i="1"/>
  <c r="D3051" i="1"/>
  <c r="E3051" i="1"/>
  <c r="F3051" i="1"/>
  <c r="G3051" i="1" s="1"/>
  <c r="A3052" i="1"/>
  <c r="B3052" i="1" s="1"/>
  <c r="C3052" i="1"/>
  <c r="D3052" i="1"/>
  <c r="E3052" i="1"/>
  <c r="F3052" i="1"/>
  <c r="G3052" i="1" s="1"/>
  <c r="A3053" i="1"/>
  <c r="B3053" i="1" s="1"/>
  <c r="C3053" i="1"/>
  <c r="D3053" i="1"/>
  <c r="E3053" i="1"/>
  <c r="F3053" i="1"/>
  <c r="G3053" i="1" s="1"/>
  <c r="A3054" i="1"/>
  <c r="B3054" i="1" s="1"/>
  <c r="C3054" i="1"/>
  <c r="D3054" i="1"/>
  <c r="E3054" i="1"/>
  <c r="F3054" i="1"/>
  <c r="G3054" i="1" s="1"/>
  <c r="A3055" i="1"/>
  <c r="B3055" i="1"/>
  <c r="C3055" i="1"/>
  <c r="D3055" i="1"/>
  <c r="E3055" i="1"/>
  <c r="F3055" i="1"/>
  <c r="G3055" i="1" s="1"/>
  <c r="A3056" i="1"/>
  <c r="B3056" i="1"/>
  <c r="C3056" i="1"/>
  <c r="D3056" i="1"/>
  <c r="E3056" i="1"/>
  <c r="F3056" i="1"/>
  <c r="G3056" i="1"/>
  <c r="A3057" i="1"/>
  <c r="B3057" i="1" s="1"/>
  <c r="C3057" i="1"/>
  <c r="D3057" i="1"/>
  <c r="E3057" i="1"/>
  <c r="F3057" i="1"/>
  <c r="G3057" i="1" s="1"/>
  <c r="A3058" i="1"/>
  <c r="B3058" i="1" s="1"/>
  <c r="C3058" i="1"/>
  <c r="D3058" i="1"/>
  <c r="E3058" i="1"/>
  <c r="F3058" i="1"/>
  <c r="G3058" i="1" s="1"/>
  <c r="A3059" i="1"/>
  <c r="B3059" i="1" s="1"/>
  <c r="C3059" i="1"/>
  <c r="D3059" i="1"/>
  <c r="E3059" i="1"/>
  <c r="F3059" i="1"/>
  <c r="G3059" i="1" s="1"/>
  <c r="A3060" i="1"/>
  <c r="B3060" i="1" s="1"/>
  <c r="C3060" i="1"/>
  <c r="D3060" i="1"/>
  <c r="E3060" i="1"/>
  <c r="F3060" i="1"/>
  <c r="G3060" i="1" s="1"/>
  <c r="A3061" i="1"/>
  <c r="B3061" i="1" s="1"/>
  <c r="C3061" i="1"/>
  <c r="D3061" i="1"/>
  <c r="E3061" i="1"/>
  <c r="F3061" i="1"/>
  <c r="G3061" i="1" s="1"/>
  <c r="A3062" i="1"/>
  <c r="B3062" i="1" s="1"/>
  <c r="C3062" i="1"/>
  <c r="D3062" i="1"/>
  <c r="E3062" i="1"/>
  <c r="F3062" i="1"/>
  <c r="G3062" i="1" s="1"/>
  <c r="A3063" i="1"/>
  <c r="B3063" i="1" s="1"/>
  <c r="C3063" i="1"/>
  <c r="D3063" i="1"/>
  <c r="E3063" i="1"/>
  <c r="F3063" i="1"/>
  <c r="G3063" i="1" s="1"/>
  <c r="A3064" i="1"/>
  <c r="B3064" i="1" s="1"/>
  <c r="C3064" i="1"/>
  <c r="D3064" i="1"/>
  <c r="E3064" i="1"/>
  <c r="F3064" i="1"/>
  <c r="G3064" i="1" s="1"/>
  <c r="A3065" i="1"/>
  <c r="B3065" i="1" s="1"/>
  <c r="C3065" i="1"/>
  <c r="D3065" i="1"/>
  <c r="E3065" i="1"/>
  <c r="F3065" i="1"/>
  <c r="G3065" i="1" s="1"/>
  <c r="A3066" i="1"/>
  <c r="B3066" i="1" s="1"/>
  <c r="C3066" i="1"/>
  <c r="D3066" i="1"/>
  <c r="E3066" i="1"/>
  <c r="F3066" i="1"/>
  <c r="G3066" i="1"/>
  <c r="A3067" i="1"/>
  <c r="B3067" i="1" s="1"/>
  <c r="C3067" i="1"/>
  <c r="D3067" i="1"/>
  <c r="E3067" i="1"/>
  <c r="F3067" i="1"/>
  <c r="G3067" i="1" s="1"/>
  <c r="A3068" i="1"/>
  <c r="B3068" i="1" s="1"/>
  <c r="C3068" i="1"/>
  <c r="D3068" i="1"/>
  <c r="E3068" i="1"/>
  <c r="F3068" i="1"/>
  <c r="G3068" i="1" s="1"/>
  <c r="A3069" i="1"/>
  <c r="B3069" i="1" s="1"/>
  <c r="C3069" i="1"/>
  <c r="D3069" i="1"/>
  <c r="E3069" i="1"/>
  <c r="F3069" i="1"/>
  <c r="G3069" i="1" s="1"/>
  <c r="A3070" i="1"/>
  <c r="B3070" i="1" s="1"/>
  <c r="C3070" i="1"/>
  <c r="D3070" i="1"/>
  <c r="E3070" i="1"/>
  <c r="F3070" i="1"/>
  <c r="G3070" i="1" s="1"/>
  <c r="A3071" i="1"/>
  <c r="B3071" i="1" s="1"/>
  <c r="C3071" i="1"/>
  <c r="D3071" i="1"/>
  <c r="E3071" i="1"/>
  <c r="F3071" i="1"/>
  <c r="G3071" i="1" s="1"/>
  <c r="A3072" i="1"/>
  <c r="B3072" i="1" s="1"/>
  <c r="C3072" i="1"/>
  <c r="D3072" i="1"/>
  <c r="E3072" i="1"/>
  <c r="F3072" i="1"/>
  <c r="G3072" i="1" s="1"/>
  <c r="A3073" i="1"/>
  <c r="B3073" i="1" s="1"/>
  <c r="C3073" i="1"/>
  <c r="D3073" i="1"/>
  <c r="E3073" i="1"/>
  <c r="F3073" i="1"/>
  <c r="G3073" i="1" s="1"/>
  <c r="A3074" i="1"/>
  <c r="B3074" i="1" s="1"/>
  <c r="C3074" i="1"/>
  <c r="D3074" i="1"/>
  <c r="E3074" i="1"/>
  <c r="F3074" i="1"/>
  <c r="G3074" i="1" s="1"/>
  <c r="A3075" i="1"/>
  <c r="B3075" i="1" s="1"/>
  <c r="C3075" i="1"/>
  <c r="D3075" i="1"/>
  <c r="E3075" i="1"/>
  <c r="F3075" i="1"/>
  <c r="G3075" i="1" s="1"/>
  <c r="A3076" i="1"/>
  <c r="B3076" i="1"/>
  <c r="C3076" i="1"/>
  <c r="D3076" i="1"/>
  <c r="E3076" i="1"/>
  <c r="F3076" i="1"/>
  <c r="G3076" i="1" s="1"/>
  <c r="A3077" i="1"/>
  <c r="B3077" i="1"/>
  <c r="C3077" i="1"/>
  <c r="D3077" i="1"/>
  <c r="E3077" i="1"/>
  <c r="F3077" i="1"/>
  <c r="G3077" i="1" s="1"/>
  <c r="A3078" i="1"/>
  <c r="B3078" i="1" s="1"/>
  <c r="C3078" i="1"/>
  <c r="D3078" i="1"/>
  <c r="E3078" i="1"/>
  <c r="F3078" i="1"/>
  <c r="G3078" i="1" s="1"/>
  <c r="A3079" i="1"/>
  <c r="B3079" i="1"/>
  <c r="C3079" i="1"/>
  <c r="D3079" i="1"/>
  <c r="E3079" i="1"/>
  <c r="F3079" i="1"/>
  <c r="G3079" i="1" s="1"/>
  <c r="A3080" i="1"/>
  <c r="B3080" i="1" s="1"/>
  <c r="C3080" i="1"/>
  <c r="D3080" i="1"/>
  <c r="E3080" i="1"/>
  <c r="F3080" i="1"/>
  <c r="G3080" i="1" s="1"/>
  <c r="A3081" i="1"/>
  <c r="B3081" i="1" s="1"/>
  <c r="C3081" i="1"/>
  <c r="D3081" i="1"/>
  <c r="E3081" i="1"/>
  <c r="F3081" i="1"/>
  <c r="G3081" i="1" s="1"/>
  <c r="A3082" i="1"/>
  <c r="B3082" i="1" s="1"/>
  <c r="C3082" i="1"/>
  <c r="D3082" i="1"/>
  <c r="E3082" i="1"/>
  <c r="F3082" i="1"/>
  <c r="G3082" i="1" s="1"/>
  <c r="A3083" i="1"/>
  <c r="B3083" i="1" s="1"/>
  <c r="C3083" i="1"/>
  <c r="D3083" i="1"/>
  <c r="E3083" i="1"/>
  <c r="F3083" i="1"/>
  <c r="G3083" i="1" s="1"/>
  <c r="A3084" i="1"/>
  <c r="B3084" i="1" s="1"/>
  <c r="C3084" i="1"/>
  <c r="D3084" i="1"/>
  <c r="E3084" i="1"/>
  <c r="F3084" i="1"/>
  <c r="G3084" i="1" s="1"/>
  <c r="A3085" i="1"/>
  <c r="B3085" i="1" s="1"/>
  <c r="C3085" i="1"/>
  <c r="D3085" i="1"/>
  <c r="E3085" i="1"/>
  <c r="F3085" i="1"/>
  <c r="G3085" i="1" s="1"/>
  <c r="A3086" i="1"/>
  <c r="B3086" i="1" s="1"/>
  <c r="C3086" i="1"/>
  <c r="D3086" i="1"/>
  <c r="E3086" i="1"/>
  <c r="F3086" i="1"/>
  <c r="G3086" i="1" s="1"/>
  <c r="A3087" i="1"/>
  <c r="B3087" i="1" s="1"/>
  <c r="C3087" i="1"/>
  <c r="D3087" i="1"/>
  <c r="E3087" i="1"/>
  <c r="F3087" i="1"/>
  <c r="G3087" i="1" s="1"/>
  <c r="A3088" i="1"/>
  <c r="B3088" i="1" s="1"/>
  <c r="C3088" i="1"/>
  <c r="D3088" i="1"/>
  <c r="E3088" i="1"/>
  <c r="F3088" i="1"/>
  <c r="G3088" i="1" s="1"/>
  <c r="A3089" i="1"/>
  <c r="B3089" i="1"/>
  <c r="C3089" i="1"/>
  <c r="D3089" i="1"/>
  <c r="E3089" i="1"/>
  <c r="F3089" i="1"/>
  <c r="G3089" i="1"/>
  <c r="A3090" i="1"/>
  <c r="B3090" i="1" s="1"/>
  <c r="C3090" i="1"/>
  <c r="D3090" i="1"/>
  <c r="E3090" i="1"/>
  <c r="F3090" i="1"/>
  <c r="G3090" i="1" s="1"/>
  <c r="A3091" i="1"/>
  <c r="B3091" i="1"/>
  <c r="C3091" i="1"/>
  <c r="D3091" i="1"/>
  <c r="E3091" i="1"/>
  <c r="F3091" i="1"/>
  <c r="G3091" i="1" s="1"/>
  <c r="A3092" i="1"/>
  <c r="B3092" i="1" s="1"/>
  <c r="C3092" i="1"/>
  <c r="D3092" i="1"/>
  <c r="E3092" i="1"/>
  <c r="F3092" i="1"/>
  <c r="G3092" i="1" s="1"/>
  <c r="A3093" i="1"/>
  <c r="B3093" i="1" s="1"/>
  <c r="C3093" i="1"/>
  <c r="D3093" i="1"/>
  <c r="E3093" i="1"/>
  <c r="F3093" i="1"/>
  <c r="G3093" i="1" s="1"/>
  <c r="A3094" i="1"/>
  <c r="B3094" i="1" s="1"/>
  <c r="C3094" i="1"/>
  <c r="D3094" i="1"/>
  <c r="E3094" i="1"/>
  <c r="F3094" i="1"/>
  <c r="G3094" i="1" s="1"/>
  <c r="A3095" i="1"/>
  <c r="B3095" i="1" s="1"/>
  <c r="C3095" i="1"/>
  <c r="D3095" i="1"/>
  <c r="E3095" i="1"/>
  <c r="F3095" i="1"/>
  <c r="G3095" i="1" s="1"/>
  <c r="A3096" i="1"/>
  <c r="B3096" i="1" s="1"/>
  <c r="C3096" i="1"/>
  <c r="D3096" i="1"/>
  <c r="E3096" i="1"/>
  <c r="F3096" i="1"/>
  <c r="G3096" i="1" s="1"/>
  <c r="A3097" i="1"/>
  <c r="B3097" i="1" s="1"/>
  <c r="C3097" i="1"/>
  <c r="D3097" i="1"/>
  <c r="E3097" i="1"/>
  <c r="F3097" i="1"/>
  <c r="G3097" i="1" s="1"/>
  <c r="A3098" i="1"/>
  <c r="B3098" i="1" s="1"/>
  <c r="C3098" i="1"/>
  <c r="D3098" i="1"/>
  <c r="E3098" i="1"/>
  <c r="F3098" i="1"/>
  <c r="G3098" i="1" s="1"/>
  <c r="A3099" i="1"/>
  <c r="B3099" i="1" s="1"/>
  <c r="C3099" i="1"/>
  <c r="D3099" i="1"/>
  <c r="E3099" i="1"/>
  <c r="F3099" i="1"/>
  <c r="G3099" i="1" s="1"/>
  <c r="A3100" i="1"/>
  <c r="B3100" i="1"/>
  <c r="C3100" i="1"/>
  <c r="D3100" i="1"/>
  <c r="E3100" i="1"/>
  <c r="F3100" i="1"/>
  <c r="G3100" i="1" s="1"/>
  <c r="A3101" i="1"/>
  <c r="B3101" i="1"/>
  <c r="C3101" i="1"/>
  <c r="D3101" i="1"/>
  <c r="E3101" i="1"/>
  <c r="F3101" i="1"/>
  <c r="G3101" i="1" s="1"/>
  <c r="A3102" i="1"/>
  <c r="B3102" i="1"/>
  <c r="C3102" i="1"/>
  <c r="D3102" i="1"/>
  <c r="E3102" i="1"/>
  <c r="F3102" i="1"/>
  <c r="G3102" i="1"/>
  <c r="A3103" i="1"/>
  <c r="B3103" i="1"/>
  <c r="C3103" i="1"/>
  <c r="D3103" i="1"/>
  <c r="E3103" i="1"/>
  <c r="F3103" i="1"/>
  <c r="G3103" i="1" s="1"/>
  <c r="A3104" i="1"/>
  <c r="B3104" i="1" s="1"/>
  <c r="C3104" i="1"/>
  <c r="D3104" i="1"/>
  <c r="E3104" i="1"/>
  <c r="F3104" i="1"/>
  <c r="G3104" i="1" s="1"/>
  <c r="A3105" i="1"/>
  <c r="B3105" i="1" s="1"/>
  <c r="C3105" i="1"/>
  <c r="D3105" i="1"/>
  <c r="E3105" i="1"/>
  <c r="F3105" i="1"/>
  <c r="G3105" i="1" s="1"/>
  <c r="A3106" i="1"/>
  <c r="B3106" i="1" s="1"/>
  <c r="C3106" i="1"/>
  <c r="D3106" i="1"/>
  <c r="E3106" i="1"/>
  <c r="F3106" i="1"/>
  <c r="G3106" i="1" s="1"/>
  <c r="A3107" i="1"/>
  <c r="B3107" i="1" s="1"/>
  <c r="C3107" i="1"/>
  <c r="D3107" i="1"/>
  <c r="E3107" i="1"/>
  <c r="F3107" i="1"/>
  <c r="G3107" i="1" s="1"/>
  <c r="A3108" i="1"/>
  <c r="B3108" i="1" s="1"/>
  <c r="C3108" i="1"/>
  <c r="D3108" i="1"/>
  <c r="E3108" i="1"/>
  <c r="F3108" i="1"/>
  <c r="G3108" i="1" s="1"/>
  <c r="A3109" i="1"/>
  <c r="B3109" i="1" s="1"/>
  <c r="C3109" i="1"/>
  <c r="D3109" i="1"/>
  <c r="E3109" i="1"/>
  <c r="F3109" i="1"/>
  <c r="G3109" i="1" s="1"/>
  <c r="A3110" i="1"/>
  <c r="B3110" i="1" s="1"/>
  <c r="C3110" i="1"/>
  <c r="D3110" i="1"/>
  <c r="E3110" i="1"/>
  <c r="F3110" i="1"/>
  <c r="G3110" i="1" s="1"/>
  <c r="A3111" i="1"/>
  <c r="B3111" i="1" s="1"/>
  <c r="C3111" i="1"/>
  <c r="D3111" i="1"/>
  <c r="E3111" i="1"/>
  <c r="F3111" i="1"/>
  <c r="G3111" i="1" s="1"/>
  <c r="A3112" i="1"/>
  <c r="B3112" i="1" s="1"/>
  <c r="C3112" i="1"/>
  <c r="D3112" i="1"/>
  <c r="E3112" i="1"/>
  <c r="F3112" i="1"/>
  <c r="G3112" i="1" s="1"/>
  <c r="A3113" i="1"/>
  <c r="B3113" i="1"/>
  <c r="C3113" i="1"/>
  <c r="D3113" i="1"/>
  <c r="E3113" i="1"/>
  <c r="F3113" i="1"/>
  <c r="G3113" i="1" s="1"/>
  <c r="A3114" i="1"/>
  <c r="B3114" i="1"/>
  <c r="C3114" i="1"/>
  <c r="D3114" i="1"/>
  <c r="E3114" i="1"/>
  <c r="F3114" i="1"/>
  <c r="G3114" i="1" s="1"/>
  <c r="A3115" i="1"/>
  <c r="B3115" i="1" s="1"/>
  <c r="C3115" i="1"/>
  <c r="D3115" i="1"/>
  <c r="E3115" i="1"/>
  <c r="F3115" i="1"/>
  <c r="G3115" i="1" s="1"/>
  <c r="A3116" i="1"/>
  <c r="B3116" i="1" s="1"/>
  <c r="C3116" i="1"/>
  <c r="D3116" i="1"/>
  <c r="E3116" i="1"/>
  <c r="F3116" i="1"/>
  <c r="G3116" i="1" s="1"/>
  <c r="A3117" i="1"/>
  <c r="B3117" i="1" s="1"/>
  <c r="C3117" i="1"/>
  <c r="D3117" i="1"/>
  <c r="E3117" i="1"/>
  <c r="F3117" i="1"/>
  <c r="G3117" i="1" s="1"/>
  <c r="A3118" i="1"/>
  <c r="B3118" i="1" s="1"/>
  <c r="C3118" i="1"/>
  <c r="D3118" i="1"/>
  <c r="E3118" i="1"/>
  <c r="F3118" i="1"/>
  <c r="G3118" i="1" s="1"/>
  <c r="A3119" i="1"/>
  <c r="B3119" i="1" s="1"/>
  <c r="C3119" i="1"/>
  <c r="D3119" i="1"/>
  <c r="E3119" i="1"/>
  <c r="F3119" i="1"/>
  <c r="G3119" i="1" s="1"/>
  <c r="A3120" i="1"/>
  <c r="B3120" i="1" s="1"/>
  <c r="C3120" i="1"/>
  <c r="D3120" i="1"/>
  <c r="E3120" i="1"/>
  <c r="F3120" i="1"/>
  <c r="G3120" i="1" s="1"/>
  <c r="A3121" i="1"/>
  <c r="B3121" i="1" s="1"/>
  <c r="C3121" i="1"/>
  <c r="D3121" i="1"/>
  <c r="E3121" i="1"/>
  <c r="F3121" i="1"/>
  <c r="G3121" i="1" s="1"/>
  <c r="A3122" i="1"/>
  <c r="B3122" i="1" s="1"/>
  <c r="C3122" i="1"/>
  <c r="D3122" i="1"/>
  <c r="E3122" i="1"/>
  <c r="F3122" i="1"/>
  <c r="G3122" i="1" s="1"/>
  <c r="A3123" i="1"/>
  <c r="B3123" i="1" s="1"/>
  <c r="C3123" i="1"/>
  <c r="D3123" i="1"/>
  <c r="E3123" i="1"/>
  <c r="F3123" i="1"/>
  <c r="G3123" i="1" s="1"/>
  <c r="A3124" i="1"/>
  <c r="B3124" i="1" s="1"/>
  <c r="C3124" i="1"/>
  <c r="D3124" i="1"/>
  <c r="E3124" i="1"/>
  <c r="F3124" i="1"/>
  <c r="G3124" i="1" s="1"/>
  <c r="A3125" i="1"/>
  <c r="B3125" i="1" s="1"/>
  <c r="C3125" i="1"/>
  <c r="D3125" i="1"/>
  <c r="E3125" i="1"/>
  <c r="F3125" i="1"/>
  <c r="G3125" i="1" s="1"/>
  <c r="A3126" i="1"/>
  <c r="B3126" i="1" s="1"/>
  <c r="C3126" i="1"/>
  <c r="D3126" i="1"/>
  <c r="E3126" i="1"/>
  <c r="F3126" i="1"/>
  <c r="G3126" i="1" s="1"/>
  <c r="A3127" i="1"/>
  <c r="B3127" i="1" s="1"/>
  <c r="C3127" i="1"/>
  <c r="D3127" i="1"/>
  <c r="E3127" i="1"/>
  <c r="F3127" i="1"/>
  <c r="G3127" i="1" s="1"/>
  <c r="A3128" i="1"/>
  <c r="B3128" i="1"/>
  <c r="C3128" i="1"/>
  <c r="D3128" i="1"/>
  <c r="E3128" i="1"/>
  <c r="F3128" i="1"/>
  <c r="G3128" i="1" s="1"/>
  <c r="A3129" i="1"/>
  <c r="B3129" i="1" s="1"/>
  <c r="C3129" i="1"/>
  <c r="D3129" i="1"/>
  <c r="E3129" i="1"/>
  <c r="F3129" i="1"/>
  <c r="G3129" i="1" s="1"/>
  <c r="A3130" i="1"/>
  <c r="B3130" i="1" s="1"/>
  <c r="C3130" i="1"/>
  <c r="D3130" i="1"/>
  <c r="E3130" i="1"/>
  <c r="F3130" i="1"/>
  <c r="G3130" i="1" s="1"/>
  <c r="A3131" i="1"/>
  <c r="B3131" i="1" s="1"/>
  <c r="C3131" i="1"/>
  <c r="D3131" i="1"/>
  <c r="E3131" i="1"/>
  <c r="F3131" i="1"/>
  <c r="G3131" i="1" s="1"/>
  <c r="A3132" i="1"/>
  <c r="B3132" i="1" s="1"/>
  <c r="C3132" i="1"/>
  <c r="D3132" i="1"/>
  <c r="E3132" i="1"/>
  <c r="F3132" i="1"/>
  <c r="G3132" i="1" s="1"/>
  <c r="A3133" i="1"/>
  <c r="B3133" i="1" s="1"/>
  <c r="C3133" i="1"/>
  <c r="D3133" i="1"/>
  <c r="E3133" i="1"/>
  <c r="F3133" i="1"/>
  <c r="G3133" i="1" s="1"/>
  <c r="A3134" i="1"/>
  <c r="B3134" i="1" s="1"/>
  <c r="C3134" i="1"/>
  <c r="D3134" i="1"/>
  <c r="E3134" i="1"/>
  <c r="F3134" i="1"/>
  <c r="G3134" i="1" s="1"/>
  <c r="A3135" i="1"/>
  <c r="B3135" i="1" s="1"/>
  <c r="C3135" i="1"/>
  <c r="D3135" i="1"/>
  <c r="E3135" i="1"/>
  <c r="F3135" i="1"/>
  <c r="G3135" i="1" s="1"/>
  <c r="A3136" i="1"/>
  <c r="B3136" i="1"/>
  <c r="C3136" i="1"/>
  <c r="D3136" i="1"/>
  <c r="E3136" i="1"/>
  <c r="F3136" i="1"/>
  <c r="G3136" i="1" s="1"/>
  <c r="A3137" i="1"/>
  <c r="B3137" i="1" s="1"/>
  <c r="C3137" i="1"/>
  <c r="D3137" i="1"/>
  <c r="E3137" i="1"/>
  <c r="F3137" i="1"/>
  <c r="G3137" i="1" s="1"/>
  <c r="A3138" i="1"/>
  <c r="B3138" i="1" s="1"/>
  <c r="C3138" i="1"/>
  <c r="D3138" i="1"/>
  <c r="E3138" i="1"/>
  <c r="F3138" i="1"/>
  <c r="G3138" i="1"/>
  <c r="A3139" i="1"/>
  <c r="B3139" i="1" s="1"/>
  <c r="C3139" i="1"/>
  <c r="D3139" i="1"/>
  <c r="E3139" i="1"/>
  <c r="F3139" i="1"/>
  <c r="G3139" i="1" s="1"/>
  <c r="A3140" i="1"/>
  <c r="B3140" i="1" s="1"/>
  <c r="C3140" i="1"/>
  <c r="D3140" i="1"/>
  <c r="E3140" i="1"/>
  <c r="F3140" i="1"/>
  <c r="G3140" i="1" s="1"/>
  <c r="A3141" i="1"/>
  <c r="B3141" i="1" s="1"/>
  <c r="C3141" i="1"/>
  <c r="D3141" i="1"/>
  <c r="E3141" i="1"/>
  <c r="F3141" i="1"/>
  <c r="G3141" i="1" s="1"/>
  <c r="A3142" i="1"/>
  <c r="B3142" i="1" s="1"/>
  <c r="C3142" i="1"/>
  <c r="D3142" i="1"/>
  <c r="E3142" i="1"/>
  <c r="F3142" i="1"/>
  <c r="G3142" i="1" s="1"/>
  <c r="A3143" i="1"/>
  <c r="B3143" i="1" s="1"/>
  <c r="C3143" i="1"/>
  <c r="D3143" i="1"/>
  <c r="E3143" i="1"/>
  <c r="F3143" i="1"/>
  <c r="G3143" i="1" s="1"/>
  <c r="A3144" i="1"/>
  <c r="B3144" i="1" s="1"/>
  <c r="C3144" i="1"/>
  <c r="D3144" i="1"/>
  <c r="E3144" i="1"/>
  <c r="F3144" i="1"/>
  <c r="G3144" i="1" s="1"/>
  <c r="A3145" i="1"/>
  <c r="B3145" i="1" s="1"/>
  <c r="C3145" i="1"/>
  <c r="D3145" i="1"/>
  <c r="E3145" i="1"/>
  <c r="F3145" i="1"/>
  <c r="G3145" i="1" s="1"/>
  <c r="A3146" i="1"/>
  <c r="B3146" i="1" s="1"/>
  <c r="C3146" i="1"/>
  <c r="D3146" i="1"/>
  <c r="E3146" i="1"/>
  <c r="F3146" i="1"/>
  <c r="G3146" i="1" s="1"/>
  <c r="A3147" i="1"/>
  <c r="B3147" i="1" s="1"/>
  <c r="C3147" i="1"/>
  <c r="D3147" i="1"/>
  <c r="E3147" i="1"/>
  <c r="F3147" i="1"/>
  <c r="G3147" i="1" s="1"/>
  <c r="A3148" i="1"/>
  <c r="B3148" i="1"/>
  <c r="C3148" i="1"/>
  <c r="D3148" i="1"/>
  <c r="E3148" i="1"/>
  <c r="F3148" i="1"/>
  <c r="G3148" i="1" s="1"/>
  <c r="A3149" i="1"/>
  <c r="B3149" i="1" s="1"/>
  <c r="C3149" i="1"/>
  <c r="D3149" i="1"/>
  <c r="E3149" i="1"/>
  <c r="F3149" i="1"/>
  <c r="G3149" i="1" s="1"/>
  <c r="A3150" i="1"/>
  <c r="B3150" i="1" s="1"/>
  <c r="C3150" i="1"/>
  <c r="D3150" i="1"/>
  <c r="E3150" i="1"/>
  <c r="F3150" i="1"/>
  <c r="G3150" i="1"/>
  <c r="A3151" i="1"/>
  <c r="B3151" i="1" s="1"/>
  <c r="C3151" i="1"/>
  <c r="D3151" i="1"/>
  <c r="E3151" i="1"/>
  <c r="F3151" i="1"/>
  <c r="G3151" i="1" s="1"/>
  <c r="A3152" i="1"/>
  <c r="B3152" i="1"/>
  <c r="C3152" i="1"/>
  <c r="D3152" i="1"/>
  <c r="E3152" i="1"/>
  <c r="F3152" i="1"/>
  <c r="G3152" i="1" s="1"/>
  <c r="A3153" i="1"/>
  <c r="B3153" i="1" s="1"/>
  <c r="C3153" i="1"/>
  <c r="D3153" i="1"/>
  <c r="E3153" i="1"/>
  <c r="F3153" i="1"/>
  <c r="G3153" i="1"/>
  <c r="A3154" i="1"/>
  <c r="B3154" i="1" s="1"/>
  <c r="C3154" i="1"/>
  <c r="D3154" i="1"/>
  <c r="E3154" i="1"/>
  <c r="F3154" i="1"/>
  <c r="G3154" i="1" s="1"/>
  <c r="A3155" i="1"/>
  <c r="B3155" i="1" s="1"/>
  <c r="C3155" i="1"/>
  <c r="D3155" i="1"/>
  <c r="E3155" i="1"/>
  <c r="F3155" i="1"/>
  <c r="G3155" i="1" s="1"/>
  <c r="A3156" i="1"/>
  <c r="B3156" i="1" s="1"/>
  <c r="C3156" i="1"/>
  <c r="D3156" i="1"/>
  <c r="E3156" i="1"/>
  <c r="F3156" i="1"/>
  <c r="G3156" i="1" s="1"/>
  <c r="A3157" i="1"/>
  <c r="B3157" i="1" s="1"/>
  <c r="C3157" i="1"/>
  <c r="D3157" i="1"/>
  <c r="E3157" i="1"/>
  <c r="F3157" i="1"/>
  <c r="G3157" i="1" s="1"/>
  <c r="A3158" i="1"/>
  <c r="B3158" i="1" s="1"/>
  <c r="C3158" i="1"/>
  <c r="D3158" i="1"/>
  <c r="E3158" i="1"/>
  <c r="F3158" i="1"/>
  <c r="G3158" i="1" s="1"/>
  <c r="A3159" i="1"/>
  <c r="B3159" i="1" s="1"/>
  <c r="C3159" i="1"/>
  <c r="D3159" i="1"/>
  <c r="E3159" i="1"/>
  <c r="F3159" i="1"/>
  <c r="G3159" i="1" s="1"/>
  <c r="A3160" i="1"/>
  <c r="B3160" i="1" s="1"/>
  <c r="C3160" i="1"/>
  <c r="D3160" i="1"/>
  <c r="E3160" i="1"/>
  <c r="F3160" i="1"/>
  <c r="G3160" i="1" s="1"/>
  <c r="A3161" i="1"/>
  <c r="B3161" i="1" s="1"/>
  <c r="C3161" i="1"/>
  <c r="D3161" i="1"/>
  <c r="E3161" i="1"/>
  <c r="F3161" i="1"/>
  <c r="G3161" i="1" s="1"/>
  <c r="A3162" i="1"/>
  <c r="B3162" i="1" s="1"/>
  <c r="C3162" i="1"/>
  <c r="D3162" i="1"/>
  <c r="E3162" i="1"/>
  <c r="F3162" i="1"/>
  <c r="G3162" i="1" s="1"/>
  <c r="A3163" i="1"/>
  <c r="B3163" i="1"/>
  <c r="C3163" i="1"/>
  <c r="D3163" i="1"/>
  <c r="E3163" i="1"/>
  <c r="F3163" i="1"/>
  <c r="G3163" i="1" s="1"/>
  <c r="A3164" i="1"/>
  <c r="B3164" i="1" s="1"/>
  <c r="C3164" i="1"/>
  <c r="D3164" i="1"/>
  <c r="E3164" i="1"/>
  <c r="F3164" i="1"/>
  <c r="G3164" i="1" s="1"/>
  <c r="A3165" i="1"/>
  <c r="B3165" i="1" s="1"/>
  <c r="C3165" i="1"/>
  <c r="D3165" i="1"/>
  <c r="E3165" i="1"/>
  <c r="F3165" i="1"/>
  <c r="G3165" i="1" s="1"/>
  <c r="A3166" i="1"/>
  <c r="B3166" i="1" s="1"/>
  <c r="C3166" i="1"/>
  <c r="D3166" i="1"/>
  <c r="E3166" i="1"/>
  <c r="F3166" i="1"/>
  <c r="G3166" i="1" s="1"/>
  <c r="A3167" i="1"/>
  <c r="B3167" i="1" s="1"/>
  <c r="C3167" i="1"/>
  <c r="D3167" i="1"/>
  <c r="E3167" i="1"/>
  <c r="F3167" i="1"/>
  <c r="G3167" i="1" s="1"/>
  <c r="A3168" i="1"/>
  <c r="B3168" i="1" s="1"/>
  <c r="C3168" i="1"/>
  <c r="D3168" i="1"/>
  <c r="E3168" i="1"/>
  <c r="F3168" i="1"/>
  <c r="G3168" i="1" s="1"/>
  <c r="A3169" i="1"/>
  <c r="B3169" i="1" s="1"/>
  <c r="C3169" i="1"/>
  <c r="D3169" i="1"/>
  <c r="E3169" i="1"/>
  <c r="F3169" i="1"/>
  <c r="G3169" i="1" s="1"/>
  <c r="A3170" i="1"/>
  <c r="B3170" i="1" s="1"/>
  <c r="C3170" i="1"/>
  <c r="D3170" i="1"/>
  <c r="E3170" i="1"/>
  <c r="F3170" i="1"/>
  <c r="G3170" i="1" s="1"/>
  <c r="A3171" i="1"/>
  <c r="B3171" i="1" s="1"/>
  <c r="C3171" i="1"/>
  <c r="D3171" i="1"/>
  <c r="E3171" i="1"/>
  <c r="F3171" i="1"/>
  <c r="G3171" i="1" s="1"/>
  <c r="A3172" i="1"/>
  <c r="B3172" i="1"/>
  <c r="C3172" i="1"/>
  <c r="D3172" i="1"/>
  <c r="E3172" i="1"/>
  <c r="F3172" i="1"/>
  <c r="G3172" i="1" s="1"/>
  <c r="A3173" i="1"/>
  <c r="B3173" i="1" s="1"/>
  <c r="C3173" i="1"/>
  <c r="D3173" i="1"/>
  <c r="E3173" i="1"/>
  <c r="F3173" i="1"/>
  <c r="G3173" i="1"/>
  <c r="A3174" i="1"/>
  <c r="B3174" i="1" s="1"/>
  <c r="C3174" i="1"/>
  <c r="D3174" i="1"/>
  <c r="E3174" i="1"/>
  <c r="F3174" i="1"/>
  <c r="G3174" i="1" s="1"/>
  <c r="A3175" i="1"/>
  <c r="B3175" i="1" s="1"/>
  <c r="C3175" i="1"/>
  <c r="D3175" i="1"/>
  <c r="E3175" i="1"/>
  <c r="F3175" i="1"/>
  <c r="G3175" i="1" s="1"/>
  <c r="A3176" i="1"/>
  <c r="B3176" i="1" s="1"/>
  <c r="C3176" i="1"/>
  <c r="D3176" i="1"/>
  <c r="E3176" i="1"/>
  <c r="F3176" i="1"/>
  <c r="G3176" i="1" s="1"/>
  <c r="A3177" i="1"/>
  <c r="B3177" i="1" s="1"/>
  <c r="C3177" i="1"/>
  <c r="D3177" i="1"/>
  <c r="E3177" i="1"/>
  <c r="F3177" i="1"/>
  <c r="G3177" i="1" s="1"/>
  <c r="A3178" i="1"/>
  <c r="B3178" i="1" s="1"/>
  <c r="C3178" i="1"/>
  <c r="D3178" i="1"/>
  <c r="E3178" i="1"/>
  <c r="F3178" i="1"/>
  <c r="G3178" i="1" s="1"/>
  <c r="A3179" i="1"/>
  <c r="B3179" i="1" s="1"/>
  <c r="C3179" i="1"/>
  <c r="D3179" i="1"/>
  <c r="E3179" i="1"/>
  <c r="F3179" i="1"/>
  <c r="G3179" i="1" s="1"/>
  <c r="A3180" i="1"/>
  <c r="B3180" i="1" s="1"/>
  <c r="C3180" i="1"/>
  <c r="D3180" i="1"/>
  <c r="E3180" i="1"/>
  <c r="F3180" i="1"/>
  <c r="G3180" i="1" s="1"/>
  <c r="A3181" i="1"/>
  <c r="B3181" i="1" s="1"/>
  <c r="C3181" i="1"/>
  <c r="D3181" i="1"/>
  <c r="E3181" i="1"/>
  <c r="F3181" i="1"/>
  <c r="G3181" i="1" s="1"/>
  <c r="A3182" i="1"/>
  <c r="B3182" i="1" s="1"/>
  <c r="C3182" i="1"/>
  <c r="D3182" i="1"/>
  <c r="E3182" i="1"/>
  <c r="F3182" i="1"/>
  <c r="G3182" i="1" s="1"/>
  <c r="A3183" i="1"/>
  <c r="B3183" i="1" s="1"/>
  <c r="C3183" i="1"/>
  <c r="D3183" i="1"/>
  <c r="E3183" i="1"/>
  <c r="F3183" i="1"/>
  <c r="G3183" i="1" s="1"/>
  <c r="A3184" i="1"/>
  <c r="B3184" i="1" s="1"/>
  <c r="C3184" i="1"/>
  <c r="D3184" i="1"/>
  <c r="E3184" i="1"/>
  <c r="F3184" i="1"/>
  <c r="G3184" i="1" s="1"/>
  <c r="A3185" i="1"/>
  <c r="B3185" i="1" s="1"/>
  <c r="C3185" i="1"/>
  <c r="D3185" i="1"/>
  <c r="E3185" i="1"/>
  <c r="F3185" i="1"/>
  <c r="G3185" i="1" s="1"/>
  <c r="A3186" i="1"/>
  <c r="B3186" i="1"/>
  <c r="C3186" i="1"/>
  <c r="D3186" i="1"/>
  <c r="E3186" i="1"/>
  <c r="F3186" i="1"/>
  <c r="G3186" i="1" s="1"/>
  <c r="A3187" i="1"/>
  <c r="B3187" i="1" s="1"/>
  <c r="C3187" i="1"/>
  <c r="D3187" i="1"/>
  <c r="E3187" i="1"/>
  <c r="F3187" i="1"/>
  <c r="G3187" i="1" s="1"/>
  <c r="A3188" i="1"/>
  <c r="B3188" i="1"/>
  <c r="C3188" i="1"/>
  <c r="D3188" i="1"/>
  <c r="E3188" i="1"/>
  <c r="F3188" i="1"/>
  <c r="G3188" i="1" s="1"/>
  <c r="A3189" i="1"/>
  <c r="B3189" i="1" s="1"/>
  <c r="C3189" i="1"/>
  <c r="D3189" i="1"/>
  <c r="E3189" i="1"/>
  <c r="F3189" i="1"/>
  <c r="G3189" i="1" s="1"/>
  <c r="A3190" i="1"/>
  <c r="B3190" i="1" s="1"/>
  <c r="C3190" i="1"/>
  <c r="D3190" i="1"/>
  <c r="E3190" i="1"/>
  <c r="F3190" i="1"/>
  <c r="G3190" i="1" s="1"/>
  <c r="A3191" i="1"/>
  <c r="B3191" i="1" s="1"/>
  <c r="C3191" i="1"/>
  <c r="D3191" i="1"/>
  <c r="E3191" i="1"/>
  <c r="F3191" i="1"/>
  <c r="G3191" i="1" s="1"/>
  <c r="A3192" i="1"/>
  <c r="B3192" i="1" s="1"/>
  <c r="C3192" i="1"/>
  <c r="D3192" i="1"/>
  <c r="E3192" i="1"/>
  <c r="F3192" i="1"/>
  <c r="G3192" i="1" s="1"/>
  <c r="A3193" i="1"/>
  <c r="B3193" i="1" s="1"/>
  <c r="C3193" i="1"/>
  <c r="D3193" i="1"/>
  <c r="E3193" i="1"/>
  <c r="F3193" i="1"/>
  <c r="G3193" i="1" s="1"/>
  <c r="A3194" i="1"/>
  <c r="B3194" i="1" s="1"/>
  <c r="C3194" i="1"/>
  <c r="D3194" i="1"/>
  <c r="E3194" i="1"/>
  <c r="F3194" i="1"/>
  <c r="G3194" i="1" s="1"/>
  <c r="A3195" i="1"/>
  <c r="B3195" i="1" s="1"/>
  <c r="C3195" i="1"/>
  <c r="D3195" i="1"/>
  <c r="E3195" i="1"/>
  <c r="F3195" i="1"/>
  <c r="G3195" i="1" s="1"/>
  <c r="A3196" i="1"/>
  <c r="B3196" i="1" s="1"/>
  <c r="C3196" i="1"/>
  <c r="D3196" i="1"/>
  <c r="E3196" i="1"/>
  <c r="F3196" i="1"/>
  <c r="G3196" i="1" s="1"/>
  <c r="A3197" i="1"/>
  <c r="B3197" i="1"/>
  <c r="C3197" i="1"/>
  <c r="D3197" i="1"/>
  <c r="E3197" i="1"/>
  <c r="F3197" i="1"/>
  <c r="G3197" i="1" s="1"/>
  <c r="A3198" i="1"/>
  <c r="B3198" i="1" s="1"/>
  <c r="C3198" i="1"/>
  <c r="D3198" i="1"/>
  <c r="E3198" i="1"/>
  <c r="F3198" i="1"/>
  <c r="G3198" i="1" s="1"/>
  <c r="A3199" i="1"/>
  <c r="B3199" i="1" s="1"/>
  <c r="C3199" i="1"/>
  <c r="D3199" i="1"/>
  <c r="E3199" i="1"/>
  <c r="F3199" i="1"/>
  <c r="G3199" i="1" s="1"/>
  <c r="A3200" i="1"/>
  <c r="B3200" i="1" s="1"/>
  <c r="C3200" i="1"/>
  <c r="D3200" i="1"/>
  <c r="E3200" i="1"/>
  <c r="F3200" i="1"/>
  <c r="G3200" i="1" s="1"/>
  <c r="A3201" i="1"/>
  <c r="B3201" i="1" s="1"/>
  <c r="C3201" i="1"/>
  <c r="D3201" i="1"/>
  <c r="E3201" i="1"/>
  <c r="F3201" i="1"/>
  <c r="G3201" i="1" s="1"/>
  <c r="A3202" i="1"/>
  <c r="B3202" i="1" s="1"/>
  <c r="C3202" i="1"/>
  <c r="D3202" i="1"/>
  <c r="E3202" i="1"/>
  <c r="F3202" i="1"/>
  <c r="G3202" i="1" s="1"/>
  <c r="A3203" i="1"/>
  <c r="B3203" i="1" s="1"/>
  <c r="C3203" i="1"/>
  <c r="D3203" i="1"/>
  <c r="E3203" i="1"/>
  <c r="F3203" i="1"/>
  <c r="G3203" i="1" s="1"/>
  <c r="A3204" i="1"/>
  <c r="B3204" i="1" s="1"/>
  <c r="C3204" i="1"/>
  <c r="D3204" i="1"/>
  <c r="E3204" i="1"/>
  <c r="F3204" i="1"/>
  <c r="G3204" i="1" s="1"/>
  <c r="A3205" i="1"/>
  <c r="B3205" i="1" s="1"/>
  <c r="C3205" i="1"/>
  <c r="D3205" i="1"/>
  <c r="E3205" i="1"/>
  <c r="F3205" i="1"/>
  <c r="G3205" i="1" s="1"/>
  <c r="A3206" i="1"/>
  <c r="B3206" i="1" s="1"/>
  <c r="C3206" i="1"/>
  <c r="D3206" i="1"/>
  <c r="E3206" i="1"/>
  <c r="F3206" i="1"/>
  <c r="G3206" i="1" s="1"/>
  <c r="A3207" i="1"/>
  <c r="B3207" i="1" s="1"/>
  <c r="C3207" i="1"/>
  <c r="D3207" i="1"/>
  <c r="E3207" i="1"/>
  <c r="F3207" i="1"/>
  <c r="G3207" i="1" s="1"/>
  <c r="A3208" i="1"/>
  <c r="B3208" i="1" s="1"/>
  <c r="C3208" i="1"/>
  <c r="D3208" i="1"/>
  <c r="E3208" i="1"/>
  <c r="F3208" i="1"/>
  <c r="G3208" i="1" s="1"/>
  <c r="A3209" i="1"/>
  <c r="B3209" i="1" s="1"/>
  <c r="C3209" i="1"/>
  <c r="D3209" i="1"/>
  <c r="E3209" i="1"/>
  <c r="F3209" i="1"/>
  <c r="G3209" i="1" s="1"/>
  <c r="A3210" i="1"/>
  <c r="B3210" i="1" s="1"/>
  <c r="C3210" i="1"/>
  <c r="D3210" i="1"/>
  <c r="E3210" i="1"/>
  <c r="F3210" i="1"/>
  <c r="G3210" i="1" s="1"/>
  <c r="A3211" i="1"/>
  <c r="B3211" i="1" s="1"/>
  <c r="C3211" i="1"/>
  <c r="D3211" i="1"/>
  <c r="E3211" i="1"/>
  <c r="F3211" i="1"/>
  <c r="G3211" i="1" s="1"/>
  <c r="A3212" i="1"/>
  <c r="B3212" i="1"/>
  <c r="C3212" i="1"/>
  <c r="D3212" i="1"/>
  <c r="E3212" i="1"/>
  <c r="F3212" i="1"/>
  <c r="G3212" i="1" s="1"/>
  <c r="A3213" i="1"/>
  <c r="B3213" i="1" s="1"/>
  <c r="C3213" i="1"/>
  <c r="D3213" i="1"/>
  <c r="E3213" i="1"/>
  <c r="F3213" i="1"/>
  <c r="G3213" i="1"/>
  <c r="A3214" i="1"/>
  <c r="B3214" i="1" s="1"/>
  <c r="C3214" i="1"/>
  <c r="D3214" i="1"/>
  <c r="E3214" i="1"/>
  <c r="F3214" i="1"/>
  <c r="G3214" i="1" s="1"/>
  <c r="A3215" i="1"/>
  <c r="B3215" i="1" s="1"/>
  <c r="C3215" i="1"/>
  <c r="D3215" i="1"/>
  <c r="E3215" i="1"/>
  <c r="F3215" i="1"/>
  <c r="G3215" i="1" s="1"/>
  <c r="A3216" i="1"/>
  <c r="B3216" i="1"/>
  <c r="C3216" i="1"/>
  <c r="D3216" i="1"/>
  <c r="E3216" i="1"/>
  <c r="F3216" i="1"/>
  <c r="G3216" i="1" s="1"/>
  <c r="A3217" i="1"/>
  <c r="B3217" i="1" s="1"/>
  <c r="C3217" i="1"/>
  <c r="D3217" i="1"/>
  <c r="E3217" i="1"/>
  <c r="F3217" i="1"/>
  <c r="G3217" i="1" s="1"/>
  <c r="A3218" i="1"/>
  <c r="B3218" i="1" s="1"/>
  <c r="C3218" i="1"/>
  <c r="D3218" i="1"/>
  <c r="E3218" i="1"/>
  <c r="F3218" i="1"/>
  <c r="G3218" i="1" s="1"/>
  <c r="A3219" i="1"/>
  <c r="B3219" i="1" s="1"/>
  <c r="C3219" i="1"/>
  <c r="D3219" i="1"/>
  <c r="E3219" i="1"/>
  <c r="F3219" i="1"/>
  <c r="G3219" i="1" s="1"/>
  <c r="A3220" i="1"/>
  <c r="B3220" i="1" s="1"/>
  <c r="C3220" i="1"/>
  <c r="D3220" i="1"/>
  <c r="E3220" i="1"/>
  <c r="F3220" i="1"/>
  <c r="G3220" i="1" s="1"/>
  <c r="A3221" i="1"/>
  <c r="B3221" i="1"/>
  <c r="C3221" i="1"/>
  <c r="D3221" i="1"/>
  <c r="E3221" i="1"/>
  <c r="F3221" i="1"/>
  <c r="G3221" i="1" s="1"/>
  <c r="A3222" i="1"/>
  <c r="B3222" i="1" s="1"/>
  <c r="C3222" i="1"/>
  <c r="D3222" i="1"/>
  <c r="E3222" i="1"/>
  <c r="F3222" i="1"/>
  <c r="G3222" i="1"/>
  <c r="A3223" i="1"/>
  <c r="B3223" i="1" s="1"/>
  <c r="C3223" i="1"/>
  <c r="D3223" i="1"/>
  <c r="E3223" i="1"/>
  <c r="F3223" i="1"/>
  <c r="G3223" i="1" s="1"/>
  <c r="A3224" i="1"/>
  <c r="B3224" i="1" s="1"/>
  <c r="C3224" i="1"/>
  <c r="D3224" i="1"/>
  <c r="E3224" i="1"/>
  <c r="F3224" i="1"/>
  <c r="G3224" i="1" s="1"/>
  <c r="A3225" i="1"/>
  <c r="B3225" i="1" s="1"/>
  <c r="C3225" i="1"/>
  <c r="D3225" i="1"/>
  <c r="E3225" i="1"/>
  <c r="F3225" i="1"/>
  <c r="G3225" i="1" s="1"/>
  <c r="A3226" i="1"/>
  <c r="B3226" i="1" s="1"/>
  <c r="C3226" i="1"/>
  <c r="D3226" i="1"/>
  <c r="E3226" i="1"/>
  <c r="F3226" i="1"/>
  <c r="G3226" i="1" s="1"/>
  <c r="A3227" i="1"/>
  <c r="B3227" i="1" s="1"/>
  <c r="C3227" i="1"/>
  <c r="D3227" i="1"/>
  <c r="E3227" i="1"/>
  <c r="F3227" i="1"/>
  <c r="G3227" i="1" s="1"/>
  <c r="A3228" i="1"/>
  <c r="B3228" i="1"/>
  <c r="C3228" i="1"/>
  <c r="D3228" i="1"/>
  <c r="E3228" i="1"/>
  <c r="F3228" i="1"/>
  <c r="G3228" i="1" s="1"/>
  <c r="A3229" i="1"/>
  <c r="B3229" i="1" s="1"/>
  <c r="C3229" i="1"/>
  <c r="D3229" i="1"/>
  <c r="E3229" i="1"/>
  <c r="F3229" i="1"/>
  <c r="G3229" i="1" s="1"/>
  <c r="A3230" i="1"/>
  <c r="B3230" i="1" s="1"/>
  <c r="C3230" i="1"/>
  <c r="D3230" i="1"/>
  <c r="E3230" i="1"/>
  <c r="F3230" i="1"/>
  <c r="G3230" i="1" s="1"/>
  <c r="A3231" i="1"/>
  <c r="B3231" i="1" s="1"/>
  <c r="C3231" i="1"/>
  <c r="D3231" i="1"/>
  <c r="E3231" i="1"/>
  <c r="F3231" i="1"/>
  <c r="G3231" i="1" s="1"/>
  <c r="A3232" i="1"/>
  <c r="B3232" i="1" s="1"/>
  <c r="C3232" i="1"/>
  <c r="D3232" i="1"/>
  <c r="E3232" i="1"/>
  <c r="F3232" i="1"/>
  <c r="G3232" i="1" s="1"/>
  <c r="A3233" i="1"/>
  <c r="B3233" i="1" s="1"/>
  <c r="C3233" i="1"/>
  <c r="D3233" i="1"/>
  <c r="E3233" i="1"/>
  <c r="F3233" i="1"/>
  <c r="G3233" i="1" s="1"/>
  <c r="A3234" i="1"/>
  <c r="B3234" i="1" s="1"/>
  <c r="C3234" i="1"/>
  <c r="D3234" i="1"/>
  <c r="E3234" i="1"/>
  <c r="F3234" i="1"/>
  <c r="G3234" i="1" s="1"/>
  <c r="A3235" i="1"/>
  <c r="B3235" i="1" s="1"/>
  <c r="C3235" i="1"/>
  <c r="D3235" i="1"/>
  <c r="E3235" i="1"/>
  <c r="F3235" i="1"/>
  <c r="G3235" i="1" s="1"/>
  <c r="A3236" i="1"/>
  <c r="B3236" i="1" s="1"/>
  <c r="C3236" i="1"/>
  <c r="D3236" i="1"/>
  <c r="E3236" i="1"/>
  <c r="F3236" i="1"/>
  <c r="G3236" i="1" s="1"/>
  <c r="A3237" i="1"/>
  <c r="B3237" i="1" s="1"/>
  <c r="C3237" i="1"/>
  <c r="D3237" i="1"/>
  <c r="E3237" i="1"/>
  <c r="F3237" i="1"/>
  <c r="G3237" i="1" s="1"/>
  <c r="A3238" i="1"/>
  <c r="B3238" i="1" s="1"/>
  <c r="C3238" i="1"/>
  <c r="D3238" i="1"/>
  <c r="E3238" i="1"/>
  <c r="F3238" i="1"/>
  <c r="G3238" i="1" s="1"/>
  <c r="A3239" i="1"/>
  <c r="B3239" i="1" s="1"/>
  <c r="C3239" i="1"/>
  <c r="D3239" i="1"/>
  <c r="E3239" i="1"/>
  <c r="F3239" i="1"/>
  <c r="G3239" i="1" s="1"/>
  <c r="A3240" i="1"/>
  <c r="B3240" i="1"/>
  <c r="C3240" i="1"/>
  <c r="D3240" i="1"/>
  <c r="E3240" i="1"/>
  <c r="F3240" i="1"/>
  <c r="G3240" i="1" s="1"/>
  <c r="A3241" i="1"/>
  <c r="B3241" i="1" s="1"/>
  <c r="C3241" i="1"/>
  <c r="D3241" i="1"/>
  <c r="E3241" i="1"/>
  <c r="F3241" i="1"/>
  <c r="G3241" i="1" s="1"/>
  <c r="A3242" i="1"/>
  <c r="B3242" i="1" s="1"/>
  <c r="C3242" i="1"/>
  <c r="D3242" i="1"/>
  <c r="E3242" i="1"/>
  <c r="F3242" i="1"/>
  <c r="G3242" i="1" s="1"/>
  <c r="A3243" i="1"/>
  <c r="B3243" i="1" s="1"/>
  <c r="C3243" i="1"/>
  <c r="D3243" i="1"/>
  <c r="E3243" i="1"/>
  <c r="F3243" i="1"/>
  <c r="G3243" i="1" s="1"/>
  <c r="A3244" i="1"/>
  <c r="B3244" i="1"/>
  <c r="C3244" i="1"/>
  <c r="D3244" i="1"/>
  <c r="E3244" i="1"/>
  <c r="F3244" i="1"/>
  <c r="G3244" i="1" s="1"/>
  <c r="A3245" i="1"/>
  <c r="B3245" i="1" s="1"/>
  <c r="C3245" i="1"/>
  <c r="D3245" i="1"/>
  <c r="E3245" i="1"/>
  <c r="F3245" i="1"/>
  <c r="G3245" i="1" s="1"/>
  <c r="A3246" i="1"/>
  <c r="B3246" i="1"/>
  <c r="C3246" i="1"/>
  <c r="D3246" i="1"/>
  <c r="E3246" i="1"/>
  <c r="F3246" i="1"/>
  <c r="G3246" i="1" s="1"/>
  <c r="A3247" i="1"/>
  <c r="B3247" i="1" s="1"/>
  <c r="C3247" i="1"/>
  <c r="D3247" i="1"/>
  <c r="E3247" i="1"/>
  <c r="F3247" i="1"/>
  <c r="G3247" i="1" s="1"/>
  <c r="A3248" i="1"/>
  <c r="B3248" i="1"/>
  <c r="C3248" i="1"/>
  <c r="D3248" i="1"/>
  <c r="E3248" i="1"/>
  <c r="F3248" i="1"/>
  <c r="G3248" i="1" s="1"/>
  <c r="A3249" i="1"/>
  <c r="B3249" i="1" s="1"/>
  <c r="C3249" i="1"/>
  <c r="D3249" i="1"/>
  <c r="E3249" i="1"/>
  <c r="F3249" i="1"/>
  <c r="G3249" i="1" s="1"/>
  <c r="A3250" i="1"/>
  <c r="B3250" i="1" s="1"/>
  <c r="C3250" i="1"/>
  <c r="D3250" i="1"/>
  <c r="E3250" i="1"/>
  <c r="F3250" i="1"/>
  <c r="G3250" i="1" s="1"/>
  <c r="A3251" i="1"/>
  <c r="B3251" i="1" s="1"/>
  <c r="C3251" i="1"/>
  <c r="D3251" i="1"/>
  <c r="E3251" i="1"/>
  <c r="F3251" i="1"/>
  <c r="G3251" i="1" s="1"/>
  <c r="A3252" i="1"/>
  <c r="B3252" i="1"/>
  <c r="C3252" i="1"/>
  <c r="D3252" i="1"/>
  <c r="E3252" i="1"/>
  <c r="F3252" i="1"/>
  <c r="G3252" i="1" s="1"/>
  <c r="A3253" i="1"/>
  <c r="B3253" i="1" s="1"/>
  <c r="C3253" i="1"/>
  <c r="D3253" i="1"/>
  <c r="E3253" i="1"/>
  <c r="F3253" i="1"/>
  <c r="G3253" i="1" s="1"/>
  <c r="A3254" i="1"/>
  <c r="B3254" i="1"/>
  <c r="C3254" i="1"/>
  <c r="D3254" i="1"/>
  <c r="E3254" i="1"/>
  <c r="F3254" i="1"/>
  <c r="G3254" i="1" s="1"/>
  <c r="A3255" i="1"/>
  <c r="B3255" i="1" s="1"/>
  <c r="C3255" i="1"/>
  <c r="D3255" i="1"/>
  <c r="E3255" i="1"/>
  <c r="F3255" i="1"/>
  <c r="G3255" i="1" s="1"/>
  <c r="A3256" i="1"/>
  <c r="B3256" i="1"/>
  <c r="C3256" i="1"/>
  <c r="D3256" i="1"/>
  <c r="E3256" i="1"/>
  <c r="F3256" i="1"/>
  <c r="G3256" i="1" s="1"/>
  <c r="A3257" i="1"/>
  <c r="B3257" i="1" s="1"/>
  <c r="C3257" i="1"/>
  <c r="D3257" i="1"/>
  <c r="E3257" i="1"/>
  <c r="F3257" i="1"/>
  <c r="G3257" i="1" s="1"/>
  <c r="A3258" i="1"/>
  <c r="B3258" i="1" s="1"/>
  <c r="C3258" i="1"/>
  <c r="D3258" i="1"/>
  <c r="E3258" i="1"/>
  <c r="F3258" i="1"/>
  <c r="G3258" i="1" s="1"/>
  <c r="A3259" i="1"/>
  <c r="B3259" i="1" s="1"/>
  <c r="C3259" i="1"/>
  <c r="D3259" i="1"/>
  <c r="E3259" i="1"/>
  <c r="F3259" i="1"/>
  <c r="G3259" i="1" s="1"/>
  <c r="A3260" i="1"/>
  <c r="B3260" i="1" s="1"/>
  <c r="C3260" i="1"/>
  <c r="D3260" i="1"/>
  <c r="E3260" i="1"/>
  <c r="F3260" i="1"/>
  <c r="G3260" i="1" s="1"/>
  <c r="A3261" i="1"/>
  <c r="B3261" i="1" s="1"/>
  <c r="C3261" i="1"/>
  <c r="D3261" i="1"/>
  <c r="E3261" i="1"/>
  <c r="F3261" i="1"/>
  <c r="G3261" i="1" s="1"/>
  <c r="A3262" i="1"/>
  <c r="B3262" i="1" s="1"/>
  <c r="C3262" i="1"/>
  <c r="D3262" i="1"/>
  <c r="E3262" i="1"/>
  <c r="F3262" i="1"/>
  <c r="G3262" i="1" s="1"/>
  <c r="A3263" i="1"/>
  <c r="B3263" i="1"/>
  <c r="C3263" i="1"/>
  <c r="D3263" i="1"/>
  <c r="E3263" i="1"/>
  <c r="F3263" i="1"/>
  <c r="G3263" i="1" s="1"/>
  <c r="A3264" i="1"/>
  <c r="B3264" i="1" s="1"/>
  <c r="C3264" i="1"/>
  <c r="D3264" i="1"/>
  <c r="E3264" i="1"/>
  <c r="F3264" i="1"/>
  <c r="G3264" i="1" s="1"/>
  <c r="A3265" i="1"/>
  <c r="B3265" i="1" s="1"/>
  <c r="C3265" i="1"/>
  <c r="D3265" i="1"/>
  <c r="E3265" i="1"/>
  <c r="F3265" i="1"/>
  <c r="G3265" i="1" s="1"/>
  <c r="A3266" i="1"/>
  <c r="B3266" i="1" s="1"/>
  <c r="C3266" i="1"/>
  <c r="D3266" i="1"/>
  <c r="E3266" i="1"/>
  <c r="F3266" i="1"/>
  <c r="G3266" i="1"/>
  <c r="A3267" i="1"/>
  <c r="B3267" i="1" s="1"/>
  <c r="C3267" i="1"/>
  <c r="D3267" i="1"/>
  <c r="E3267" i="1"/>
  <c r="F3267" i="1"/>
  <c r="G3267" i="1" s="1"/>
  <c r="A3268" i="1"/>
  <c r="B3268" i="1"/>
  <c r="C3268" i="1"/>
  <c r="D3268" i="1"/>
  <c r="E3268" i="1"/>
  <c r="F3268" i="1"/>
  <c r="G3268" i="1" s="1"/>
  <c r="A3269" i="1"/>
  <c r="B3269" i="1" s="1"/>
  <c r="C3269" i="1"/>
  <c r="D3269" i="1"/>
  <c r="E3269" i="1"/>
  <c r="F3269" i="1"/>
  <c r="G3269" i="1" s="1"/>
  <c r="A3270" i="1"/>
  <c r="B3270" i="1"/>
  <c r="C3270" i="1"/>
  <c r="D3270" i="1"/>
  <c r="E3270" i="1"/>
  <c r="F3270" i="1"/>
  <c r="G3270" i="1" s="1"/>
  <c r="A3271" i="1"/>
  <c r="B3271" i="1" s="1"/>
  <c r="C3271" i="1"/>
  <c r="D3271" i="1"/>
  <c r="E3271" i="1"/>
  <c r="F3271" i="1"/>
  <c r="G3271" i="1" s="1"/>
  <c r="A3272" i="1"/>
  <c r="B3272" i="1" s="1"/>
  <c r="C3272" i="1"/>
  <c r="D3272" i="1"/>
  <c r="E3272" i="1"/>
  <c r="F3272" i="1"/>
  <c r="G3272" i="1" s="1"/>
  <c r="A3273" i="1"/>
  <c r="B3273" i="1" s="1"/>
  <c r="C3273" i="1"/>
  <c r="D3273" i="1"/>
  <c r="E3273" i="1"/>
  <c r="F3273" i="1"/>
  <c r="G3273" i="1" s="1"/>
  <c r="A3274" i="1"/>
  <c r="B3274" i="1" s="1"/>
  <c r="C3274" i="1"/>
  <c r="D3274" i="1"/>
  <c r="E3274" i="1"/>
  <c r="F3274" i="1"/>
  <c r="G3274" i="1" s="1"/>
  <c r="A3275" i="1"/>
  <c r="B3275" i="1" s="1"/>
  <c r="C3275" i="1"/>
  <c r="D3275" i="1"/>
  <c r="E3275" i="1"/>
  <c r="F3275" i="1"/>
  <c r="G3275" i="1" s="1"/>
  <c r="A3276" i="1"/>
  <c r="B3276" i="1" s="1"/>
  <c r="C3276" i="1"/>
  <c r="D3276" i="1"/>
  <c r="E3276" i="1"/>
  <c r="F3276" i="1"/>
  <c r="G3276" i="1" s="1"/>
  <c r="A3277" i="1"/>
  <c r="B3277" i="1" s="1"/>
  <c r="C3277" i="1"/>
  <c r="D3277" i="1"/>
  <c r="E3277" i="1"/>
  <c r="F3277" i="1"/>
  <c r="G3277" i="1" s="1"/>
  <c r="A3278" i="1"/>
  <c r="B3278" i="1" s="1"/>
  <c r="C3278" i="1"/>
  <c r="D3278" i="1"/>
  <c r="E3278" i="1"/>
  <c r="F3278" i="1"/>
  <c r="G3278" i="1" s="1"/>
  <c r="A3279" i="1"/>
  <c r="B3279" i="1" s="1"/>
  <c r="C3279" i="1"/>
  <c r="D3279" i="1"/>
  <c r="E3279" i="1"/>
  <c r="F3279" i="1"/>
  <c r="G3279" i="1"/>
  <c r="A3280" i="1"/>
  <c r="B3280" i="1" s="1"/>
  <c r="C3280" i="1"/>
  <c r="D3280" i="1"/>
  <c r="E3280" i="1"/>
  <c r="F3280" i="1"/>
  <c r="G3280" i="1" s="1"/>
  <c r="A3281" i="1"/>
  <c r="B3281" i="1" s="1"/>
  <c r="C3281" i="1"/>
  <c r="D3281" i="1"/>
  <c r="E3281" i="1"/>
  <c r="F3281" i="1"/>
  <c r="G3281" i="1"/>
  <c r="A3282" i="1"/>
  <c r="B3282" i="1" s="1"/>
  <c r="C3282" i="1"/>
  <c r="D3282" i="1"/>
  <c r="E3282" i="1"/>
  <c r="F3282" i="1"/>
  <c r="G3282" i="1" s="1"/>
  <c r="A3283" i="1"/>
  <c r="B3283" i="1" s="1"/>
  <c r="C3283" i="1"/>
  <c r="D3283" i="1"/>
  <c r="E3283" i="1"/>
  <c r="F3283" i="1"/>
  <c r="G3283" i="1" s="1"/>
  <c r="A3284" i="1"/>
  <c r="B3284" i="1" s="1"/>
  <c r="C3284" i="1"/>
  <c r="D3284" i="1"/>
  <c r="E3284" i="1"/>
  <c r="F3284" i="1"/>
  <c r="G3284" i="1" s="1"/>
  <c r="A3285" i="1"/>
  <c r="B3285" i="1" s="1"/>
  <c r="C3285" i="1"/>
  <c r="D3285" i="1"/>
  <c r="E3285" i="1"/>
  <c r="F3285" i="1"/>
  <c r="G3285" i="1" s="1"/>
  <c r="A3286" i="1"/>
  <c r="B3286" i="1"/>
  <c r="C3286" i="1"/>
  <c r="D3286" i="1"/>
  <c r="E3286" i="1"/>
  <c r="F3286" i="1"/>
  <c r="G3286" i="1" s="1"/>
  <c r="A3287" i="1"/>
  <c r="B3287" i="1" s="1"/>
  <c r="C3287" i="1"/>
  <c r="D3287" i="1"/>
  <c r="E3287" i="1"/>
  <c r="F3287" i="1"/>
  <c r="G3287" i="1" s="1"/>
  <c r="A3288" i="1"/>
  <c r="B3288" i="1" s="1"/>
  <c r="C3288" i="1"/>
  <c r="D3288" i="1"/>
  <c r="E3288" i="1"/>
  <c r="F3288" i="1"/>
  <c r="G3288" i="1" s="1"/>
  <c r="A3289" i="1"/>
  <c r="B3289" i="1"/>
  <c r="C3289" i="1"/>
  <c r="D3289" i="1"/>
  <c r="E3289" i="1"/>
  <c r="F3289" i="1"/>
  <c r="G3289" i="1" s="1"/>
  <c r="A3290" i="1"/>
  <c r="B3290" i="1" s="1"/>
  <c r="C3290" i="1"/>
  <c r="D3290" i="1"/>
  <c r="E3290" i="1"/>
  <c r="F3290" i="1"/>
  <c r="G3290" i="1" s="1"/>
  <c r="A3291" i="1"/>
  <c r="B3291" i="1" s="1"/>
  <c r="C3291" i="1"/>
  <c r="D3291" i="1"/>
  <c r="E3291" i="1"/>
  <c r="F3291" i="1"/>
  <c r="G3291" i="1"/>
  <c r="A3292" i="1"/>
  <c r="B3292" i="1" s="1"/>
  <c r="C3292" i="1"/>
  <c r="D3292" i="1"/>
  <c r="E3292" i="1"/>
  <c r="F3292" i="1"/>
  <c r="G3292" i="1" s="1"/>
  <c r="A3293" i="1"/>
  <c r="B3293" i="1" s="1"/>
  <c r="C3293" i="1"/>
  <c r="D3293" i="1"/>
  <c r="E3293" i="1"/>
  <c r="F3293" i="1"/>
  <c r="G3293" i="1" s="1"/>
  <c r="A3294" i="1"/>
  <c r="B3294" i="1" s="1"/>
  <c r="C3294" i="1"/>
  <c r="D3294" i="1"/>
  <c r="E3294" i="1"/>
  <c r="F3294" i="1"/>
  <c r="G3294" i="1" s="1"/>
  <c r="A3295" i="1"/>
  <c r="B3295" i="1" s="1"/>
  <c r="C3295" i="1"/>
  <c r="D3295" i="1"/>
  <c r="E3295" i="1"/>
  <c r="F3295" i="1"/>
  <c r="G3295" i="1"/>
  <c r="A3296" i="1"/>
  <c r="B3296" i="1" s="1"/>
  <c r="C3296" i="1"/>
  <c r="D3296" i="1"/>
  <c r="E3296" i="1"/>
  <c r="F3296" i="1"/>
  <c r="G3296" i="1" s="1"/>
  <c r="A3297" i="1"/>
  <c r="B3297" i="1" s="1"/>
  <c r="C3297" i="1"/>
  <c r="D3297" i="1"/>
  <c r="E3297" i="1"/>
  <c r="F3297" i="1"/>
  <c r="G3297" i="1" s="1"/>
  <c r="A3298" i="1"/>
  <c r="B3298" i="1"/>
  <c r="C3298" i="1"/>
  <c r="D3298" i="1"/>
  <c r="E3298" i="1"/>
  <c r="F3298" i="1"/>
  <c r="G3298" i="1" s="1"/>
  <c r="A3299" i="1"/>
  <c r="B3299" i="1" s="1"/>
  <c r="C3299" i="1"/>
  <c r="D3299" i="1"/>
  <c r="E3299" i="1"/>
  <c r="F3299" i="1"/>
  <c r="G3299" i="1" s="1"/>
  <c r="A3300" i="1"/>
  <c r="B3300" i="1" s="1"/>
  <c r="C3300" i="1"/>
  <c r="D3300" i="1"/>
  <c r="E3300" i="1"/>
  <c r="F3300" i="1"/>
  <c r="G3300" i="1" s="1"/>
  <c r="A3301" i="1"/>
  <c r="B3301" i="1" s="1"/>
  <c r="C3301" i="1"/>
  <c r="D3301" i="1"/>
  <c r="E3301" i="1"/>
  <c r="F3301" i="1"/>
  <c r="G3301" i="1" s="1"/>
  <c r="A3302" i="1"/>
  <c r="B3302" i="1" s="1"/>
  <c r="C3302" i="1"/>
  <c r="D3302" i="1"/>
  <c r="E3302" i="1"/>
  <c r="F3302" i="1"/>
  <c r="G3302" i="1" s="1"/>
  <c r="A3303" i="1"/>
  <c r="B3303" i="1" s="1"/>
  <c r="C3303" i="1"/>
  <c r="D3303" i="1"/>
  <c r="E3303" i="1"/>
  <c r="F3303" i="1"/>
  <c r="G3303" i="1" s="1"/>
  <c r="A3304" i="1"/>
  <c r="B3304" i="1"/>
  <c r="C3304" i="1"/>
  <c r="D3304" i="1"/>
  <c r="E3304" i="1"/>
  <c r="F3304" i="1"/>
  <c r="G3304" i="1" s="1"/>
  <c r="A3305" i="1"/>
  <c r="B3305" i="1" s="1"/>
  <c r="C3305" i="1"/>
  <c r="D3305" i="1"/>
  <c r="E3305" i="1"/>
  <c r="F3305" i="1"/>
  <c r="G3305" i="1" s="1"/>
  <c r="A3306" i="1"/>
  <c r="B3306" i="1"/>
  <c r="C3306" i="1"/>
  <c r="D3306" i="1"/>
  <c r="E3306" i="1"/>
  <c r="F3306" i="1"/>
  <c r="G3306" i="1" s="1"/>
  <c r="A3307" i="1"/>
  <c r="B3307" i="1" s="1"/>
  <c r="C3307" i="1"/>
  <c r="D3307" i="1"/>
  <c r="E3307" i="1"/>
  <c r="F3307" i="1"/>
  <c r="G3307" i="1" s="1"/>
  <c r="A3308" i="1"/>
  <c r="B3308" i="1" s="1"/>
  <c r="C3308" i="1"/>
  <c r="D3308" i="1"/>
  <c r="E3308" i="1"/>
  <c r="F3308" i="1"/>
  <c r="G3308" i="1" s="1"/>
  <c r="A3309" i="1"/>
  <c r="B3309" i="1" s="1"/>
  <c r="C3309" i="1"/>
  <c r="D3309" i="1"/>
  <c r="E3309" i="1"/>
  <c r="F3309" i="1"/>
  <c r="G3309" i="1" s="1"/>
  <c r="A3310" i="1"/>
  <c r="B3310" i="1" s="1"/>
  <c r="C3310" i="1"/>
  <c r="D3310" i="1"/>
  <c r="E3310" i="1"/>
  <c r="F3310" i="1"/>
  <c r="G3310" i="1" s="1"/>
  <c r="A3311" i="1"/>
  <c r="B3311" i="1" s="1"/>
  <c r="C3311" i="1"/>
  <c r="D3311" i="1"/>
  <c r="E3311" i="1"/>
  <c r="F3311" i="1"/>
  <c r="G3311" i="1" s="1"/>
  <c r="A3312" i="1"/>
  <c r="B3312" i="1" s="1"/>
  <c r="C3312" i="1"/>
  <c r="D3312" i="1"/>
  <c r="E3312" i="1"/>
  <c r="F3312" i="1"/>
  <c r="G3312" i="1" s="1"/>
  <c r="A3313" i="1"/>
  <c r="B3313" i="1"/>
  <c r="C3313" i="1"/>
  <c r="D3313" i="1"/>
  <c r="E3313" i="1"/>
  <c r="F3313" i="1"/>
  <c r="G3313" i="1" s="1"/>
  <c r="A3314" i="1"/>
  <c r="B3314" i="1"/>
  <c r="C3314" i="1"/>
  <c r="D3314" i="1"/>
  <c r="E3314" i="1"/>
  <c r="F3314" i="1"/>
  <c r="G3314" i="1" s="1"/>
  <c r="A3315" i="1"/>
  <c r="B3315" i="1" s="1"/>
  <c r="C3315" i="1"/>
  <c r="D3315" i="1"/>
  <c r="E3315" i="1"/>
  <c r="F3315" i="1"/>
  <c r="G3315" i="1" s="1"/>
  <c r="A3316" i="1"/>
  <c r="B3316" i="1" s="1"/>
  <c r="C3316" i="1"/>
  <c r="D3316" i="1"/>
  <c r="E3316" i="1"/>
  <c r="F3316" i="1"/>
  <c r="G3316" i="1" s="1"/>
  <c r="A3317" i="1"/>
  <c r="B3317" i="1" s="1"/>
  <c r="C3317" i="1"/>
  <c r="D3317" i="1"/>
  <c r="E3317" i="1"/>
  <c r="F3317" i="1"/>
  <c r="G3317" i="1" s="1"/>
  <c r="A3318" i="1"/>
  <c r="B3318" i="1" s="1"/>
  <c r="C3318" i="1"/>
  <c r="D3318" i="1"/>
  <c r="E3318" i="1"/>
  <c r="F3318" i="1"/>
  <c r="G3318" i="1" s="1"/>
  <c r="A3319" i="1"/>
  <c r="B3319" i="1" s="1"/>
  <c r="C3319" i="1"/>
  <c r="D3319" i="1"/>
  <c r="E3319" i="1"/>
  <c r="F3319" i="1"/>
  <c r="G3319" i="1" s="1"/>
  <c r="A3320" i="1"/>
  <c r="B3320" i="1" s="1"/>
  <c r="C3320" i="1"/>
  <c r="D3320" i="1"/>
  <c r="E3320" i="1"/>
  <c r="F3320" i="1"/>
  <c r="G3320" i="1" s="1"/>
  <c r="A3321" i="1"/>
  <c r="B3321" i="1" s="1"/>
  <c r="C3321" i="1"/>
  <c r="D3321" i="1"/>
  <c r="E3321" i="1"/>
  <c r="F3321" i="1"/>
  <c r="G3321" i="1" s="1"/>
  <c r="A3322" i="1"/>
  <c r="B3322" i="1" s="1"/>
  <c r="C3322" i="1"/>
  <c r="D3322" i="1"/>
  <c r="E3322" i="1"/>
  <c r="F3322" i="1"/>
  <c r="G3322" i="1" s="1"/>
  <c r="A3323" i="1"/>
  <c r="B3323" i="1" s="1"/>
  <c r="C3323" i="1"/>
  <c r="D3323" i="1"/>
  <c r="E3323" i="1"/>
  <c r="F3323" i="1"/>
  <c r="G3323" i="1" s="1"/>
  <c r="A3324" i="1"/>
  <c r="B3324" i="1" s="1"/>
  <c r="C3324" i="1"/>
  <c r="D3324" i="1"/>
  <c r="E3324" i="1"/>
  <c r="F3324" i="1"/>
  <c r="G3324" i="1" s="1"/>
  <c r="A3325" i="1"/>
  <c r="B3325" i="1" s="1"/>
  <c r="C3325" i="1"/>
  <c r="D3325" i="1"/>
  <c r="E3325" i="1"/>
  <c r="F3325" i="1"/>
  <c r="G3325" i="1" s="1"/>
  <c r="A3326" i="1"/>
  <c r="B3326" i="1" s="1"/>
  <c r="C3326" i="1"/>
  <c r="D3326" i="1"/>
  <c r="E3326" i="1"/>
  <c r="F3326" i="1"/>
  <c r="G3326" i="1" s="1"/>
  <c r="A3327" i="1"/>
  <c r="B3327" i="1" s="1"/>
  <c r="C3327" i="1"/>
  <c r="D3327" i="1"/>
  <c r="E3327" i="1"/>
  <c r="F3327" i="1"/>
  <c r="G3327" i="1" s="1"/>
  <c r="A3328" i="1"/>
  <c r="B3328" i="1" s="1"/>
  <c r="C3328" i="1"/>
  <c r="D3328" i="1"/>
  <c r="E3328" i="1"/>
  <c r="F3328" i="1"/>
  <c r="G3328" i="1" s="1"/>
  <c r="A3329" i="1"/>
  <c r="B3329" i="1" s="1"/>
  <c r="C3329" i="1"/>
  <c r="D3329" i="1"/>
  <c r="E3329" i="1"/>
  <c r="F3329" i="1"/>
  <c r="G3329" i="1" s="1"/>
  <c r="A3330" i="1"/>
  <c r="B3330" i="1" s="1"/>
  <c r="C3330" i="1"/>
  <c r="D3330" i="1"/>
  <c r="E3330" i="1"/>
  <c r="F3330" i="1"/>
  <c r="G3330" i="1" s="1"/>
  <c r="A3331" i="1"/>
  <c r="B3331" i="1" s="1"/>
  <c r="C3331" i="1"/>
  <c r="D3331" i="1"/>
  <c r="E3331" i="1"/>
  <c r="F3331" i="1"/>
  <c r="G3331" i="1" s="1"/>
  <c r="A3332" i="1"/>
  <c r="B3332" i="1" s="1"/>
  <c r="C3332" i="1"/>
  <c r="D3332" i="1"/>
  <c r="E3332" i="1"/>
  <c r="F3332" i="1"/>
  <c r="G3332" i="1" s="1"/>
  <c r="A3333" i="1"/>
  <c r="B3333" i="1" s="1"/>
  <c r="C3333" i="1"/>
  <c r="D3333" i="1"/>
  <c r="E3333" i="1"/>
  <c r="F3333" i="1"/>
  <c r="G3333" i="1" s="1"/>
  <c r="A3334" i="1"/>
  <c r="B3334" i="1"/>
  <c r="C3334" i="1"/>
  <c r="D3334" i="1"/>
  <c r="E3334" i="1"/>
  <c r="F3334" i="1"/>
  <c r="G3334" i="1" s="1"/>
  <c r="A3335" i="1"/>
  <c r="B3335" i="1" s="1"/>
  <c r="C3335" i="1"/>
  <c r="D3335" i="1"/>
  <c r="E3335" i="1"/>
  <c r="F3335" i="1"/>
  <c r="G3335" i="1"/>
  <c r="A3336" i="1"/>
  <c r="B3336" i="1" s="1"/>
  <c r="C3336" i="1"/>
  <c r="D3336" i="1"/>
  <c r="E3336" i="1"/>
  <c r="F3336" i="1"/>
  <c r="G3336" i="1" s="1"/>
  <c r="A3337" i="1"/>
  <c r="B3337" i="1" s="1"/>
  <c r="C3337" i="1"/>
  <c r="D3337" i="1"/>
  <c r="E3337" i="1"/>
  <c r="F3337" i="1"/>
  <c r="G3337" i="1" s="1"/>
  <c r="A3338" i="1"/>
  <c r="B3338" i="1" s="1"/>
  <c r="C3338" i="1"/>
  <c r="D3338" i="1"/>
  <c r="E3338" i="1"/>
  <c r="F3338" i="1"/>
  <c r="G3338" i="1" s="1"/>
  <c r="A3339" i="1"/>
  <c r="B3339" i="1" s="1"/>
  <c r="C3339" i="1"/>
  <c r="D3339" i="1"/>
  <c r="E3339" i="1"/>
  <c r="F3339" i="1"/>
  <c r="G3339" i="1" s="1"/>
  <c r="A3340" i="1"/>
  <c r="B3340" i="1" s="1"/>
  <c r="C3340" i="1"/>
  <c r="D3340" i="1"/>
  <c r="E3340" i="1"/>
  <c r="F3340" i="1"/>
  <c r="G3340" i="1" s="1"/>
  <c r="A3341" i="1"/>
  <c r="B3341" i="1" s="1"/>
  <c r="C3341" i="1"/>
  <c r="D3341" i="1"/>
  <c r="E3341" i="1"/>
  <c r="F3341" i="1"/>
  <c r="G3341" i="1"/>
  <c r="A3342" i="1"/>
  <c r="B3342" i="1" s="1"/>
  <c r="C3342" i="1"/>
  <c r="D3342" i="1"/>
  <c r="E3342" i="1"/>
  <c r="F3342" i="1"/>
  <c r="G3342" i="1" s="1"/>
  <c r="A3343" i="1"/>
  <c r="B3343" i="1" s="1"/>
  <c r="C3343" i="1"/>
  <c r="D3343" i="1"/>
  <c r="E3343" i="1"/>
  <c r="F3343" i="1"/>
  <c r="G3343" i="1" s="1"/>
  <c r="A3344" i="1"/>
  <c r="B3344" i="1" s="1"/>
  <c r="C3344" i="1"/>
  <c r="D3344" i="1"/>
  <c r="E3344" i="1"/>
  <c r="F3344" i="1"/>
  <c r="G3344" i="1" s="1"/>
  <c r="A3345" i="1"/>
  <c r="B3345" i="1" s="1"/>
  <c r="C3345" i="1"/>
  <c r="D3345" i="1"/>
  <c r="E3345" i="1"/>
  <c r="F3345" i="1"/>
  <c r="G3345" i="1" s="1"/>
  <c r="A3346" i="1"/>
  <c r="B3346" i="1"/>
  <c r="C3346" i="1"/>
  <c r="D3346" i="1"/>
  <c r="E3346" i="1"/>
  <c r="F3346" i="1"/>
  <c r="G3346" i="1" s="1"/>
  <c r="A3347" i="1"/>
  <c r="B3347" i="1" s="1"/>
  <c r="C3347" i="1"/>
  <c r="D3347" i="1"/>
  <c r="E3347" i="1"/>
  <c r="F3347" i="1"/>
  <c r="G3347" i="1" s="1"/>
  <c r="A3348" i="1"/>
  <c r="B3348" i="1" s="1"/>
  <c r="C3348" i="1"/>
  <c r="D3348" i="1"/>
  <c r="E3348" i="1"/>
  <c r="F3348" i="1"/>
  <c r="G3348" i="1" s="1"/>
  <c r="A3349" i="1"/>
  <c r="B3349" i="1" s="1"/>
  <c r="C3349" i="1"/>
  <c r="D3349" i="1"/>
  <c r="E3349" i="1"/>
  <c r="F3349" i="1"/>
  <c r="G3349" i="1" s="1"/>
  <c r="A3350" i="1"/>
  <c r="B3350" i="1" s="1"/>
  <c r="C3350" i="1"/>
  <c r="D3350" i="1"/>
  <c r="E3350" i="1"/>
  <c r="F3350" i="1"/>
  <c r="G3350" i="1"/>
  <c r="A3351" i="1"/>
  <c r="B3351" i="1" s="1"/>
  <c r="C3351" i="1"/>
  <c r="D3351" i="1"/>
  <c r="E3351" i="1"/>
  <c r="F3351" i="1"/>
  <c r="G3351" i="1"/>
  <c r="A3352" i="1"/>
  <c r="B3352" i="1" s="1"/>
  <c r="C3352" i="1"/>
  <c r="D3352" i="1"/>
  <c r="E3352" i="1"/>
  <c r="F3352" i="1"/>
  <c r="G3352" i="1" s="1"/>
  <c r="A3353" i="1"/>
  <c r="B3353" i="1" s="1"/>
  <c r="C3353" i="1"/>
  <c r="D3353" i="1"/>
  <c r="E3353" i="1"/>
  <c r="F3353" i="1"/>
  <c r="G3353" i="1"/>
  <c r="A3354" i="1"/>
  <c r="B3354" i="1" s="1"/>
  <c r="C3354" i="1"/>
  <c r="D3354" i="1"/>
  <c r="E3354" i="1"/>
  <c r="F3354" i="1"/>
  <c r="G3354" i="1" s="1"/>
  <c r="A3355" i="1"/>
  <c r="B3355" i="1" s="1"/>
  <c r="C3355" i="1"/>
  <c r="D3355" i="1"/>
  <c r="E3355" i="1"/>
  <c r="F3355" i="1"/>
  <c r="G3355" i="1"/>
  <c r="A3356" i="1"/>
  <c r="B3356" i="1" s="1"/>
  <c r="C3356" i="1"/>
  <c r="D3356" i="1"/>
  <c r="E3356" i="1"/>
  <c r="F3356" i="1"/>
  <c r="G3356" i="1" s="1"/>
  <c r="A3357" i="1"/>
  <c r="B3357" i="1" s="1"/>
  <c r="C3357" i="1"/>
  <c r="D3357" i="1"/>
  <c r="E3357" i="1"/>
  <c r="F3357" i="1"/>
  <c r="G3357" i="1" s="1"/>
  <c r="A3358" i="1"/>
  <c r="B3358" i="1"/>
  <c r="C3358" i="1"/>
  <c r="D3358" i="1"/>
  <c r="E3358" i="1"/>
  <c r="F3358" i="1"/>
  <c r="G3358" i="1" s="1"/>
  <c r="A3359" i="1"/>
  <c r="B3359" i="1" s="1"/>
  <c r="C3359" i="1"/>
  <c r="D3359" i="1"/>
  <c r="E3359" i="1"/>
  <c r="F3359" i="1"/>
  <c r="G3359" i="1" s="1"/>
  <c r="A3360" i="1"/>
  <c r="B3360" i="1" s="1"/>
  <c r="C3360" i="1"/>
  <c r="D3360" i="1"/>
  <c r="E3360" i="1"/>
  <c r="F3360" i="1"/>
  <c r="G3360" i="1" s="1"/>
  <c r="A3361" i="1"/>
  <c r="B3361" i="1"/>
  <c r="C3361" i="1"/>
  <c r="D3361" i="1"/>
  <c r="E3361" i="1"/>
  <c r="F3361" i="1"/>
  <c r="G3361" i="1" s="1"/>
  <c r="A3362" i="1"/>
  <c r="B3362" i="1" s="1"/>
  <c r="C3362" i="1"/>
  <c r="D3362" i="1"/>
  <c r="E3362" i="1"/>
  <c r="F3362" i="1"/>
  <c r="G3362" i="1" s="1"/>
  <c r="A3363" i="1"/>
  <c r="B3363" i="1" s="1"/>
  <c r="C3363" i="1"/>
  <c r="D3363" i="1"/>
  <c r="E3363" i="1"/>
  <c r="F3363" i="1"/>
  <c r="G3363" i="1" s="1"/>
  <c r="A3364" i="1"/>
  <c r="B3364" i="1" s="1"/>
  <c r="C3364" i="1"/>
  <c r="D3364" i="1"/>
  <c r="E3364" i="1"/>
  <c r="F3364" i="1"/>
  <c r="G3364" i="1" s="1"/>
  <c r="A3365" i="1"/>
  <c r="B3365" i="1" s="1"/>
  <c r="C3365" i="1"/>
  <c r="D3365" i="1"/>
  <c r="E3365" i="1"/>
  <c r="F3365" i="1"/>
  <c r="G3365" i="1" s="1"/>
  <c r="A3366" i="1"/>
  <c r="B3366" i="1" s="1"/>
  <c r="C3366" i="1"/>
  <c r="D3366" i="1"/>
  <c r="E3366" i="1"/>
  <c r="F3366" i="1"/>
  <c r="G3366" i="1" s="1"/>
  <c r="A3367" i="1"/>
  <c r="B3367" i="1" s="1"/>
  <c r="C3367" i="1"/>
  <c r="D3367" i="1"/>
  <c r="E3367" i="1"/>
  <c r="F3367" i="1"/>
  <c r="G3367" i="1" s="1"/>
  <c r="A3368" i="1"/>
  <c r="B3368" i="1" s="1"/>
  <c r="C3368" i="1"/>
  <c r="D3368" i="1"/>
  <c r="E3368" i="1"/>
  <c r="F3368" i="1"/>
  <c r="G3368" i="1" s="1"/>
  <c r="A3369" i="1"/>
  <c r="B3369" i="1" s="1"/>
  <c r="C3369" i="1"/>
  <c r="D3369" i="1"/>
  <c r="E3369" i="1"/>
  <c r="F3369" i="1"/>
  <c r="G3369" i="1" s="1"/>
  <c r="A3370" i="1"/>
  <c r="B3370" i="1"/>
  <c r="C3370" i="1"/>
  <c r="D3370" i="1"/>
  <c r="E3370" i="1"/>
  <c r="F3370" i="1"/>
  <c r="G3370" i="1" s="1"/>
  <c r="A3371" i="1"/>
  <c r="B3371" i="1" s="1"/>
  <c r="C3371" i="1"/>
  <c r="D3371" i="1"/>
  <c r="E3371" i="1"/>
  <c r="F3371" i="1"/>
  <c r="G3371" i="1" s="1"/>
  <c r="A3372" i="1"/>
  <c r="B3372" i="1" s="1"/>
  <c r="C3372" i="1"/>
  <c r="D3372" i="1"/>
  <c r="E3372" i="1"/>
  <c r="F3372" i="1"/>
  <c r="G3372" i="1" s="1"/>
  <c r="A3373" i="1"/>
  <c r="B3373" i="1" s="1"/>
  <c r="C3373" i="1"/>
  <c r="D3373" i="1"/>
  <c r="E3373" i="1"/>
  <c r="F3373" i="1"/>
  <c r="G3373" i="1" s="1"/>
  <c r="A3374" i="1"/>
  <c r="B3374" i="1" s="1"/>
  <c r="C3374" i="1"/>
  <c r="D3374" i="1"/>
  <c r="E3374" i="1"/>
  <c r="F3374" i="1"/>
  <c r="G3374" i="1" s="1"/>
  <c r="A3375" i="1"/>
  <c r="B3375" i="1" s="1"/>
  <c r="C3375" i="1"/>
  <c r="D3375" i="1"/>
  <c r="E3375" i="1"/>
  <c r="F3375" i="1"/>
  <c r="G3375" i="1"/>
  <c r="A3376" i="1"/>
  <c r="B3376" i="1" s="1"/>
  <c r="C3376" i="1"/>
  <c r="D3376" i="1"/>
  <c r="E3376" i="1"/>
  <c r="F3376" i="1"/>
  <c r="G3376" i="1" s="1"/>
  <c r="A3377" i="1"/>
  <c r="B3377" i="1" s="1"/>
  <c r="C3377" i="1"/>
  <c r="D3377" i="1"/>
  <c r="E3377" i="1"/>
  <c r="F3377" i="1"/>
  <c r="G3377" i="1" s="1"/>
  <c r="A3378" i="1"/>
  <c r="B3378" i="1" s="1"/>
  <c r="C3378" i="1"/>
  <c r="D3378" i="1"/>
  <c r="E3378" i="1"/>
  <c r="F3378" i="1"/>
  <c r="G3378" i="1" s="1"/>
  <c r="A3379" i="1"/>
  <c r="B3379" i="1" s="1"/>
  <c r="C3379" i="1"/>
  <c r="D3379" i="1"/>
  <c r="E3379" i="1"/>
  <c r="F3379" i="1"/>
  <c r="G3379" i="1" s="1"/>
  <c r="A3380" i="1"/>
  <c r="B3380" i="1" s="1"/>
  <c r="C3380" i="1"/>
  <c r="D3380" i="1"/>
  <c r="E3380" i="1"/>
  <c r="F3380" i="1"/>
  <c r="G3380" i="1" s="1"/>
  <c r="A3381" i="1"/>
  <c r="B3381" i="1" s="1"/>
  <c r="C3381" i="1"/>
  <c r="D3381" i="1"/>
  <c r="E3381" i="1"/>
  <c r="F3381" i="1"/>
  <c r="G3381" i="1" s="1"/>
  <c r="A3382" i="1"/>
  <c r="B3382" i="1" s="1"/>
  <c r="C3382" i="1"/>
  <c r="D3382" i="1"/>
  <c r="E3382" i="1"/>
  <c r="F3382" i="1"/>
  <c r="G3382" i="1" s="1"/>
  <c r="A3383" i="1"/>
  <c r="B3383" i="1" s="1"/>
  <c r="C3383" i="1"/>
  <c r="D3383" i="1"/>
  <c r="E3383" i="1"/>
  <c r="F3383" i="1"/>
  <c r="G3383" i="1" s="1"/>
  <c r="A3384" i="1"/>
  <c r="B3384" i="1" s="1"/>
  <c r="C3384" i="1"/>
  <c r="D3384" i="1"/>
  <c r="E3384" i="1"/>
  <c r="F3384" i="1"/>
  <c r="G3384" i="1" s="1"/>
  <c r="A3385" i="1"/>
  <c r="B3385" i="1" s="1"/>
  <c r="C3385" i="1"/>
  <c r="D3385" i="1"/>
  <c r="E3385" i="1"/>
  <c r="F3385" i="1"/>
  <c r="G3385" i="1" s="1"/>
  <c r="A3386" i="1"/>
  <c r="B3386" i="1"/>
  <c r="C3386" i="1"/>
  <c r="D3386" i="1"/>
  <c r="E3386" i="1"/>
  <c r="F3386" i="1"/>
  <c r="G3386" i="1"/>
  <c r="A3387" i="1"/>
  <c r="B3387" i="1" s="1"/>
  <c r="C3387" i="1"/>
  <c r="D3387" i="1"/>
  <c r="E3387" i="1"/>
  <c r="F3387" i="1"/>
  <c r="G3387" i="1" s="1"/>
  <c r="A3388" i="1"/>
  <c r="B3388" i="1"/>
  <c r="C3388" i="1"/>
  <c r="D3388" i="1"/>
  <c r="E3388" i="1"/>
  <c r="F3388" i="1"/>
  <c r="G3388" i="1" s="1"/>
  <c r="A3389" i="1"/>
  <c r="B3389" i="1" s="1"/>
  <c r="C3389" i="1"/>
  <c r="D3389" i="1"/>
  <c r="E3389" i="1"/>
  <c r="F3389" i="1"/>
  <c r="G3389" i="1" s="1"/>
  <c r="A3390" i="1"/>
  <c r="B3390" i="1"/>
  <c r="C3390" i="1"/>
  <c r="D3390" i="1"/>
  <c r="E3390" i="1"/>
  <c r="F3390" i="1"/>
  <c r="G3390" i="1" s="1"/>
  <c r="A3391" i="1"/>
  <c r="B3391" i="1" s="1"/>
  <c r="C3391" i="1"/>
  <c r="D3391" i="1"/>
  <c r="E3391" i="1"/>
  <c r="F3391" i="1"/>
  <c r="G3391" i="1" s="1"/>
  <c r="A3392" i="1"/>
  <c r="B3392" i="1" s="1"/>
  <c r="C3392" i="1"/>
  <c r="D3392" i="1"/>
  <c r="E3392" i="1"/>
  <c r="F3392" i="1"/>
  <c r="G3392" i="1" s="1"/>
  <c r="A3393" i="1"/>
  <c r="B3393" i="1" s="1"/>
  <c r="C3393" i="1"/>
  <c r="D3393" i="1"/>
  <c r="E3393" i="1"/>
  <c r="F3393" i="1"/>
  <c r="G3393" i="1" s="1"/>
  <c r="A3394" i="1"/>
  <c r="B3394" i="1" s="1"/>
  <c r="C3394" i="1"/>
  <c r="D3394" i="1"/>
  <c r="E3394" i="1"/>
  <c r="F3394" i="1"/>
  <c r="G3394" i="1" s="1"/>
  <c r="A3395" i="1"/>
  <c r="B3395" i="1" s="1"/>
  <c r="C3395" i="1"/>
  <c r="D3395" i="1"/>
  <c r="E3395" i="1"/>
  <c r="F3395" i="1"/>
  <c r="G3395" i="1" s="1"/>
  <c r="A3396" i="1"/>
  <c r="B3396" i="1" s="1"/>
  <c r="C3396" i="1"/>
  <c r="D3396" i="1"/>
  <c r="E3396" i="1"/>
  <c r="F3396" i="1"/>
  <c r="G3396" i="1" s="1"/>
  <c r="A3397" i="1"/>
  <c r="B3397" i="1"/>
  <c r="C3397" i="1"/>
  <c r="D3397" i="1"/>
  <c r="E3397" i="1"/>
  <c r="F3397" i="1"/>
  <c r="G3397" i="1" s="1"/>
  <c r="A3398" i="1"/>
  <c r="B3398" i="1"/>
  <c r="C3398" i="1"/>
  <c r="D3398" i="1"/>
  <c r="E3398" i="1"/>
  <c r="F3398" i="1"/>
  <c r="G3398" i="1" s="1"/>
  <c r="A3399" i="1"/>
  <c r="B3399" i="1" s="1"/>
  <c r="C3399" i="1"/>
  <c r="D3399" i="1"/>
  <c r="E3399" i="1"/>
  <c r="F3399" i="1"/>
  <c r="G3399" i="1" s="1"/>
  <c r="A3400" i="1"/>
  <c r="B3400" i="1" s="1"/>
  <c r="C3400" i="1"/>
  <c r="D3400" i="1"/>
  <c r="E3400" i="1"/>
  <c r="F3400" i="1"/>
  <c r="G3400" i="1" s="1"/>
  <c r="A3401" i="1"/>
  <c r="B3401" i="1" s="1"/>
  <c r="C3401" i="1"/>
  <c r="D3401" i="1"/>
  <c r="E3401" i="1"/>
  <c r="F3401" i="1"/>
  <c r="G3401" i="1" s="1"/>
  <c r="A3402" i="1"/>
  <c r="B3402" i="1" s="1"/>
  <c r="C3402" i="1"/>
  <c r="D3402" i="1"/>
  <c r="E3402" i="1"/>
  <c r="F3402" i="1"/>
  <c r="G3402" i="1" s="1"/>
  <c r="A3403" i="1"/>
  <c r="B3403" i="1" s="1"/>
  <c r="C3403" i="1"/>
  <c r="D3403" i="1"/>
  <c r="E3403" i="1"/>
  <c r="F3403" i="1"/>
  <c r="G3403" i="1" s="1"/>
  <c r="A3404" i="1"/>
  <c r="B3404" i="1" s="1"/>
  <c r="C3404" i="1"/>
  <c r="D3404" i="1"/>
  <c r="E3404" i="1"/>
  <c r="F3404" i="1"/>
  <c r="G3404" i="1" s="1"/>
  <c r="A3405" i="1"/>
  <c r="B3405" i="1" s="1"/>
  <c r="C3405" i="1"/>
  <c r="D3405" i="1"/>
  <c r="E3405" i="1"/>
  <c r="F3405" i="1"/>
  <c r="G3405" i="1" s="1"/>
  <c r="A3406" i="1"/>
  <c r="B3406" i="1" s="1"/>
  <c r="C3406" i="1"/>
  <c r="D3406" i="1"/>
  <c r="E3406" i="1"/>
  <c r="F3406" i="1"/>
  <c r="G3406" i="1" s="1"/>
  <c r="A3407" i="1"/>
  <c r="B3407" i="1" s="1"/>
  <c r="C3407" i="1"/>
  <c r="D3407" i="1"/>
  <c r="E3407" i="1"/>
  <c r="F3407" i="1"/>
  <c r="G3407" i="1"/>
  <c r="A3408" i="1"/>
  <c r="B3408" i="1" s="1"/>
  <c r="C3408" i="1"/>
  <c r="D3408" i="1"/>
  <c r="E3408" i="1"/>
  <c r="F3408" i="1"/>
  <c r="G3408" i="1" s="1"/>
  <c r="A3409" i="1"/>
  <c r="B3409" i="1" s="1"/>
  <c r="C3409" i="1"/>
  <c r="D3409" i="1"/>
  <c r="E3409" i="1"/>
  <c r="F3409" i="1"/>
  <c r="G3409" i="1" s="1"/>
  <c r="A3410" i="1"/>
  <c r="B3410" i="1" s="1"/>
  <c r="C3410" i="1"/>
  <c r="D3410" i="1"/>
  <c r="E3410" i="1"/>
  <c r="F3410" i="1"/>
  <c r="G3410" i="1"/>
  <c r="A3411" i="1"/>
  <c r="B3411" i="1" s="1"/>
  <c r="C3411" i="1"/>
  <c r="D3411" i="1"/>
  <c r="E3411" i="1"/>
  <c r="F3411" i="1"/>
  <c r="G3411" i="1"/>
  <c r="A3412" i="1"/>
  <c r="B3412" i="1" s="1"/>
  <c r="C3412" i="1"/>
  <c r="D3412" i="1"/>
  <c r="E3412" i="1"/>
  <c r="F3412" i="1"/>
  <c r="G3412" i="1" s="1"/>
  <c r="A3413" i="1"/>
  <c r="B3413" i="1" s="1"/>
  <c r="C3413" i="1"/>
  <c r="D3413" i="1"/>
  <c r="E3413" i="1"/>
  <c r="F3413" i="1"/>
  <c r="G3413" i="1" s="1"/>
  <c r="A3414" i="1"/>
  <c r="B3414" i="1" s="1"/>
  <c r="C3414" i="1"/>
  <c r="D3414" i="1"/>
  <c r="E3414" i="1"/>
  <c r="F3414" i="1"/>
  <c r="G3414" i="1" s="1"/>
  <c r="A3415" i="1"/>
  <c r="B3415" i="1" s="1"/>
  <c r="C3415" i="1"/>
  <c r="D3415" i="1"/>
  <c r="E3415" i="1"/>
  <c r="F3415" i="1"/>
  <c r="G3415" i="1" s="1"/>
  <c r="A3416" i="1"/>
  <c r="B3416" i="1" s="1"/>
  <c r="C3416" i="1"/>
  <c r="D3416" i="1"/>
  <c r="E3416" i="1"/>
  <c r="F3416" i="1"/>
  <c r="G3416" i="1" s="1"/>
  <c r="A3417" i="1"/>
  <c r="B3417" i="1" s="1"/>
  <c r="C3417" i="1"/>
  <c r="D3417" i="1"/>
  <c r="E3417" i="1"/>
  <c r="F3417" i="1"/>
  <c r="G3417" i="1" s="1"/>
  <c r="A3418" i="1"/>
  <c r="B3418" i="1" s="1"/>
  <c r="C3418" i="1"/>
  <c r="D3418" i="1"/>
  <c r="E3418" i="1"/>
  <c r="F3418" i="1"/>
  <c r="G3418" i="1" s="1"/>
  <c r="A3419" i="1"/>
  <c r="B3419" i="1" s="1"/>
  <c r="C3419" i="1"/>
  <c r="D3419" i="1"/>
  <c r="E3419" i="1"/>
  <c r="F3419" i="1"/>
  <c r="G3419" i="1"/>
  <c r="A3420" i="1"/>
  <c r="B3420" i="1" s="1"/>
  <c r="C3420" i="1"/>
  <c r="D3420" i="1"/>
  <c r="E3420" i="1"/>
  <c r="F3420" i="1"/>
  <c r="G3420" i="1" s="1"/>
  <c r="A3421" i="1"/>
  <c r="B3421" i="1" s="1"/>
  <c r="C3421" i="1"/>
  <c r="D3421" i="1"/>
  <c r="E3421" i="1"/>
  <c r="F3421" i="1"/>
  <c r="G3421" i="1" s="1"/>
  <c r="A3422" i="1"/>
  <c r="B3422" i="1" s="1"/>
  <c r="C3422" i="1"/>
  <c r="D3422" i="1"/>
  <c r="E3422" i="1"/>
  <c r="F3422" i="1"/>
  <c r="G3422" i="1" s="1"/>
  <c r="A3423" i="1"/>
  <c r="B3423" i="1" s="1"/>
  <c r="C3423" i="1"/>
  <c r="D3423" i="1"/>
  <c r="E3423" i="1"/>
  <c r="F3423" i="1"/>
  <c r="G3423" i="1" s="1"/>
  <c r="A3424" i="1"/>
  <c r="B3424" i="1"/>
  <c r="C3424" i="1"/>
  <c r="D3424" i="1"/>
  <c r="E3424" i="1"/>
  <c r="F3424" i="1"/>
  <c r="G3424" i="1" s="1"/>
  <c r="A3425" i="1"/>
  <c r="B3425" i="1" s="1"/>
  <c r="C3425" i="1"/>
  <c r="D3425" i="1"/>
  <c r="E3425" i="1"/>
  <c r="F3425" i="1"/>
  <c r="G3425" i="1" s="1"/>
  <c r="A3426" i="1"/>
  <c r="B3426" i="1"/>
  <c r="C3426" i="1"/>
  <c r="D3426" i="1"/>
  <c r="E3426" i="1"/>
  <c r="F3426" i="1"/>
  <c r="G3426" i="1" s="1"/>
  <c r="A3427" i="1"/>
  <c r="B3427" i="1" s="1"/>
  <c r="C3427" i="1"/>
  <c r="D3427" i="1"/>
  <c r="E3427" i="1"/>
  <c r="F3427" i="1"/>
  <c r="G3427" i="1" s="1"/>
  <c r="A3428" i="1"/>
  <c r="B3428" i="1" s="1"/>
  <c r="C3428" i="1"/>
  <c r="D3428" i="1"/>
  <c r="E3428" i="1"/>
  <c r="F3428" i="1"/>
  <c r="G3428" i="1"/>
  <c r="A3429" i="1"/>
  <c r="B3429" i="1" s="1"/>
  <c r="C3429" i="1"/>
  <c r="D3429" i="1"/>
  <c r="E3429" i="1"/>
  <c r="F3429" i="1"/>
  <c r="G3429" i="1" s="1"/>
  <c r="A3430" i="1"/>
  <c r="B3430" i="1" s="1"/>
  <c r="C3430" i="1"/>
  <c r="D3430" i="1"/>
  <c r="E3430" i="1"/>
  <c r="F3430" i="1"/>
  <c r="G3430" i="1" s="1"/>
  <c r="A3431" i="1"/>
  <c r="B3431" i="1" s="1"/>
  <c r="C3431" i="1"/>
  <c r="D3431" i="1"/>
  <c r="E3431" i="1"/>
  <c r="F3431" i="1"/>
  <c r="G3431" i="1" s="1"/>
  <c r="A3432" i="1"/>
  <c r="B3432" i="1" s="1"/>
  <c r="C3432" i="1"/>
  <c r="D3432" i="1"/>
  <c r="E3432" i="1"/>
  <c r="F3432" i="1"/>
  <c r="G3432" i="1" s="1"/>
  <c r="A3433" i="1"/>
  <c r="B3433" i="1"/>
  <c r="C3433" i="1"/>
  <c r="D3433" i="1"/>
  <c r="E3433" i="1"/>
  <c r="F3433" i="1"/>
  <c r="G3433" i="1" s="1"/>
  <c r="A3434" i="1"/>
  <c r="B3434" i="1" s="1"/>
  <c r="C3434" i="1"/>
  <c r="D3434" i="1"/>
  <c r="E3434" i="1"/>
  <c r="F3434" i="1"/>
  <c r="G3434" i="1" s="1"/>
  <c r="A3435" i="1"/>
  <c r="B3435" i="1" s="1"/>
  <c r="C3435" i="1"/>
  <c r="D3435" i="1"/>
  <c r="E3435" i="1"/>
  <c r="F3435" i="1"/>
  <c r="G3435" i="1" s="1"/>
  <c r="A3436" i="1"/>
  <c r="B3436" i="1"/>
  <c r="C3436" i="1"/>
  <c r="D3436" i="1"/>
  <c r="E3436" i="1"/>
  <c r="F3436" i="1"/>
  <c r="G3436" i="1" s="1"/>
  <c r="A3437" i="1"/>
  <c r="B3437" i="1" s="1"/>
  <c r="C3437" i="1"/>
  <c r="D3437" i="1"/>
  <c r="E3437" i="1"/>
  <c r="F3437" i="1"/>
  <c r="G3437" i="1" s="1"/>
  <c r="A3438" i="1"/>
  <c r="B3438" i="1" s="1"/>
  <c r="C3438" i="1"/>
  <c r="D3438" i="1"/>
  <c r="E3438" i="1"/>
  <c r="F3438" i="1"/>
  <c r="G3438" i="1" s="1"/>
  <c r="A3439" i="1"/>
  <c r="B3439" i="1"/>
  <c r="C3439" i="1"/>
  <c r="D3439" i="1"/>
  <c r="E3439" i="1"/>
  <c r="F3439" i="1"/>
  <c r="G3439" i="1" s="1"/>
  <c r="A3440" i="1"/>
  <c r="B3440" i="1" s="1"/>
  <c r="C3440" i="1"/>
  <c r="D3440" i="1"/>
  <c r="E3440" i="1"/>
  <c r="F3440" i="1"/>
  <c r="G3440" i="1" s="1"/>
  <c r="A3441" i="1"/>
  <c r="B3441" i="1" s="1"/>
  <c r="C3441" i="1"/>
  <c r="D3441" i="1"/>
  <c r="E3441" i="1"/>
  <c r="F3441" i="1"/>
  <c r="G3441" i="1" s="1"/>
  <c r="A3442" i="1"/>
  <c r="B3442" i="1"/>
  <c r="C3442" i="1"/>
  <c r="D3442" i="1"/>
  <c r="E3442" i="1"/>
  <c r="F3442" i="1"/>
  <c r="G3442" i="1" s="1"/>
  <c r="A3443" i="1"/>
  <c r="B3443" i="1" s="1"/>
  <c r="C3443" i="1"/>
  <c r="D3443" i="1"/>
  <c r="E3443" i="1"/>
  <c r="F3443" i="1"/>
  <c r="G3443" i="1"/>
  <c r="A3444" i="1"/>
  <c r="B3444" i="1" s="1"/>
  <c r="C3444" i="1"/>
  <c r="D3444" i="1"/>
  <c r="E3444" i="1"/>
  <c r="F3444" i="1"/>
  <c r="G3444" i="1" s="1"/>
  <c r="A3445" i="1"/>
  <c r="B3445" i="1" s="1"/>
  <c r="C3445" i="1"/>
  <c r="D3445" i="1"/>
  <c r="E3445" i="1"/>
  <c r="F3445" i="1"/>
  <c r="G3445" i="1" s="1"/>
  <c r="A3446" i="1"/>
  <c r="B3446" i="1" s="1"/>
  <c r="C3446" i="1"/>
  <c r="D3446" i="1"/>
  <c r="E3446" i="1"/>
  <c r="F3446" i="1"/>
  <c r="G3446" i="1" s="1"/>
  <c r="A3447" i="1"/>
  <c r="B3447" i="1" s="1"/>
  <c r="C3447" i="1"/>
  <c r="D3447" i="1"/>
  <c r="E3447" i="1"/>
  <c r="F3447" i="1"/>
  <c r="G3447" i="1" s="1"/>
  <c r="A3448" i="1"/>
  <c r="B3448" i="1" s="1"/>
  <c r="C3448" i="1"/>
  <c r="D3448" i="1"/>
  <c r="E3448" i="1"/>
  <c r="F3448" i="1"/>
  <c r="G3448" i="1" s="1"/>
  <c r="A3449" i="1"/>
  <c r="B3449" i="1" s="1"/>
  <c r="C3449" i="1"/>
  <c r="D3449" i="1"/>
  <c r="E3449" i="1"/>
  <c r="F3449" i="1"/>
  <c r="G3449" i="1" s="1"/>
  <c r="A3450" i="1"/>
  <c r="B3450" i="1" s="1"/>
  <c r="C3450" i="1"/>
  <c r="D3450" i="1"/>
  <c r="E3450" i="1"/>
  <c r="F3450" i="1"/>
  <c r="G3450" i="1" s="1"/>
  <c r="A3451" i="1"/>
  <c r="B3451" i="1"/>
  <c r="C3451" i="1"/>
  <c r="D3451" i="1"/>
  <c r="E3451" i="1"/>
  <c r="F3451" i="1"/>
  <c r="G3451" i="1" s="1"/>
  <c r="A3452" i="1"/>
  <c r="B3452" i="1" s="1"/>
  <c r="C3452" i="1"/>
  <c r="D3452" i="1"/>
  <c r="E3452" i="1"/>
  <c r="F3452" i="1"/>
  <c r="G3452" i="1"/>
  <c r="A3453" i="1"/>
  <c r="B3453" i="1" s="1"/>
  <c r="C3453" i="1"/>
  <c r="D3453" i="1"/>
  <c r="E3453" i="1"/>
  <c r="F3453" i="1"/>
  <c r="G3453" i="1" s="1"/>
  <c r="A3454" i="1"/>
  <c r="B3454" i="1"/>
  <c r="C3454" i="1"/>
  <c r="D3454" i="1"/>
  <c r="E3454" i="1"/>
  <c r="F3454" i="1"/>
  <c r="G3454" i="1" s="1"/>
  <c r="A3455" i="1"/>
  <c r="B3455" i="1" s="1"/>
  <c r="C3455" i="1"/>
  <c r="D3455" i="1"/>
  <c r="E3455" i="1"/>
  <c r="F3455" i="1"/>
  <c r="G3455" i="1" s="1"/>
  <c r="A3456" i="1"/>
  <c r="B3456" i="1" s="1"/>
  <c r="C3456" i="1"/>
  <c r="D3456" i="1"/>
  <c r="E3456" i="1"/>
  <c r="F3456" i="1"/>
  <c r="G3456" i="1" s="1"/>
  <c r="A3457" i="1"/>
  <c r="B3457" i="1"/>
  <c r="C3457" i="1"/>
  <c r="D3457" i="1"/>
  <c r="E3457" i="1"/>
  <c r="F3457" i="1"/>
  <c r="G3457" i="1" s="1"/>
  <c r="A3458" i="1"/>
  <c r="B3458" i="1" s="1"/>
  <c r="C3458" i="1"/>
  <c r="D3458" i="1"/>
  <c r="E3458" i="1"/>
  <c r="F3458" i="1"/>
  <c r="G3458" i="1" s="1"/>
  <c r="A3459" i="1"/>
  <c r="B3459" i="1" s="1"/>
  <c r="C3459" i="1"/>
  <c r="D3459" i="1"/>
  <c r="E3459" i="1"/>
  <c r="F3459" i="1"/>
  <c r="G3459" i="1" s="1"/>
  <c r="A3460" i="1"/>
  <c r="B3460" i="1"/>
  <c r="C3460" i="1"/>
  <c r="D3460" i="1"/>
  <c r="E3460" i="1"/>
  <c r="F3460" i="1"/>
  <c r="G3460" i="1" s="1"/>
  <c r="A3461" i="1"/>
  <c r="B3461" i="1" s="1"/>
  <c r="C3461" i="1"/>
  <c r="D3461" i="1"/>
  <c r="E3461" i="1"/>
  <c r="F3461" i="1"/>
  <c r="G3461" i="1" s="1"/>
  <c r="A3462" i="1"/>
  <c r="B3462" i="1"/>
  <c r="C3462" i="1"/>
  <c r="D3462" i="1"/>
  <c r="E3462" i="1"/>
  <c r="F3462" i="1"/>
  <c r="G3462" i="1" s="1"/>
  <c r="A3463" i="1"/>
  <c r="B3463" i="1"/>
  <c r="C3463" i="1"/>
  <c r="D3463" i="1"/>
  <c r="E3463" i="1"/>
  <c r="F3463" i="1"/>
  <c r="G3463" i="1" s="1"/>
  <c r="A3464" i="1"/>
  <c r="B3464" i="1" s="1"/>
  <c r="C3464" i="1"/>
  <c r="D3464" i="1"/>
  <c r="E3464" i="1"/>
  <c r="F3464" i="1"/>
  <c r="G3464" i="1" s="1"/>
  <c r="A3465" i="1"/>
  <c r="B3465" i="1" s="1"/>
  <c r="C3465" i="1"/>
  <c r="D3465" i="1"/>
  <c r="E3465" i="1"/>
  <c r="F3465" i="1"/>
  <c r="G3465" i="1" s="1"/>
  <c r="A3466" i="1"/>
  <c r="B3466" i="1" s="1"/>
  <c r="C3466" i="1"/>
  <c r="D3466" i="1"/>
  <c r="E3466" i="1"/>
  <c r="F3466" i="1"/>
  <c r="G3466" i="1" s="1"/>
  <c r="A3467" i="1"/>
  <c r="B3467" i="1" s="1"/>
  <c r="C3467" i="1"/>
  <c r="D3467" i="1"/>
  <c r="E3467" i="1"/>
  <c r="F3467" i="1"/>
  <c r="G3467" i="1" s="1"/>
  <c r="A3468" i="1"/>
  <c r="B3468" i="1" s="1"/>
  <c r="C3468" i="1"/>
  <c r="D3468" i="1"/>
  <c r="E3468" i="1"/>
  <c r="F3468" i="1"/>
  <c r="G3468" i="1" s="1"/>
  <c r="A3469" i="1"/>
  <c r="B3469" i="1" s="1"/>
  <c r="C3469" i="1"/>
  <c r="D3469" i="1"/>
  <c r="E3469" i="1"/>
  <c r="F3469" i="1"/>
  <c r="G3469" i="1" s="1"/>
  <c r="A3470" i="1"/>
  <c r="B3470" i="1" s="1"/>
  <c r="C3470" i="1"/>
  <c r="D3470" i="1"/>
  <c r="E3470" i="1"/>
  <c r="F3470" i="1"/>
  <c r="G3470" i="1" s="1"/>
  <c r="A3471" i="1"/>
  <c r="B3471" i="1" s="1"/>
  <c r="C3471" i="1"/>
  <c r="D3471" i="1"/>
  <c r="E3471" i="1"/>
  <c r="F3471" i="1"/>
  <c r="G3471" i="1"/>
  <c r="A3472" i="1"/>
  <c r="B3472" i="1" s="1"/>
  <c r="C3472" i="1"/>
  <c r="D3472" i="1"/>
  <c r="E3472" i="1"/>
  <c r="F3472" i="1"/>
  <c r="G3472" i="1" s="1"/>
  <c r="A3473" i="1"/>
  <c r="B3473" i="1" s="1"/>
  <c r="C3473" i="1"/>
  <c r="D3473" i="1"/>
  <c r="E3473" i="1"/>
  <c r="F3473" i="1"/>
  <c r="G3473" i="1" s="1"/>
  <c r="A3474" i="1"/>
  <c r="B3474" i="1" s="1"/>
  <c r="C3474" i="1"/>
  <c r="D3474" i="1"/>
  <c r="E3474" i="1"/>
  <c r="F3474" i="1"/>
  <c r="G3474" i="1" s="1"/>
  <c r="A3475" i="1"/>
  <c r="B3475" i="1"/>
  <c r="C3475" i="1"/>
  <c r="D3475" i="1"/>
  <c r="E3475" i="1"/>
  <c r="F3475" i="1"/>
  <c r="G3475" i="1" s="1"/>
  <c r="A3476" i="1"/>
  <c r="B3476" i="1" s="1"/>
  <c r="C3476" i="1"/>
  <c r="D3476" i="1"/>
  <c r="E3476" i="1"/>
  <c r="F3476" i="1"/>
  <c r="G3476" i="1" s="1"/>
  <c r="A3477" i="1"/>
  <c r="B3477" i="1" s="1"/>
  <c r="C3477" i="1"/>
  <c r="D3477" i="1"/>
  <c r="E3477" i="1"/>
  <c r="F3477" i="1"/>
  <c r="G3477" i="1" s="1"/>
  <c r="A3478" i="1"/>
  <c r="B3478" i="1" s="1"/>
  <c r="C3478" i="1"/>
  <c r="D3478" i="1"/>
  <c r="E3478" i="1"/>
  <c r="F3478" i="1"/>
  <c r="G3478" i="1" s="1"/>
  <c r="A3479" i="1"/>
  <c r="B3479" i="1" s="1"/>
  <c r="C3479" i="1"/>
  <c r="D3479" i="1"/>
  <c r="E3479" i="1"/>
  <c r="F3479" i="1"/>
  <c r="G3479" i="1"/>
  <c r="A3480" i="1"/>
  <c r="B3480" i="1" s="1"/>
  <c r="C3480" i="1"/>
  <c r="D3480" i="1"/>
  <c r="E3480" i="1"/>
  <c r="F3480" i="1"/>
  <c r="G3480" i="1" s="1"/>
  <c r="A3481" i="1"/>
  <c r="B3481" i="1"/>
  <c r="C3481" i="1"/>
  <c r="D3481" i="1"/>
  <c r="E3481" i="1"/>
  <c r="F3481" i="1"/>
  <c r="G3481" i="1" s="1"/>
  <c r="A3482" i="1"/>
  <c r="B3482" i="1" s="1"/>
  <c r="C3482" i="1"/>
  <c r="D3482" i="1"/>
  <c r="E3482" i="1"/>
  <c r="F3482" i="1"/>
  <c r="G3482" i="1" s="1"/>
  <c r="A3483" i="1"/>
  <c r="B3483" i="1" s="1"/>
  <c r="C3483" i="1"/>
  <c r="D3483" i="1"/>
  <c r="E3483" i="1"/>
  <c r="F3483" i="1"/>
  <c r="G3483" i="1" s="1"/>
  <c r="A3484" i="1"/>
  <c r="B3484" i="1" s="1"/>
  <c r="C3484" i="1"/>
  <c r="D3484" i="1"/>
  <c r="E3484" i="1"/>
  <c r="F3484" i="1"/>
  <c r="G3484" i="1" s="1"/>
  <c r="A3485" i="1"/>
  <c r="B3485" i="1" s="1"/>
  <c r="C3485" i="1"/>
  <c r="D3485" i="1"/>
  <c r="E3485" i="1"/>
  <c r="F3485" i="1"/>
  <c r="G3485" i="1" s="1"/>
  <c r="A3486" i="1"/>
  <c r="B3486" i="1" s="1"/>
  <c r="C3486" i="1"/>
  <c r="D3486" i="1"/>
  <c r="E3486" i="1"/>
  <c r="F3486" i="1"/>
  <c r="G3486" i="1" s="1"/>
  <c r="A3487" i="1"/>
  <c r="B3487" i="1"/>
  <c r="C3487" i="1"/>
  <c r="D3487" i="1"/>
  <c r="E3487" i="1"/>
  <c r="F3487" i="1"/>
  <c r="G3487" i="1" s="1"/>
  <c r="A3488" i="1"/>
  <c r="B3488" i="1" s="1"/>
  <c r="C3488" i="1"/>
  <c r="D3488" i="1"/>
  <c r="E3488" i="1"/>
  <c r="F3488" i="1"/>
  <c r="G3488" i="1" s="1"/>
  <c r="A3489" i="1"/>
  <c r="B3489" i="1" s="1"/>
  <c r="C3489" i="1"/>
  <c r="D3489" i="1"/>
  <c r="E3489" i="1"/>
  <c r="F3489" i="1"/>
  <c r="G3489" i="1" s="1"/>
  <c r="A3490" i="1"/>
  <c r="B3490" i="1"/>
  <c r="C3490" i="1"/>
  <c r="D3490" i="1"/>
  <c r="E3490" i="1"/>
  <c r="F3490" i="1"/>
  <c r="G3490" i="1" s="1"/>
  <c r="A3491" i="1"/>
  <c r="B3491" i="1" s="1"/>
  <c r="C3491" i="1"/>
  <c r="D3491" i="1"/>
  <c r="E3491" i="1"/>
  <c r="F3491" i="1"/>
  <c r="G3491" i="1"/>
  <c r="A3492" i="1"/>
  <c r="B3492" i="1" s="1"/>
  <c r="C3492" i="1"/>
  <c r="D3492" i="1"/>
  <c r="E3492" i="1"/>
  <c r="F3492" i="1"/>
  <c r="G3492" i="1" s="1"/>
  <c r="A3493" i="1"/>
  <c r="B3493" i="1" s="1"/>
  <c r="C3493" i="1"/>
  <c r="D3493" i="1"/>
  <c r="E3493" i="1"/>
  <c r="F3493" i="1"/>
  <c r="G3493" i="1" s="1"/>
  <c r="A3494" i="1"/>
  <c r="B3494" i="1" s="1"/>
  <c r="C3494" i="1"/>
  <c r="D3494" i="1"/>
  <c r="E3494" i="1"/>
  <c r="F3494" i="1"/>
  <c r="G3494" i="1" s="1"/>
  <c r="A3495" i="1"/>
  <c r="B3495" i="1" s="1"/>
  <c r="C3495" i="1"/>
  <c r="D3495" i="1"/>
  <c r="E3495" i="1"/>
  <c r="F3495" i="1"/>
  <c r="G3495" i="1"/>
  <c r="A3496" i="1"/>
  <c r="B3496" i="1"/>
  <c r="C3496" i="1"/>
  <c r="D3496" i="1"/>
  <c r="E3496" i="1"/>
  <c r="F3496" i="1"/>
  <c r="G3496" i="1" s="1"/>
  <c r="A3497" i="1"/>
  <c r="B3497" i="1" s="1"/>
  <c r="C3497" i="1"/>
  <c r="D3497" i="1"/>
  <c r="E3497" i="1"/>
  <c r="F3497" i="1"/>
  <c r="G3497" i="1"/>
  <c r="A3498" i="1"/>
  <c r="B3498" i="1"/>
  <c r="C3498" i="1"/>
  <c r="D3498" i="1"/>
  <c r="E3498" i="1"/>
  <c r="F3498" i="1"/>
  <c r="G3498" i="1" s="1"/>
  <c r="A3499" i="1"/>
  <c r="B3499" i="1" s="1"/>
  <c r="C3499" i="1"/>
  <c r="D3499" i="1"/>
  <c r="E3499" i="1"/>
  <c r="F3499" i="1"/>
  <c r="G3499" i="1" s="1"/>
  <c r="A3500" i="1"/>
  <c r="B3500" i="1" s="1"/>
  <c r="C3500" i="1"/>
  <c r="D3500" i="1"/>
  <c r="E3500" i="1"/>
  <c r="F3500" i="1"/>
  <c r="G3500" i="1"/>
  <c r="A3501" i="1"/>
  <c r="B3501" i="1" s="1"/>
  <c r="C3501" i="1"/>
  <c r="D3501" i="1"/>
  <c r="E3501" i="1"/>
  <c r="F3501" i="1"/>
  <c r="G3501" i="1" s="1"/>
  <c r="A3502" i="1"/>
  <c r="B3502" i="1"/>
  <c r="C3502" i="1"/>
  <c r="D3502" i="1"/>
  <c r="E3502" i="1"/>
  <c r="F3502" i="1"/>
  <c r="G3502" i="1" s="1"/>
  <c r="A3503" i="1"/>
  <c r="B3503" i="1" s="1"/>
  <c r="C3503" i="1"/>
  <c r="D3503" i="1"/>
  <c r="E3503" i="1"/>
  <c r="F3503" i="1"/>
  <c r="G3503" i="1" s="1"/>
  <c r="A3504" i="1"/>
  <c r="B3504" i="1" s="1"/>
  <c r="C3504" i="1"/>
  <c r="D3504" i="1"/>
  <c r="E3504" i="1"/>
  <c r="F3504" i="1"/>
  <c r="G3504" i="1" s="1"/>
  <c r="A3505" i="1"/>
  <c r="B3505" i="1"/>
  <c r="C3505" i="1"/>
  <c r="D3505" i="1"/>
  <c r="E3505" i="1"/>
  <c r="F3505" i="1"/>
  <c r="G3505" i="1" s="1"/>
  <c r="A3506" i="1"/>
  <c r="B3506" i="1" s="1"/>
  <c r="C3506" i="1"/>
  <c r="D3506" i="1"/>
  <c r="E3506" i="1"/>
  <c r="F3506" i="1"/>
  <c r="G3506" i="1" s="1"/>
  <c r="A3507" i="1"/>
  <c r="B3507" i="1" s="1"/>
  <c r="C3507" i="1"/>
  <c r="D3507" i="1"/>
  <c r="E3507" i="1"/>
  <c r="F3507" i="1"/>
  <c r="G3507" i="1" s="1"/>
  <c r="A3508" i="1"/>
  <c r="B3508" i="1" s="1"/>
  <c r="C3508" i="1"/>
  <c r="D3508" i="1"/>
  <c r="E3508" i="1"/>
  <c r="F3508" i="1"/>
  <c r="G3508" i="1" s="1"/>
  <c r="A3509" i="1"/>
  <c r="B3509" i="1" s="1"/>
  <c r="C3509" i="1"/>
  <c r="D3509" i="1"/>
  <c r="E3509" i="1"/>
  <c r="F3509" i="1"/>
  <c r="G3509" i="1"/>
  <c r="A3510" i="1"/>
  <c r="B3510" i="1" s="1"/>
  <c r="C3510" i="1"/>
  <c r="D3510" i="1"/>
  <c r="E3510" i="1"/>
  <c r="F3510" i="1"/>
  <c r="G3510" i="1" s="1"/>
  <c r="A3511" i="1"/>
  <c r="B3511" i="1" s="1"/>
  <c r="C3511" i="1"/>
  <c r="D3511" i="1"/>
  <c r="E3511" i="1"/>
  <c r="F3511" i="1"/>
  <c r="G3511" i="1" s="1"/>
  <c r="A3512" i="1"/>
  <c r="B3512" i="1" s="1"/>
  <c r="C3512" i="1"/>
  <c r="D3512" i="1"/>
  <c r="E3512" i="1"/>
  <c r="F3512" i="1"/>
  <c r="G3512" i="1"/>
  <c r="A3513" i="1"/>
  <c r="B3513" i="1" s="1"/>
  <c r="C3513" i="1"/>
  <c r="D3513" i="1"/>
  <c r="E3513" i="1"/>
  <c r="F3513" i="1"/>
  <c r="G3513" i="1" s="1"/>
  <c r="A3514" i="1"/>
  <c r="B3514" i="1"/>
  <c r="C3514" i="1"/>
  <c r="D3514" i="1"/>
  <c r="E3514" i="1"/>
  <c r="F3514" i="1"/>
  <c r="G3514" i="1" s="1"/>
  <c r="A3515" i="1"/>
  <c r="B3515" i="1" s="1"/>
  <c r="C3515" i="1"/>
  <c r="D3515" i="1"/>
  <c r="E3515" i="1"/>
  <c r="F3515" i="1"/>
  <c r="G3515" i="1" s="1"/>
  <c r="A3516" i="1"/>
  <c r="B3516" i="1" s="1"/>
  <c r="C3516" i="1"/>
  <c r="D3516" i="1"/>
  <c r="E3516" i="1"/>
  <c r="F3516" i="1"/>
  <c r="G3516" i="1" s="1"/>
  <c r="A3517" i="1"/>
  <c r="B3517" i="1"/>
  <c r="C3517" i="1"/>
  <c r="D3517" i="1"/>
  <c r="E3517" i="1"/>
  <c r="F3517" i="1"/>
  <c r="G3517" i="1" s="1"/>
  <c r="A3518" i="1"/>
  <c r="B3518" i="1" s="1"/>
  <c r="C3518" i="1"/>
  <c r="D3518" i="1"/>
  <c r="E3518" i="1"/>
  <c r="F3518" i="1"/>
  <c r="G3518" i="1" s="1"/>
  <c r="A3519" i="1"/>
  <c r="B3519" i="1" s="1"/>
  <c r="C3519" i="1"/>
  <c r="D3519" i="1"/>
  <c r="E3519" i="1"/>
  <c r="F3519" i="1"/>
  <c r="G3519" i="1"/>
  <c r="A3520" i="1"/>
  <c r="B3520" i="1" s="1"/>
  <c r="C3520" i="1"/>
  <c r="D3520" i="1"/>
  <c r="E3520" i="1"/>
  <c r="F3520" i="1"/>
  <c r="G3520" i="1" s="1"/>
  <c r="A3521" i="1"/>
  <c r="B3521" i="1" s="1"/>
  <c r="C3521" i="1"/>
  <c r="D3521" i="1"/>
  <c r="E3521" i="1"/>
  <c r="F3521" i="1"/>
  <c r="G3521" i="1" s="1"/>
  <c r="A3522" i="1"/>
  <c r="B3522" i="1" s="1"/>
  <c r="C3522" i="1"/>
  <c r="D3522" i="1"/>
  <c r="E3522" i="1"/>
  <c r="F3522" i="1"/>
  <c r="G3522" i="1" s="1"/>
  <c r="A3523" i="1"/>
  <c r="B3523" i="1" s="1"/>
  <c r="C3523" i="1"/>
  <c r="D3523" i="1"/>
  <c r="E3523" i="1"/>
  <c r="F3523" i="1"/>
  <c r="G3523" i="1" s="1"/>
  <c r="A3524" i="1"/>
  <c r="B3524" i="1" s="1"/>
  <c r="C3524" i="1"/>
  <c r="D3524" i="1"/>
  <c r="E3524" i="1"/>
  <c r="F3524" i="1"/>
  <c r="G3524" i="1" s="1"/>
  <c r="A3525" i="1"/>
  <c r="B3525" i="1" s="1"/>
  <c r="C3525" i="1"/>
  <c r="D3525" i="1"/>
  <c r="E3525" i="1"/>
  <c r="F3525" i="1"/>
  <c r="G3525" i="1" s="1"/>
  <c r="A3526" i="1"/>
  <c r="B3526" i="1" s="1"/>
  <c r="C3526" i="1"/>
  <c r="D3526" i="1"/>
  <c r="E3526" i="1"/>
  <c r="F3526" i="1"/>
  <c r="G3526" i="1" s="1"/>
  <c r="A3527" i="1"/>
  <c r="B3527" i="1" s="1"/>
  <c r="C3527" i="1"/>
  <c r="D3527" i="1"/>
  <c r="E3527" i="1"/>
  <c r="F3527" i="1"/>
  <c r="G3527" i="1" s="1"/>
  <c r="A3528" i="1"/>
  <c r="B3528" i="1" s="1"/>
  <c r="C3528" i="1"/>
  <c r="D3528" i="1"/>
  <c r="E3528" i="1"/>
  <c r="F3528" i="1"/>
  <c r="G3528" i="1" s="1"/>
  <c r="A3529" i="1"/>
  <c r="B3529" i="1" s="1"/>
  <c r="C3529" i="1"/>
  <c r="D3529" i="1"/>
  <c r="E3529" i="1"/>
  <c r="F3529" i="1"/>
  <c r="G3529" i="1" s="1"/>
  <c r="A3530" i="1"/>
  <c r="B3530" i="1"/>
  <c r="C3530" i="1"/>
  <c r="D3530" i="1"/>
  <c r="E3530" i="1"/>
  <c r="F3530" i="1"/>
  <c r="G3530" i="1" s="1"/>
  <c r="A3531" i="1"/>
  <c r="B3531" i="1" s="1"/>
  <c r="C3531" i="1"/>
  <c r="D3531" i="1"/>
  <c r="E3531" i="1"/>
  <c r="F3531" i="1"/>
  <c r="G3531" i="1" s="1"/>
  <c r="A3532" i="1"/>
  <c r="B3532" i="1"/>
  <c r="C3532" i="1"/>
  <c r="D3532" i="1"/>
  <c r="E3532" i="1"/>
  <c r="F3532" i="1"/>
  <c r="G3532" i="1" s="1"/>
  <c r="A3533" i="1"/>
  <c r="B3533" i="1" s="1"/>
  <c r="C3533" i="1"/>
  <c r="D3533" i="1"/>
  <c r="E3533" i="1"/>
  <c r="F3533" i="1"/>
  <c r="G3533" i="1" s="1"/>
  <c r="A3534" i="1"/>
  <c r="B3534" i="1" s="1"/>
  <c r="C3534" i="1"/>
  <c r="D3534" i="1"/>
  <c r="E3534" i="1"/>
  <c r="F3534" i="1"/>
  <c r="G3534" i="1" s="1"/>
  <c r="A3535" i="1"/>
  <c r="B3535" i="1" s="1"/>
  <c r="C3535" i="1"/>
  <c r="D3535" i="1"/>
  <c r="E3535" i="1"/>
  <c r="F3535" i="1"/>
  <c r="G3535" i="1" s="1"/>
  <c r="A3536" i="1"/>
  <c r="B3536" i="1" s="1"/>
  <c r="C3536" i="1"/>
  <c r="D3536" i="1"/>
  <c r="E3536" i="1"/>
  <c r="F3536" i="1"/>
  <c r="G3536" i="1" s="1"/>
  <c r="A3537" i="1"/>
  <c r="B3537" i="1" s="1"/>
  <c r="C3537" i="1"/>
  <c r="D3537" i="1"/>
  <c r="E3537" i="1"/>
  <c r="F3537" i="1"/>
  <c r="G3537" i="1" s="1"/>
  <c r="A3538" i="1"/>
  <c r="B3538" i="1" s="1"/>
  <c r="C3538" i="1"/>
  <c r="D3538" i="1"/>
  <c r="E3538" i="1"/>
  <c r="F3538" i="1"/>
  <c r="G3538" i="1" s="1"/>
  <c r="A3539" i="1"/>
  <c r="B3539" i="1" s="1"/>
  <c r="C3539" i="1"/>
  <c r="D3539" i="1"/>
  <c r="E3539" i="1"/>
  <c r="F3539" i="1"/>
  <c r="G3539" i="1" s="1"/>
  <c r="A3540" i="1"/>
  <c r="B3540" i="1" s="1"/>
  <c r="C3540" i="1"/>
  <c r="D3540" i="1"/>
  <c r="E3540" i="1"/>
  <c r="F3540" i="1"/>
  <c r="G3540" i="1" s="1"/>
  <c r="A3541" i="1"/>
  <c r="B3541" i="1"/>
  <c r="C3541" i="1"/>
  <c r="D3541" i="1"/>
  <c r="E3541" i="1"/>
  <c r="F3541" i="1"/>
  <c r="G3541" i="1" s="1"/>
  <c r="A3542" i="1"/>
  <c r="B3542" i="1"/>
  <c r="C3542" i="1"/>
  <c r="D3542" i="1"/>
  <c r="E3542" i="1"/>
  <c r="F3542" i="1"/>
  <c r="G3542" i="1" s="1"/>
  <c r="A3543" i="1"/>
  <c r="B3543" i="1" s="1"/>
  <c r="C3543" i="1"/>
  <c r="D3543" i="1"/>
  <c r="E3543" i="1"/>
  <c r="F3543" i="1"/>
  <c r="G3543" i="1" s="1"/>
  <c r="A3544" i="1"/>
  <c r="B3544" i="1"/>
  <c r="C3544" i="1"/>
  <c r="D3544" i="1"/>
  <c r="E3544" i="1"/>
  <c r="F3544" i="1"/>
  <c r="G3544" i="1" s="1"/>
  <c r="A3545" i="1"/>
  <c r="B3545" i="1" s="1"/>
  <c r="C3545" i="1"/>
  <c r="D3545" i="1"/>
  <c r="E3545" i="1"/>
  <c r="F3545" i="1"/>
  <c r="G3545" i="1" s="1"/>
  <c r="A3546" i="1"/>
  <c r="B3546" i="1"/>
  <c r="C3546" i="1"/>
  <c r="D3546" i="1"/>
  <c r="E3546" i="1"/>
  <c r="F3546" i="1"/>
  <c r="G3546" i="1" s="1"/>
  <c r="A3547" i="1"/>
  <c r="B3547" i="1"/>
  <c r="C3547" i="1"/>
  <c r="D3547" i="1"/>
  <c r="E3547" i="1"/>
  <c r="F3547" i="1"/>
  <c r="G3547" i="1" s="1"/>
  <c r="A3548" i="1"/>
  <c r="B3548" i="1" s="1"/>
  <c r="C3548" i="1"/>
  <c r="D3548" i="1"/>
  <c r="E3548" i="1"/>
  <c r="F3548" i="1"/>
  <c r="G3548" i="1" s="1"/>
  <c r="A3549" i="1"/>
  <c r="B3549" i="1" s="1"/>
  <c r="C3549" i="1"/>
  <c r="D3549" i="1"/>
  <c r="E3549" i="1"/>
  <c r="F3549" i="1"/>
  <c r="G3549" i="1" s="1"/>
  <c r="A3550" i="1"/>
  <c r="B3550" i="1" s="1"/>
  <c r="C3550" i="1"/>
  <c r="D3550" i="1"/>
  <c r="E3550" i="1"/>
  <c r="F3550" i="1"/>
  <c r="G3550" i="1" s="1"/>
  <c r="A3551" i="1"/>
  <c r="B3551" i="1" s="1"/>
  <c r="C3551" i="1"/>
  <c r="D3551" i="1"/>
  <c r="E3551" i="1"/>
  <c r="F3551" i="1"/>
  <c r="G3551" i="1" s="1"/>
  <c r="A3552" i="1"/>
  <c r="B3552" i="1" s="1"/>
  <c r="C3552" i="1"/>
  <c r="D3552" i="1"/>
  <c r="E3552" i="1"/>
  <c r="F3552" i="1"/>
  <c r="G3552" i="1" s="1"/>
  <c r="A3553" i="1"/>
  <c r="B3553" i="1" s="1"/>
  <c r="C3553" i="1"/>
  <c r="D3553" i="1"/>
  <c r="E3553" i="1"/>
  <c r="F3553" i="1"/>
  <c r="G3553" i="1" s="1"/>
  <c r="A3554" i="1"/>
  <c r="B3554" i="1" s="1"/>
  <c r="C3554" i="1"/>
  <c r="D3554" i="1"/>
  <c r="E3554" i="1"/>
  <c r="F3554" i="1"/>
  <c r="G3554" i="1" s="1"/>
  <c r="A3555" i="1"/>
  <c r="B3555" i="1" s="1"/>
  <c r="C3555" i="1"/>
  <c r="D3555" i="1"/>
  <c r="E3555" i="1"/>
  <c r="F3555" i="1"/>
  <c r="G3555" i="1" s="1"/>
  <c r="A3556" i="1"/>
  <c r="B3556" i="1" s="1"/>
  <c r="C3556" i="1"/>
  <c r="D3556" i="1"/>
  <c r="E3556" i="1"/>
  <c r="F3556" i="1"/>
  <c r="G3556" i="1" s="1"/>
  <c r="A3557" i="1"/>
  <c r="B3557" i="1" s="1"/>
  <c r="C3557" i="1"/>
  <c r="D3557" i="1"/>
  <c r="E3557" i="1"/>
  <c r="F3557" i="1"/>
  <c r="G3557" i="1" s="1"/>
  <c r="A3558" i="1"/>
  <c r="B3558" i="1" s="1"/>
  <c r="C3558" i="1"/>
  <c r="D3558" i="1"/>
  <c r="E3558" i="1"/>
  <c r="F3558" i="1"/>
  <c r="G3558" i="1" s="1"/>
  <c r="A3559" i="1"/>
  <c r="B3559" i="1" s="1"/>
  <c r="C3559" i="1"/>
  <c r="D3559" i="1"/>
  <c r="E3559" i="1"/>
  <c r="F3559" i="1"/>
  <c r="G3559" i="1" s="1"/>
  <c r="A3560" i="1"/>
  <c r="B3560" i="1" s="1"/>
  <c r="C3560" i="1"/>
  <c r="D3560" i="1"/>
  <c r="E3560" i="1"/>
  <c r="F3560" i="1"/>
  <c r="G3560" i="1" s="1"/>
  <c r="A3561" i="1"/>
  <c r="B3561" i="1" s="1"/>
  <c r="C3561" i="1"/>
  <c r="D3561" i="1"/>
  <c r="E3561" i="1"/>
  <c r="F3561" i="1"/>
  <c r="G3561" i="1" s="1"/>
  <c r="A3562" i="1"/>
  <c r="B3562" i="1" s="1"/>
  <c r="C3562" i="1"/>
  <c r="D3562" i="1"/>
  <c r="E3562" i="1"/>
  <c r="F3562" i="1"/>
  <c r="G3562" i="1" s="1"/>
  <c r="A3563" i="1"/>
  <c r="B3563" i="1" s="1"/>
  <c r="C3563" i="1"/>
  <c r="D3563" i="1"/>
  <c r="E3563" i="1"/>
  <c r="F3563" i="1"/>
  <c r="G3563" i="1" s="1"/>
  <c r="A3564" i="1"/>
  <c r="B3564" i="1" s="1"/>
  <c r="C3564" i="1"/>
  <c r="D3564" i="1"/>
  <c r="E3564" i="1"/>
  <c r="F3564" i="1"/>
  <c r="G3564" i="1" s="1"/>
  <c r="A3565" i="1"/>
  <c r="B3565" i="1" s="1"/>
  <c r="C3565" i="1"/>
  <c r="D3565" i="1"/>
  <c r="E3565" i="1"/>
  <c r="F3565" i="1"/>
  <c r="G3565" i="1" s="1"/>
  <c r="A3566" i="1"/>
  <c r="B3566" i="1" s="1"/>
  <c r="C3566" i="1"/>
  <c r="D3566" i="1"/>
  <c r="E3566" i="1"/>
  <c r="F3566" i="1"/>
  <c r="G3566" i="1" s="1"/>
  <c r="A3567" i="1"/>
  <c r="B3567" i="1" s="1"/>
  <c r="C3567" i="1"/>
  <c r="D3567" i="1"/>
  <c r="E3567" i="1"/>
  <c r="F3567" i="1"/>
  <c r="G3567" i="1" s="1"/>
  <c r="A3568" i="1"/>
  <c r="B3568" i="1" s="1"/>
  <c r="C3568" i="1"/>
  <c r="D3568" i="1"/>
  <c r="E3568" i="1"/>
  <c r="F3568" i="1"/>
  <c r="G3568" i="1" s="1"/>
  <c r="A3569" i="1"/>
  <c r="B3569" i="1" s="1"/>
  <c r="C3569" i="1"/>
  <c r="D3569" i="1"/>
  <c r="E3569" i="1"/>
  <c r="F3569" i="1"/>
  <c r="G3569" i="1" s="1"/>
  <c r="A3570" i="1"/>
  <c r="B3570" i="1" s="1"/>
  <c r="C3570" i="1"/>
  <c r="D3570" i="1"/>
  <c r="E3570" i="1"/>
  <c r="F3570" i="1"/>
  <c r="G3570" i="1" s="1"/>
  <c r="A3571" i="1"/>
  <c r="B3571" i="1" s="1"/>
  <c r="C3571" i="1"/>
  <c r="D3571" i="1"/>
  <c r="E3571" i="1"/>
  <c r="F3571" i="1"/>
  <c r="G3571" i="1" s="1"/>
  <c r="A3572" i="1"/>
  <c r="B3572" i="1" s="1"/>
  <c r="C3572" i="1"/>
  <c r="D3572" i="1"/>
  <c r="E3572" i="1"/>
  <c r="F3572" i="1"/>
  <c r="G3572" i="1" s="1"/>
  <c r="A3573" i="1"/>
  <c r="B3573" i="1" s="1"/>
  <c r="C3573" i="1"/>
  <c r="D3573" i="1"/>
  <c r="E3573" i="1"/>
  <c r="F3573" i="1"/>
  <c r="G3573" i="1" s="1"/>
  <c r="A3574" i="1"/>
  <c r="B3574" i="1" s="1"/>
  <c r="C3574" i="1"/>
  <c r="D3574" i="1"/>
  <c r="E3574" i="1"/>
  <c r="F3574" i="1"/>
  <c r="G3574" i="1" s="1"/>
  <c r="A3575" i="1"/>
  <c r="B3575" i="1" s="1"/>
  <c r="C3575" i="1"/>
  <c r="D3575" i="1"/>
  <c r="E3575" i="1"/>
  <c r="F3575" i="1"/>
  <c r="G3575" i="1" s="1"/>
  <c r="A3576" i="1"/>
  <c r="B3576" i="1" s="1"/>
  <c r="C3576" i="1"/>
  <c r="D3576" i="1"/>
  <c r="E3576" i="1"/>
  <c r="F3576" i="1"/>
  <c r="G3576" i="1" s="1"/>
  <c r="A3577" i="1"/>
  <c r="B3577" i="1"/>
  <c r="C3577" i="1"/>
  <c r="D3577" i="1"/>
  <c r="E3577" i="1"/>
  <c r="F3577" i="1"/>
  <c r="G3577" i="1" s="1"/>
  <c r="A3578" i="1"/>
  <c r="B3578" i="1" s="1"/>
  <c r="C3578" i="1"/>
  <c r="D3578" i="1"/>
  <c r="E3578" i="1"/>
  <c r="F3578" i="1"/>
  <c r="G3578" i="1" s="1"/>
  <c r="A3579" i="1"/>
  <c r="B3579" i="1" s="1"/>
  <c r="C3579" i="1"/>
  <c r="D3579" i="1"/>
  <c r="E3579" i="1"/>
  <c r="F3579" i="1"/>
  <c r="G3579" i="1" s="1"/>
  <c r="A3580" i="1"/>
  <c r="B3580" i="1" s="1"/>
  <c r="C3580" i="1"/>
  <c r="D3580" i="1"/>
  <c r="E3580" i="1"/>
  <c r="F3580" i="1"/>
  <c r="G3580" i="1" s="1"/>
  <c r="A3581" i="1"/>
  <c r="B3581" i="1" s="1"/>
  <c r="C3581" i="1"/>
  <c r="D3581" i="1"/>
  <c r="E3581" i="1"/>
  <c r="F3581" i="1"/>
  <c r="G3581" i="1" s="1"/>
  <c r="A3582" i="1"/>
  <c r="B3582" i="1" s="1"/>
  <c r="C3582" i="1"/>
  <c r="D3582" i="1"/>
  <c r="E3582" i="1"/>
  <c r="F3582" i="1"/>
  <c r="G3582" i="1" s="1"/>
  <c r="A3583" i="1"/>
  <c r="B3583" i="1" s="1"/>
  <c r="C3583" i="1"/>
  <c r="D3583" i="1"/>
  <c r="E3583" i="1"/>
  <c r="F3583" i="1"/>
  <c r="G3583" i="1"/>
  <c r="A3584" i="1"/>
  <c r="B3584" i="1" s="1"/>
  <c r="C3584" i="1"/>
  <c r="D3584" i="1"/>
  <c r="E3584" i="1"/>
  <c r="F3584" i="1"/>
  <c r="G3584" i="1" s="1"/>
  <c r="A3585" i="1"/>
  <c r="B3585" i="1" s="1"/>
  <c r="C3585" i="1"/>
  <c r="D3585" i="1"/>
  <c r="E3585" i="1"/>
  <c r="F3585" i="1"/>
  <c r="G3585" i="1" s="1"/>
  <c r="A3586" i="1"/>
  <c r="B3586" i="1" s="1"/>
  <c r="C3586" i="1"/>
  <c r="D3586" i="1"/>
  <c r="E3586" i="1"/>
  <c r="F3586" i="1"/>
  <c r="G3586" i="1" s="1"/>
  <c r="A3587" i="1"/>
  <c r="B3587" i="1" s="1"/>
  <c r="C3587" i="1"/>
  <c r="D3587" i="1"/>
  <c r="E3587" i="1"/>
  <c r="F3587" i="1"/>
  <c r="G3587" i="1" s="1"/>
  <c r="A3588" i="1"/>
  <c r="B3588" i="1" s="1"/>
  <c r="C3588" i="1"/>
  <c r="D3588" i="1"/>
  <c r="E3588" i="1"/>
  <c r="F3588" i="1"/>
  <c r="G3588" i="1" s="1"/>
  <c r="A3589" i="1"/>
  <c r="B3589" i="1" s="1"/>
  <c r="C3589" i="1"/>
  <c r="D3589" i="1"/>
  <c r="E3589" i="1"/>
  <c r="F3589" i="1"/>
  <c r="G3589" i="1" s="1"/>
  <c r="A3590" i="1"/>
  <c r="B3590" i="1"/>
  <c r="C3590" i="1"/>
  <c r="D3590" i="1"/>
  <c r="E3590" i="1"/>
  <c r="F3590" i="1"/>
  <c r="G3590" i="1" s="1"/>
  <c r="A3591" i="1"/>
  <c r="B3591" i="1" s="1"/>
  <c r="C3591" i="1"/>
  <c r="D3591" i="1"/>
  <c r="E3591" i="1"/>
  <c r="F3591" i="1"/>
  <c r="G3591" i="1" s="1"/>
  <c r="A3592" i="1"/>
  <c r="B3592" i="1"/>
  <c r="C3592" i="1"/>
  <c r="D3592" i="1"/>
  <c r="E3592" i="1"/>
  <c r="F3592" i="1"/>
  <c r="G3592" i="1" s="1"/>
  <c r="A3593" i="1"/>
  <c r="B3593" i="1" s="1"/>
  <c r="C3593" i="1"/>
  <c r="D3593" i="1"/>
  <c r="E3593" i="1"/>
  <c r="F3593" i="1"/>
  <c r="G3593" i="1" s="1"/>
  <c r="A3594" i="1"/>
  <c r="B3594" i="1"/>
  <c r="C3594" i="1"/>
  <c r="D3594" i="1"/>
  <c r="E3594" i="1"/>
  <c r="F3594" i="1"/>
  <c r="G3594" i="1" s="1"/>
  <c r="A3595" i="1"/>
  <c r="B3595" i="1" s="1"/>
  <c r="C3595" i="1"/>
  <c r="D3595" i="1"/>
  <c r="E3595" i="1"/>
  <c r="F3595" i="1"/>
  <c r="G3595" i="1" s="1"/>
  <c r="A3596" i="1"/>
  <c r="B3596" i="1" s="1"/>
  <c r="C3596" i="1"/>
  <c r="D3596" i="1"/>
  <c r="E3596" i="1"/>
  <c r="F3596" i="1"/>
  <c r="G3596" i="1" s="1"/>
  <c r="A3597" i="1"/>
  <c r="B3597" i="1" s="1"/>
  <c r="C3597" i="1"/>
  <c r="D3597" i="1"/>
  <c r="E3597" i="1"/>
  <c r="F3597" i="1"/>
  <c r="G3597" i="1" s="1"/>
  <c r="A3598" i="1"/>
  <c r="B3598" i="1"/>
  <c r="C3598" i="1"/>
  <c r="D3598" i="1"/>
  <c r="E3598" i="1"/>
  <c r="F3598" i="1"/>
  <c r="G3598" i="1" s="1"/>
  <c r="A3599" i="1"/>
  <c r="B3599" i="1" s="1"/>
  <c r="C3599" i="1"/>
  <c r="D3599" i="1"/>
  <c r="E3599" i="1"/>
  <c r="F3599" i="1"/>
  <c r="G3599" i="1" s="1"/>
  <c r="A3600" i="1"/>
  <c r="B3600" i="1" s="1"/>
  <c r="C3600" i="1"/>
  <c r="D3600" i="1"/>
  <c r="E3600" i="1"/>
  <c r="F3600" i="1"/>
  <c r="G3600" i="1" s="1"/>
  <c r="A3601" i="1"/>
  <c r="B3601" i="1" s="1"/>
  <c r="C3601" i="1"/>
  <c r="D3601" i="1"/>
  <c r="E3601" i="1"/>
  <c r="F3601" i="1"/>
  <c r="G3601" i="1" s="1"/>
  <c r="A3602" i="1"/>
  <c r="B3602" i="1" s="1"/>
  <c r="C3602" i="1"/>
  <c r="D3602" i="1"/>
  <c r="E3602" i="1"/>
  <c r="F3602" i="1"/>
  <c r="G3602" i="1" s="1"/>
  <c r="A3603" i="1"/>
  <c r="B3603" i="1" s="1"/>
  <c r="C3603" i="1"/>
  <c r="D3603" i="1"/>
  <c r="E3603" i="1"/>
  <c r="F3603" i="1"/>
  <c r="G3603" i="1" s="1"/>
  <c r="A3604" i="1"/>
  <c r="B3604" i="1" s="1"/>
  <c r="C3604" i="1"/>
  <c r="D3604" i="1"/>
  <c r="E3604" i="1"/>
  <c r="F3604" i="1"/>
  <c r="G3604" i="1" s="1"/>
  <c r="A3605" i="1"/>
  <c r="B3605" i="1" s="1"/>
  <c r="C3605" i="1"/>
  <c r="D3605" i="1"/>
  <c r="E3605" i="1"/>
  <c r="F3605" i="1"/>
  <c r="G3605" i="1" s="1"/>
  <c r="A3606" i="1"/>
  <c r="B3606" i="1" s="1"/>
  <c r="C3606" i="1"/>
  <c r="D3606" i="1"/>
  <c r="E3606" i="1"/>
  <c r="F3606" i="1"/>
  <c r="G3606" i="1" s="1"/>
  <c r="A3607" i="1"/>
  <c r="B3607" i="1"/>
  <c r="C3607" i="1"/>
  <c r="D3607" i="1"/>
  <c r="E3607" i="1"/>
  <c r="F3607" i="1"/>
  <c r="G3607" i="1" s="1"/>
  <c r="A3608" i="1"/>
  <c r="B3608" i="1" s="1"/>
  <c r="C3608" i="1"/>
  <c r="D3608" i="1"/>
  <c r="E3608" i="1"/>
  <c r="F3608" i="1"/>
  <c r="G3608" i="1"/>
  <c r="A3609" i="1"/>
  <c r="B3609" i="1" s="1"/>
  <c r="C3609" i="1"/>
  <c r="D3609" i="1"/>
  <c r="E3609" i="1"/>
  <c r="F3609" i="1"/>
  <c r="G3609" i="1" s="1"/>
  <c r="A3610" i="1"/>
  <c r="B3610" i="1" s="1"/>
  <c r="C3610" i="1"/>
  <c r="D3610" i="1"/>
  <c r="E3610" i="1"/>
  <c r="F3610" i="1"/>
  <c r="G3610" i="1" s="1"/>
  <c r="A3611" i="1"/>
  <c r="B3611" i="1" s="1"/>
  <c r="C3611" i="1"/>
  <c r="D3611" i="1"/>
  <c r="E3611" i="1"/>
  <c r="F3611" i="1"/>
  <c r="G3611" i="1" s="1"/>
  <c r="A3612" i="1"/>
  <c r="B3612" i="1" s="1"/>
  <c r="C3612" i="1"/>
  <c r="D3612" i="1"/>
  <c r="E3612" i="1"/>
  <c r="F3612" i="1"/>
  <c r="G3612" i="1" s="1"/>
  <c r="A3613" i="1"/>
  <c r="B3613" i="1"/>
  <c r="C3613" i="1"/>
  <c r="D3613" i="1"/>
  <c r="E3613" i="1"/>
  <c r="F3613" i="1"/>
  <c r="G3613" i="1" s="1"/>
  <c r="A3614" i="1"/>
  <c r="B3614" i="1"/>
  <c r="C3614" i="1"/>
  <c r="D3614" i="1"/>
  <c r="E3614" i="1"/>
  <c r="F3614" i="1"/>
  <c r="G3614" i="1" s="1"/>
  <c r="A3615" i="1"/>
  <c r="B3615" i="1" s="1"/>
  <c r="C3615" i="1"/>
  <c r="D3615" i="1"/>
  <c r="E3615" i="1"/>
  <c r="F3615" i="1"/>
  <c r="G3615" i="1" s="1"/>
  <c r="A3616" i="1"/>
  <c r="B3616" i="1"/>
  <c r="C3616" i="1"/>
  <c r="D3616" i="1"/>
  <c r="E3616" i="1"/>
  <c r="F3616" i="1"/>
  <c r="G3616" i="1" s="1"/>
  <c r="A3617" i="1"/>
  <c r="B3617" i="1" s="1"/>
  <c r="C3617" i="1"/>
  <c r="D3617" i="1"/>
  <c r="E3617" i="1"/>
  <c r="F3617" i="1"/>
  <c r="G3617" i="1" s="1"/>
  <c r="A3618" i="1"/>
  <c r="B3618" i="1"/>
  <c r="C3618" i="1"/>
  <c r="D3618" i="1"/>
  <c r="E3618" i="1"/>
  <c r="F3618" i="1"/>
  <c r="G3618" i="1" s="1"/>
  <c r="A3619" i="1"/>
  <c r="B3619" i="1"/>
  <c r="C3619" i="1"/>
  <c r="D3619" i="1"/>
  <c r="E3619" i="1"/>
  <c r="F3619" i="1"/>
  <c r="G3619" i="1" s="1"/>
  <c r="A3620" i="1"/>
  <c r="B3620" i="1" s="1"/>
  <c r="C3620" i="1"/>
  <c r="D3620" i="1"/>
  <c r="E3620" i="1"/>
  <c r="F3620" i="1"/>
  <c r="G3620" i="1" s="1"/>
  <c r="A3621" i="1"/>
  <c r="B3621" i="1" s="1"/>
  <c r="C3621" i="1"/>
  <c r="D3621" i="1"/>
  <c r="E3621" i="1"/>
  <c r="F3621" i="1"/>
  <c r="G3621" i="1" s="1"/>
  <c r="A3622" i="1"/>
  <c r="B3622" i="1"/>
  <c r="C3622" i="1"/>
  <c r="D3622" i="1"/>
  <c r="E3622" i="1"/>
  <c r="F3622" i="1"/>
  <c r="G3622" i="1" s="1"/>
  <c r="A3623" i="1"/>
  <c r="B3623" i="1" s="1"/>
  <c r="C3623" i="1"/>
  <c r="D3623" i="1"/>
  <c r="E3623" i="1"/>
  <c r="F3623" i="1"/>
  <c r="G3623" i="1" s="1"/>
  <c r="A3624" i="1"/>
  <c r="B3624" i="1" s="1"/>
  <c r="C3624" i="1"/>
  <c r="D3624" i="1"/>
  <c r="E3624" i="1"/>
  <c r="F3624" i="1"/>
  <c r="G3624" i="1" s="1"/>
  <c r="A3625" i="1"/>
  <c r="B3625" i="1" s="1"/>
  <c r="C3625" i="1"/>
  <c r="D3625" i="1"/>
  <c r="E3625" i="1"/>
  <c r="F3625" i="1"/>
  <c r="G3625" i="1" s="1"/>
  <c r="A3626" i="1"/>
  <c r="B3626" i="1" s="1"/>
  <c r="C3626" i="1"/>
  <c r="D3626" i="1"/>
  <c r="E3626" i="1"/>
  <c r="F3626" i="1"/>
  <c r="G3626" i="1" s="1"/>
  <c r="A3627" i="1"/>
  <c r="B3627" i="1" s="1"/>
  <c r="C3627" i="1"/>
  <c r="D3627" i="1"/>
  <c r="E3627" i="1"/>
  <c r="F3627" i="1"/>
  <c r="G3627" i="1" s="1"/>
  <c r="A3628" i="1"/>
  <c r="B3628" i="1" s="1"/>
  <c r="C3628" i="1"/>
  <c r="D3628" i="1"/>
  <c r="E3628" i="1"/>
  <c r="F3628" i="1"/>
  <c r="G3628" i="1" s="1"/>
  <c r="A3629" i="1"/>
  <c r="B3629" i="1" s="1"/>
  <c r="C3629" i="1"/>
  <c r="D3629" i="1"/>
  <c r="E3629" i="1"/>
  <c r="F3629" i="1"/>
  <c r="G3629" i="1" s="1"/>
  <c r="A3630" i="1"/>
  <c r="B3630" i="1" s="1"/>
  <c r="C3630" i="1"/>
  <c r="D3630" i="1"/>
  <c r="E3630" i="1"/>
  <c r="F3630" i="1"/>
  <c r="G3630" i="1" s="1"/>
  <c r="A3631" i="1"/>
  <c r="B3631" i="1" s="1"/>
  <c r="C3631" i="1"/>
  <c r="D3631" i="1"/>
  <c r="E3631" i="1"/>
  <c r="F3631" i="1"/>
  <c r="G3631" i="1" s="1"/>
  <c r="A3632" i="1"/>
  <c r="B3632" i="1" s="1"/>
  <c r="C3632" i="1"/>
  <c r="D3632" i="1"/>
  <c r="E3632" i="1"/>
  <c r="F3632" i="1"/>
  <c r="G3632" i="1" s="1"/>
  <c r="A3633" i="1"/>
  <c r="B3633" i="1" s="1"/>
  <c r="C3633" i="1"/>
  <c r="D3633" i="1"/>
  <c r="E3633" i="1"/>
  <c r="F3633" i="1"/>
  <c r="G3633" i="1" s="1"/>
  <c r="A3634" i="1"/>
  <c r="B3634" i="1" s="1"/>
  <c r="C3634" i="1"/>
  <c r="D3634" i="1"/>
  <c r="E3634" i="1"/>
  <c r="F3634" i="1"/>
  <c r="G3634" i="1" s="1"/>
  <c r="A3635" i="1"/>
  <c r="B3635" i="1" s="1"/>
  <c r="C3635" i="1"/>
  <c r="D3635" i="1"/>
  <c r="E3635" i="1"/>
  <c r="F3635" i="1"/>
  <c r="G3635" i="1"/>
  <c r="A3636" i="1"/>
  <c r="B3636" i="1" s="1"/>
  <c r="C3636" i="1"/>
  <c r="D3636" i="1"/>
  <c r="E3636" i="1"/>
  <c r="F3636" i="1"/>
  <c r="G3636" i="1" s="1"/>
  <c r="A3637" i="1"/>
  <c r="B3637" i="1" s="1"/>
  <c r="C3637" i="1"/>
  <c r="D3637" i="1"/>
  <c r="E3637" i="1"/>
  <c r="F3637" i="1"/>
  <c r="G3637" i="1" s="1"/>
  <c r="A3638" i="1"/>
  <c r="B3638" i="1" s="1"/>
  <c r="C3638" i="1"/>
  <c r="D3638" i="1"/>
  <c r="E3638" i="1"/>
  <c r="F3638" i="1"/>
  <c r="G3638" i="1" s="1"/>
  <c r="A3639" i="1"/>
  <c r="B3639" i="1" s="1"/>
  <c r="C3639" i="1"/>
  <c r="D3639" i="1"/>
  <c r="E3639" i="1"/>
  <c r="F3639" i="1"/>
  <c r="G3639" i="1" s="1"/>
  <c r="A3640" i="1"/>
  <c r="B3640" i="1" s="1"/>
  <c r="C3640" i="1"/>
  <c r="D3640" i="1"/>
  <c r="E3640" i="1"/>
  <c r="F3640" i="1"/>
  <c r="G3640" i="1" s="1"/>
  <c r="A3641" i="1"/>
  <c r="B3641" i="1" s="1"/>
  <c r="C3641" i="1"/>
  <c r="D3641" i="1"/>
  <c r="E3641" i="1"/>
  <c r="F3641" i="1"/>
  <c r="G3641" i="1" s="1"/>
  <c r="A3642" i="1"/>
  <c r="B3642" i="1" s="1"/>
  <c r="C3642" i="1"/>
  <c r="D3642" i="1"/>
  <c r="E3642" i="1"/>
  <c r="F3642" i="1"/>
  <c r="G3642" i="1" s="1"/>
  <c r="A3643" i="1"/>
  <c r="B3643" i="1" s="1"/>
  <c r="C3643" i="1"/>
  <c r="D3643" i="1"/>
  <c r="E3643" i="1"/>
  <c r="F3643" i="1"/>
  <c r="G3643" i="1" s="1"/>
  <c r="A3644" i="1"/>
  <c r="B3644" i="1" s="1"/>
  <c r="C3644" i="1"/>
  <c r="D3644" i="1"/>
  <c r="E3644" i="1"/>
  <c r="F3644" i="1"/>
  <c r="G3644" i="1" s="1"/>
  <c r="A3645" i="1"/>
  <c r="B3645" i="1" s="1"/>
  <c r="C3645" i="1"/>
  <c r="D3645" i="1"/>
  <c r="E3645" i="1"/>
  <c r="F3645" i="1"/>
  <c r="G3645" i="1" s="1"/>
  <c r="A3646" i="1"/>
  <c r="B3646" i="1" s="1"/>
  <c r="C3646" i="1"/>
  <c r="D3646" i="1"/>
  <c r="E3646" i="1"/>
  <c r="F3646" i="1"/>
  <c r="G3646" i="1" s="1"/>
  <c r="A3647" i="1"/>
  <c r="B3647" i="1" s="1"/>
  <c r="C3647" i="1"/>
  <c r="D3647" i="1"/>
  <c r="E3647" i="1"/>
  <c r="F3647" i="1"/>
  <c r="G3647" i="1" s="1"/>
  <c r="A3648" i="1"/>
  <c r="B3648" i="1" s="1"/>
  <c r="C3648" i="1"/>
  <c r="D3648" i="1"/>
  <c r="E3648" i="1"/>
  <c r="F3648" i="1"/>
  <c r="G3648" i="1" s="1"/>
  <c r="A3649" i="1"/>
  <c r="B3649" i="1" s="1"/>
  <c r="C3649" i="1"/>
  <c r="D3649" i="1"/>
  <c r="E3649" i="1"/>
  <c r="F3649" i="1"/>
  <c r="G3649" i="1" s="1"/>
  <c r="A3650" i="1"/>
  <c r="B3650" i="1"/>
  <c r="C3650" i="1"/>
  <c r="D3650" i="1"/>
  <c r="E3650" i="1"/>
  <c r="F3650" i="1"/>
  <c r="G3650" i="1" s="1"/>
  <c r="A3651" i="1"/>
  <c r="B3651" i="1" s="1"/>
  <c r="C3651" i="1"/>
  <c r="D3651" i="1"/>
  <c r="E3651" i="1"/>
  <c r="F3651" i="1"/>
  <c r="G3651" i="1" s="1"/>
  <c r="A3652" i="1"/>
  <c r="B3652" i="1"/>
  <c r="C3652" i="1"/>
  <c r="D3652" i="1"/>
  <c r="E3652" i="1"/>
  <c r="F3652" i="1"/>
  <c r="G3652" i="1" s="1"/>
  <c r="A3653" i="1"/>
  <c r="B3653" i="1" s="1"/>
  <c r="C3653" i="1"/>
  <c r="D3653" i="1"/>
  <c r="E3653" i="1"/>
  <c r="F3653" i="1"/>
  <c r="G3653" i="1" s="1"/>
  <c r="A3654" i="1"/>
  <c r="B3654" i="1"/>
  <c r="C3654" i="1"/>
  <c r="D3654" i="1"/>
  <c r="E3654" i="1"/>
  <c r="F3654" i="1"/>
  <c r="G3654" i="1" s="1"/>
  <c r="A3655" i="1"/>
  <c r="B3655" i="1" s="1"/>
  <c r="C3655" i="1"/>
  <c r="D3655" i="1"/>
  <c r="E3655" i="1"/>
  <c r="F3655" i="1"/>
  <c r="G3655" i="1" s="1"/>
  <c r="A3656" i="1"/>
  <c r="B3656" i="1" s="1"/>
  <c r="C3656" i="1"/>
  <c r="D3656" i="1"/>
  <c r="E3656" i="1"/>
  <c r="F3656" i="1"/>
  <c r="G3656" i="1" s="1"/>
  <c r="A3657" i="1"/>
  <c r="B3657" i="1" s="1"/>
  <c r="C3657" i="1"/>
  <c r="D3657" i="1"/>
  <c r="E3657" i="1"/>
  <c r="F3657" i="1"/>
  <c r="G3657" i="1" s="1"/>
  <c r="A3658" i="1"/>
  <c r="B3658" i="1" s="1"/>
  <c r="C3658" i="1"/>
  <c r="D3658" i="1"/>
  <c r="E3658" i="1"/>
  <c r="F3658" i="1"/>
  <c r="G3658" i="1" s="1"/>
  <c r="A3659" i="1"/>
  <c r="B3659" i="1" s="1"/>
  <c r="C3659" i="1"/>
  <c r="D3659" i="1"/>
  <c r="E3659" i="1"/>
  <c r="F3659" i="1"/>
  <c r="G3659" i="1"/>
  <c r="A3660" i="1"/>
  <c r="B3660" i="1" s="1"/>
  <c r="C3660" i="1"/>
  <c r="D3660" i="1"/>
  <c r="E3660" i="1"/>
  <c r="F3660" i="1"/>
  <c r="G3660" i="1" s="1"/>
  <c r="A3661" i="1"/>
  <c r="B3661" i="1"/>
  <c r="C3661" i="1"/>
  <c r="D3661" i="1"/>
  <c r="E3661" i="1"/>
  <c r="F3661" i="1"/>
  <c r="G3661" i="1" s="1"/>
  <c r="A3662" i="1"/>
  <c r="B3662" i="1" s="1"/>
  <c r="C3662" i="1"/>
  <c r="D3662" i="1"/>
  <c r="E3662" i="1"/>
  <c r="F3662" i="1"/>
  <c r="G3662" i="1" s="1"/>
  <c r="A3663" i="1"/>
  <c r="B3663" i="1" s="1"/>
  <c r="C3663" i="1"/>
  <c r="D3663" i="1"/>
  <c r="E3663" i="1"/>
  <c r="F3663" i="1"/>
  <c r="G3663" i="1"/>
  <c r="A3664" i="1"/>
  <c r="B3664" i="1"/>
  <c r="C3664" i="1"/>
  <c r="D3664" i="1"/>
  <c r="E3664" i="1"/>
  <c r="F3664" i="1"/>
  <c r="G3664" i="1" s="1"/>
  <c r="A3665" i="1"/>
  <c r="B3665" i="1" s="1"/>
  <c r="C3665" i="1"/>
  <c r="D3665" i="1"/>
  <c r="E3665" i="1"/>
  <c r="F3665" i="1"/>
  <c r="G3665" i="1"/>
  <c r="A3666" i="1"/>
  <c r="B3666" i="1"/>
  <c r="C3666" i="1"/>
  <c r="D3666" i="1"/>
  <c r="E3666" i="1"/>
  <c r="F3666" i="1"/>
  <c r="G3666" i="1" s="1"/>
  <c r="A3667" i="1"/>
  <c r="B3667" i="1" s="1"/>
  <c r="C3667" i="1"/>
  <c r="D3667" i="1"/>
  <c r="E3667" i="1"/>
  <c r="F3667" i="1"/>
  <c r="G3667" i="1" s="1"/>
  <c r="A3668" i="1"/>
  <c r="B3668" i="1" s="1"/>
  <c r="C3668" i="1"/>
  <c r="D3668" i="1"/>
  <c r="E3668" i="1"/>
  <c r="F3668" i="1"/>
  <c r="G3668" i="1" s="1"/>
  <c r="A3669" i="1"/>
  <c r="B3669" i="1" s="1"/>
  <c r="C3669" i="1"/>
  <c r="D3669" i="1"/>
  <c r="E3669" i="1"/>
  <c r="F3669" i="1"/>
  <c r="G3669" i="1" s="1"/>
  <c r="A3670" i="1"/>
  <c r="B3670" i="1"/>
  <c r="C3670" i="1"/>
  <c r="D3670" i="1"/>
  <c r="E3670" i="1"/>
  <c r="F3670" i="1"/>
  <c r="G3670" i="1" s="1"/>
  <c r="A3671" i="1"/>
  <c r="B3671" i="1" s="1"/>
  <c r="C3671" i="1"/>
  <c r="D3671" i="1"/>
  <c r="E3671" i="1"/>
  <c r="F3671" i="1"/>
  <c r="G3671" i="1" s="1"/>
  <c r="A3672" i="1"/>
  <c r="B3672" i="1" s="1"/>
  <c r="C3672" i="1"/>
  <c r="D3672" i="1"/>
  <c r="E3672" i="1"/>
  <c r="F3672" i="1"/>
  <c r="G3672" i="1" s="1"/>
  <c r="A3673" i="1"/>
  <c r="B3673" i="1"/>
  <c r="C3673" i="1"/>
  <c r="D3673" i="1"/>
  <c r="E3673" i="1"/>
  <c r="F3673" i="1"/>
  <c r="G3673" i="1" s="1"/>
  <c r="A3674" i="1"/>
  <c r="B3674" i="1" s="1"/>
  <c r="C3674" i="1"/>
  <c r="D3674" i="1"/>
  <c r="E3674" i="1"/>
  <c r="F3674" i="1"/>
  <c r="G3674" i="1"/>
  <c r="A3675" i="1"/>
  <c r="B3675" i="1" s="1"/>
  <c r="C3675" i="1"/>
  <c r="D3675" i="1"/>
  <c r="E3675" i="1"/>
  <c r="F3675" i="1"/>
  <c r="G3675" i="1" s="1"/>
  <c r="A3676" i="1"/>
  <c r="B3676" i="1" s="1"/>
  <c r="C3676" i="1"/>
  <c r="D3676" i="1"/>
  <c r="E3676" i="1"/>
  <c r="F3676" i="1"/>
  <c r="G3676" i="1" s="1"/>
  <c r="A3677" i="1"/>
  <c r="B3677" i="1" s="1"/>
  <c r="C3677" i="1"/>
  <c r="D3677" i="1"/>
  <c r="E3677" i="1"/>
  <c r="F3677" i="1"/>
  <c r="G3677" i="1" s="1"/>
  <c r="A3678" i="1"/>
  <c r="B3678" i="1"/>
  <c r="C3678" i="1"/>
  <c r="D3678" i="1"/>
  <c r="E3678" i="1"/>
  <c r="F3678" i="1"/>
  <c r="G3678" i="1" s="1"/>
  <c r="A3679" i="1"/>
  <c r="B3679" i="1" s="1"/>
  <c r="C3679" i="1"/>
  <c r="D3679" i="1"/>
  <c r="E3679" i="1"/>
  <c r="F3679" i="1"/>
  <c r="G3679" i="1" s="1"/>
  <c r="A3680" i="1"/>
  <c r="B3680" i="1" s="1"/>
  <c r="C3680" i="1"/>
  <c r="D3680" i="1"/>
  <c r="E3680" i="1"/>
  <c r="F3680" i="1"/>
  <c r="G3680" i="1"/>
  <c r="A3681" i="1"/>
  <c r="B3681" i="1" s="1"/>
  <c r="C3681" i="1"/>
  <c r="D3681" i="1"/>
  <c r="E3681" i="1"/>
  <c r="F3681" i="1"/>
  <c r="G3681" i="1" s="1"/>
  <c r="A3682" i="1"/>
  <c r="B3682" i="1"/>
  <c r="C3682" i="1"/>
  <c r="D3682" i="1"/>
  <c r="E3682" i="1"/>
  <c r="F3682" i="1"/>
  <c r="G3682" i="1" s="1"/>
  <c r="A3683" i="1"/>
  <c r="B3683" i="1" s="1"/>
  <c r="C3683" i="1"/>
  <c r="D3683" i="1"/>
  <c r="E3683" i="1"/>
  <c r="F3683" i="1"/>
  <c r="G3683" i="1" s="1"/>
  <c r="A3684" i="1"/>
  <c r="B3684" i="1" s="1"/>
  <c r="C3684" i="1"/>
  <c r="D3684" i="1"/>
  <c r="E3684" i="1"/>
  <c r="F3684" i="1"/>
  <c r="G3684" i="1" s="1"/>
  <c r="A3685" i="1"/>
  <c r="B3685" i="1"/>
  <c r="C3685" i="1"/>
  <c r="D3685" i="1"/>
  <c r="E3685" i="1"/>
  <c r="F3685" i="1"/>
  <c r="G3685" i="1" s="1"/>
  <c r="A3686" i="1"/>
  <c r="B3686" i="1" s="1"/>
  <c r="C3686" i="1"/>
  <c r="D3686" i="1"/>
  <c r="E3686" i="1"/>
  <c r="F3686" i="1"/>
  <c r="G3686" i="1" s="1"/>
  <c r="A3687" i="1"/>
  <c r="B3687" i="1" s="1"/>
  <c r="C3687" i="1"/>
  <c r="D3687" i="1"/>
  <c r="E3687" i="1"/>
  <c r="F3687" i="1"/>
  <c r="G3687" i="1" s="1"/>
  <c r="A3688" i="1"/>
  <c r="B3688" i="1" s="1"/>
  <c r="C3688" i="1"/>
  <c r="D3688" i="1"/>
  <c r="E3688" i="1"/>
  <c r="F3688" i="1"/>
  <c r="G3688" i="1" s="1"/>
  <c r="A3689" i="1"/>
  <c r="B3689" i="1" s="1"/>
  <c r="C3689" i="1"/>
  <c r="D3689" i="1"/>
  <c r="E3689" i="1"/>
  <c r="F3689" i="1"/>
  <c r="G3689" i="1" s="1"/>
  <c r="A3690" i="1"/>
  <c r="B3690" i="1" s="1"/>
  <c r="C3690" i="1"/>
  <c r="D3690" i="1"/>
  <c r="E3690" i="1"/>
  <c r="F3690" i="1"/>
  <c r="G3690" i="1" s="1"/>
  <c r="A3691" i="1"/>
  <c r="B3691" i="1" s="1"/>
  <c r="C3691" i="1"/>
  <c r="D3691" i="1"/>
  <c r="E3691" i="1"/>
  <c r="F3691" i="1"/>
  <c r="G3691" i="1" s="1"/>
  <c r="A3692" i="1"/>
  <c r="B3692" i="1" s="1"/>
  <c r="C3692" i="1"/>
  <c r="D3692" i="1"/>
  <c r="E3692" i="1"/>
  <c r="F3692" i="1"/>
  <c r="G3692" i="1" s="1"/>
  <c r="A3693" i="1"/>
  <c r="B3693" i="1" s="1"/>
  <c r="C3693" i="1"/>
  <c r="D3693" i="1"/>
  <c r="E3693" i="1"/>
  <c r="F3693" i="1"/>
  <c r="G3693" i="1" s="1"/>
  <c r="A3694" i="1"/>
  <c r="B3694" i="1" s="1"/>
  <c r="C3694" i="1"/>
  <c r="D3694" i="1"/>
  <c r="E3694" i="1"/>
  <c r="F3694" i="1"/>
  <c r="G3694" i="1" s="1"/>
  <c r="A3695" i="1"/>
  <c r="B3695" i="1" s="1"/>
  <c r="C3695" i="1"/>
  <c r="D3695" i="1"/>
  <c r="E3695" i="1"/>
  <c r="F3695" i="1"/>
  <c r="G3695" i="1" s="1"/>
  <c r="A3696" i="1"/>
  <c r="B3696" i="1" s="1"/>
  <c r="C3696" i="1"/>
  <c r="D3696" i="1"/>
  <c r="E3696" i="1"/>
  <c r="F3696" i="1"/>
  <c r="G3696" i="1" s="1"/>
  <c r="A3697" i="1"/>
  <c r="B3697" i="1" s="1"/>
  <c r="C3697" i="1"/>
  <c r="D3697" i="1"/>
  <c r="E3697" i="1"/>
  <c r="F3697" i="1"/>
  <c r="G3697" i="1" s="1"/>
  <c r="A3698" i="1"/>
  <c r="B3698" i="1" s="1"/>
  <c r="C3698" i="1"/>
  <c r="D3698" i="1"/>
  <c r="E3698" i="1"/>
  <c r="F3698" i="1"/>
  <c r="G3698" i="1" s="1"/>
  <c r="A3699" i="1"/>
  <c r="B3699" i="1" s="1"/>
  <c r="C3699" i="1"/>
  <c r="D3699" i="1"/>
  <c r="E3699" i="1"/>
  <c r="F3699" i="1"/>
  <c r="G3699" i="1" s="1"/>
  <c r="A3700" i="1"/>
  <c r="B3700" i="1" s="1"/>
  <c r="C3700" i="1"/>
  <c r="D3700" i="1"/>
  <c r="E3700" i="1"/>
  <c r="F3700" i="1"/>
  <c r="G3700" i="1" s="1"/>
  <c r="A3701" i="1"/>
  <c r="B3701" i="1" s="1"/>
  <c r="C3701" i="1"/>
  <c r="D3701" i="1"/>
  <c r="E3701" i="1"/>
  <c r="F3701" i="1"/>
  <c r="G3701" i="1" s="1"/>
  <c r="A3702" i="1"/>
  <c r="B3702" i="1" s="1"/>
  <c r="C3702" i="1"/>
  <c r="D3702" i="1"/>
  <c r="E3702" i="1"/>
  <c r="F3702" i="1"/>
  <c r="G3702" i="1" s="1"/>
  <c r="A3703" i="1"/>
  <c r="B3703" i="1" s="1"/>
  <c r="C3703" i="1"/>
  <c r="D3703" i="1"/>
  <c r="E3703" i="1"/>
  <c r="F3703" i="1"/>
  <c r="G3703" i="1"/>
  <c r="A3704" i="1"/>
  <c r="B3704" i="1" s="1"/>
  <c r="C3704" i="1"/>
  <c r="D3704" i="1"/>
  <c r="E3704" i="1"/>
  <c r="F3704" i="1"/>
  <c r="G3704" i="1" s="1"/>
  <c r="A3705" i="1"/>
  <c r="B3705" i="1" s="1"/>
  <c r="C3705" i="1"/>
  <c r="D3705" i="1"/>
  <c r="E3705" i="1"/>
  <c r="F3705" i="1"/>
  <c r="G3705" i="1" s="1"/>
  <c r="A3706" i="1"/>
  <c r="B3706" i="1" s="1"/>
  <c r="C3706" i="1"/>
  <c r="D3706" i="1"/>
  <c r="E3706" i="1"/>
  <c r="F3706" i="1"/>
  <c r="G3706" i="1" s="1"/>
  <c r="A3707" i="1"/>
  <c r="B3707" i="1" s="1"/>
  <c r="C3707" i="1"/>
  <c r="D3707" i="1"/>
  <c r="E3707" i="1"/>
  <c r="F3707" i="1"/>
  <c r="G3707" i="1" s="1"/>
  <c r="A3708" i="1"/>
  <c r="B3708" i="1" s="1"/>
  <c r="C3708" i="1"/>
  <c r="D3708" i="1"/>
  <c r="E3708" i="1"/>
  <c r="F3708" i="1"/>
  <c r="G3708" i="1" s="1"/>
  <c r="A3709" i="1"/>
  <c r="B3709" i="1" s="1"/>
  <c r="C3709" i="1"/>
  <c r="D3709" i="1"/>
  <c r="E3709" i="1"/>
  <c r="F3709" i="1"/>
  <c r="G3709" i="1" s="1"/>
  <c r="A3710" i="1"/>
  <c r="B3710" i="1" s="1"/>
  <c r="C3710" i="1"/>
  <c r="D3710" i="1"/>
  <c r="E3710" i="1"/>
  <c r="F3710" i="1"/>
  <c r="G3710" i="1"/>
  <c r="A3711" i="1"/>
  <c r="B3711" i="1" s="1"/>
  <c r="C3711" i="1"/>
  <c r="D3711" i="1"/>
  <c r="E3711" i="1"/>
  <c r="F3711" i="1"/>
  <c r="G3711" i="1" s="1"/>
  <c r="A3712" i="1"/>
  <c r="B3712" i="1" s="1"/>
  <c r="C3712" i="1"/>
  <c r="D3712" i="1"/>
  <c r="E3712" i="1"/>
  <c r="F3712" i="1"/>
  <c r="G3712" i="1" s="1"/>
  <c r="A3713" i="1"/>
  <c r="B3713" i="1" s="1"/>
  <c r="C3713" i="1"/>
  <c r="D3713" i="1"/>
  <c r="E3713" i="1"/>
  <c r="F3713" i="1"/>
  <c r="G3713" i="1" s="1"/>
  <c r="A3714" i="1"/>
  <c r="B3714" i="1" s="1"/>
  <c r="C3714" i="1"/>
  <c r="D3714" i="1"/>
  <c r="E3714" i="1"/>
  <c r="F3714" i="1"/>
  <c r="G3714" i="1" s="1"/>
  <c r="A3715" i="1"/>
  <c r="B3715" i="1" s="1"/>
  <c r="C3715" i="1"/>
  <c r="D3715" i="1"/>
  <c r="E3715" i="1"/>
  <c r="F3715" i="1"/>
  <c r="G3715" i="1"/>
  <c r="A3716" i="1"/>
  <c r="B3716" i="1" s="1"/>
  <c r="C3716" i="1"/>
  <c r="D3716" i="1"/>
  <c r="E3716" i="1"/>
  <c r="F3716" i="1"/>
  <c r="G3716" i="1" s="1"/>
  <c r="A3717" i="1"/>
  <c r="B3717" i="1" s="1"/>
  <c r="C3717" i="1"/>
  <c r="D3717" i="1"/>
  <c r="E3717" i="1"/>
  <c r="F3717" i="1"/>
  <c r="G3717" i="1" s="1"/>
  <c r="A3718" i="1"/>
  <c r="B3718" i="1" s="1"/>
  <c r="C3718" i="1"/>
  <c r="D3718" i="1"/>
  <c r="E3718" i="1"/>
  <c r="F3718" i="1"/>
  <c r="G3718" i="1" s="1"/>
  <c r="A3719" i="1"/>
  <c r="B3719" i="1" s="1"/>
  <c r="C3719" i="1"/>
  <c r="D3719" i="1"/>
  <c r="E3719" i="1"/>
  <c r="F3719" i="1"/>
  <c r="G3719" i="1" s="1"/>
  <c r="A3720" i="1"/>
  <c r="B3720" i="1" s="1"/>
  <c r="C3720" i="1"/>
  <c r="D3720" i="1"/>
  <c r="E3720" i="1"/>
  <c r="F3720" i="1"/>
  <c r="G3720" i="1" s="1"/>
  <c r="A3721" i="1"/>
  <c r="B3721" i="1" s="1"/>
  <c r="C3721" i="1"/>
  <c r="D3721" i="1"/>
  <c r="E3721" i="1"/>
  <c r="F3721" i="1"/>
  <c r="G3721" i="1" s="1"/>
  <c r="A3722" i="1"/>
  <c r="B3722" i="1" s="1"/>
  <c r="C3722" i="1"/>
  <c r="D3722" i="1"/>
  <c r="E3722" i="1"/>
  <c r="F3722" i="1"/>
  <c r="G3722" i="1" s="1"/>
  <c r="A3723" i="1"/>
  <c r="B3723" i="1" s="1"/>
  <c r="C3723" i="1"/>
  <c r="D3723" i="1"/>
  <c r="E3723" i="1"/>
  <c r="F3723" i="1"/>
  <c r="G3723" i="1" s="1"/>
  <c r="A3724" i="1"/>
  <c r="B3724" i="1" s="1"/>
  <c r="C3724" i="1"/>
  <c r="D3724" i="1"/>
  <c r="E3724" i="1"/>
  <c r="F3724" i="1"/>
  <c r="G3724" i="1" s="1"/>
  <c r="A3725" i="1"/>
  <c r="B3725" i="1" s="1"/>
  <c r="C3725" i="1"/>
  <c r="D3725" i="1"/>
  <c r="E3725" i="1"/>
  <c r="F3725" i="1"/>
  <c r="G3725" i="1" s="1"/>
  <c r="A3726" i="1"/>
  <c r="B3726" i="1" s="1"/>
  <c r="C3726" i="1"/>
  <c r="D3726" i="1"/>
  <c r="E3726" i="1"/>
  <c r="F3726" i="1"/>
  <c r="G3726" i="1" s="1"/>
  <c r="A3727" i="1"/>
  <c r="B3727" i="1" s="1"/>
  <c r="C3727" i="1"/>
  <c r="D3727" i="1"/>
  <c r="E3727" i="1"/>
  <c r="F3727" i="1"/>
  <c r="G3727" i="1" s="1"/>
  <c r="A3728" i="1"/>
  <c r="B3728" i="1" s="1"/>
  <c r="C3728" i="1"/>
  <c r="D3728" i="1"/>
  <c r="E3728" i="1"/>
  <c r="F3728" i="1"/>
  <c r="G3728" i="1" s="1"/>
  <c r="A3729" i="1"/>
  <c r="B3729" i="1" s="1"/>
  <c r="C3729" i="1"/>
  <c r="D3729" i="1"/>
  <c r="E3729" i="1"/>
  <c r="F3729" i="1"/>
  <c r="G3729" i="1" s="1"/>
  <c r="A3730" i="1"/>
  <c r="B3730" i="1" s="1"/>
  <c r="C3730" i="1"/>
  <c r="D3730" i="1"/>
  <c r="E3730" i="1"/>
  <c r="F3730" i="1"/>
  <c r="G3730" i="1" s="1"/>
  <c r="A3731" i="1"/>
  <c r="B3731" i="1" s="1"/>
  <c r="C3731" i="1"/>
  <c r="D3731" i="1"/>
  <c r="E3731" i="1"/>
  <c r="F3731" i="1"/>
  <c r="G3731" i="1" s="1"/>
  <c r="A3732" i="1"/>
  <c r="B3732" i="1" s="1"/>
  <c r="C3732" i="1"/>
  <c r="D3732" i="1"/>
  <c r="E3732" i="1"/>
  <c r="F3732" i="1"/>
  <c r="G3732" i="1" s="1"/>
  <c r="A3733" i="1"/>
  <c r="B3733" i="1" s="1"/>
  <c r="C3733" i="1"/>
  <c r="D3733" i="1"/>
  <c r="E3733" i="1"/>
  <c r="F3733" i="1"/>
  <c r="G3733" i="1" s="1"/>
  <c r="A3734" i="1"/>
  <c r="B3734" i="1"/>
  <c r="C3734" i="1"/>
  <c r="D3734" i="1"/>
  <c r="E3734" i="1"/>
  <c r="F3734" i="1"/>
  <c r="G3734" i="1" s="1"/>
  <c r="A3735" i="1"/>
  <c r="B3735" i="1" s="1"/>
  <c r="C3735" i="1"/>
  <c r="D3735" i="1"/>
  <c r="E3735" i="1"/>
  <c r="F3735" i="1"/>
  <c r="G3735" i="1" s="1"/>
  <c r="A3736" i="1"/>
  <c r="B3736" i="1" s="1"/>
  <c r="C3736" i="1"/>
  <c r="D3736" i="1"/>
  <c r="E3736" i="1"/>
  <c r="F3736" i="1"/>
  <c r="G3736" i="1" s="1"/>
  <c r="A3737" i="1"/>
  <c r="B3737" i="1" s="1"/>
  <c r="C3737" i="1"/>
  <c r="D3737" i="1"/>
  <c r="E3737" i="1"/>
  <c r="F3737" i="1"/>
  <c r="G3737" i="1" s="1"/>
  <c r="A3738" i="1"/>
  <c r="B3738" i="1" s="1"/>
  <c r="C3738" i="1"/>
  <c r="D3738" i="1"/>
  <c r="E3738" i="1"/>
  <c r="F3738" i="1"/>
  <c r="G3738" i="1" s="1"/>
  <c r="A3739" i="1"/>
  <c r="B3739" i="1" s="1"/>
  <c r="C3739" i="1"/>
  <c r="D3739" i="1"/>
  <c r="E3739" i="1"/>
  <c r="F3739" i="1"/>
  <c r="G3739" i="1" s="1"/>
  <c r="A3740" i="1"/>
  <c r="B3740" i="1" s="1"/>
  <c r="C3740" i="1"/>
  <c r="D3740" i="1"/>
  <c r="E3740" i="1"/>
  <c r="F3740" i="1"/>
  <c r="G3740" i="1" s="1"/>
  <c r="A3741" i="1"/>
  <c r="B3741" i="1" s="1"/>
  <c r="C3741" i="1"/>
  <c r="D3741" i="1"/>
  <c r="E3741" i="1"/>
  <c r="F3741" i="1"/>
  <c r="G3741" i="1" s="1"/>
  <c r="A3742" i="1"/>
  <c r="B3742" i="1" s="1"/>
  <c r="C3742" i="1"/>
  <c r="D3742" i="1"/>
  <c r="E3742" i="1"/>
  <c r="F3742" i="1"/>
  <c r="G3742" i="1" s="1"/>
  <c r="A3743" i="1"/>
  <c r="B3743" i="1" s="1"/>
  <c r="C3743" i="1"/>
  <c r="D3743" i="1"/>
  <c r="E3743" i="1"/>
  <c r="F3743" i="1"/>
  <c r="G3743" i="1" s="1"/>
  <c r="A3744" i="1"/>
  <c r="B3744" i="1" s="1"/>
  <c r="C3744" i="1"/>
  <c r="D3744" i="1"/>
  <c r="E3744" i="1"/>
  <c r="F3744" i="1"/>
  <c r="G3744" i="1" s="1"/>
  <c r="A3745" i="1"/>
  <c r="B3745" i="1" s="1"/>
  <c r="C3745" i="1"/>
  <c r="D3745" i="1"/>
  <c r="E3745" i="1"/>
  <c r="F3745" i="1"/>
  <c r="G3745" i="1" s="1"/>
  <c r="A3746" i="1"/>
  <c r="B3746" i="1" s="1"/>
  <c r="C3746" i="1"/>
  <c r="D3746" i="1"/>
  <c r="E3746" i="1"/>
  <c r="F3746" i="1"/>
  <c r="G3746" i="1" s="1"/>
  <c r="A3747" i="1"/>
  <c r="B3747" i="1"/>
  <c r="C3747" i="1"/>
  <c r="D3747" i="1"/>
  <c r="E3747" i="1"/>
  <c r="F3747" i="1"/>
  <c r="G3747" i="1" s="1"/>
  <c r="A3748" i="1"/>
  <c r="B3748" i="1"/>
  <c r="C3748" i="1"/>
  <c r="D3748" i="1"/>
  <c r="E3748" i="1"/>
  <c r="F3748" i="1"/>
  <c r="G3748" i="1" s="1"/>
  <c r="A3749" i="1"/>
  <c r="B3749" i="1" s="1"/>
  <c r="C3749" i="1"/>
  <c r="D3749" i="1"/>
  <c r="E3749" i="1"/>
  <c r="F3749" i="1"/>
  <c r="G3749" i="1" s="1"/>
  <c r="A3750" i="1"/>
  <c r="B3750" i="1" s="1"/>
  <c r="C3750" i="1"/>
  <c r="D3750" i="1"/>
  <c r="E3750" i="1"/>
  <c r="F3750" i="1"/>
  <c r="G3750" i="1" s="1"/>
  <c r="A3751" i="1"/>
  <c r="B3751" i="1"/>
  <c r="C3751" i="1"/>
  <c r="D3751" i="1"/>
  <c r="E3751" i="1"/>
  <c r="F3751" i="1"/>
  <c r="G3751" i="1" s="1"/>
  <c r="A3752" i="1"/>
  <c r="B3752" i="1" s="1"/>
  <c r="C3752" i="1"/>
  <c r="D3752" i="1"/>
  <c r="E3752" i="1"/>
  <c r="F3752" i="1"/>
  <c r="G3752" i="1" s="1"/>
  <c r="A3753" i="1"/>
  <c r="B3753" i="1" s="1"/>
  <c r="C3753" i="1"/>
  <c r="D3753" i="1"/>
  <c r="E3753" i="1"/>
  <c r="F3753" i="1"/>
  <c r="G3753" i="1" s="1"/>
  <c r="A3754" i="1"/>
  <c r="B3754" i="1" s="1"/>
  <c r="C3754" i="1"/>
  <c r="D3754" i="1"/>
  <c r="E3754" i="1"/>
  <c r="F3754" i="1"/>
  <c r="G3754" i="1" s="1"/>
  <c r="A3755" i="1"/>
  <c r="B3755" i="1" s="1"/>
  <c r="C3755" i="1"/>
  <c r="D3755" i="1"/>
  <c r="E3755" i="1"/>
  <c r="F3755" i="1"/>
  <c r="G3755" i="1" s="1"/>
  <c r="A3756" i="1"/>
  <c r="B3756" i="1" s="1"/>
  <c r="C3756" i="1"/>
  <c r="D3756" i="1"/>
  <c r="E3756" i="1"/>
  <c r="F3756" i="1"/>
  <c r="G3756" i="1" s="1"/>
  <c r="A3757" i="1"/>
  <c r="B3757" i="1" s="1"/>
  <c r="C3757" i="1"/>
  <c r="D3757" i="1"/>
  <c r="E3757" i="1"/>
  <c r="F3757" i="1"/>
  <c r="G3757" i="1" s="1"/>
  <c r="A3758" i="1"/>
  <c r="B3758" i="1" s="1"/>
  <c r="C3758" i="1"/>
  <c r="D3758" i="1"/>
  <c r="E3758" i="1"/>
  <c r="F3758" i="1"/>
  <c r="G3758" i="1" s="1"/>
  <c r="A3759" i="1"/>
  <c r="B3759" i="1"/>
  <c r="C3759" i="1"/>
  <c r="D3759" i="1"/>
  <c r="E3759" i="1"/>
  <c r="F3759" i="1"/>
  <c r="G3759" i="1" s="1"/>
  <c r="A3760" i="1"/>
  <c r="B3760" i="1" s="1"/>
  <c r="C3760" i="1"/>
  <c r="D3760" i="1"/>
  <c r="E3760" i="1"/>
  <c r="F3760" i="1"/>
  <c r="G3760" i="1" s="1"/>
  <c r="A3761" i="1"/>
  <c r="B3761" i="1" s="1"/>
  <c r="C3761" i="1"/>
  <c r="D3761" i="1"/>
  <c r="E3761" i="1"/>
  <c r="F3761" i="1"/>
  <c r="G3761" i="1" s="1"/>
  <c r="A3762" i="1"/>
  <c r="B3762" i="1" s="1"/>
  <c r="C3762" i="1"/>
  <c r="D3762" i="1"/>
  <c r="E3762" i="1"/>
  <c r="F3762" i="1"/>
  <c r="G3762" i="1"/>
  <c r="A3763" i="1"/>
  <c r="B3763" i="1" s="1"/>
  <c r="C3763" i="1"/>
  <c r="D3763" i="1"/>
  <c r="E3763" i="1"/>
  <c r="F3763" i="1"/>
  <c r="G3763" i="1" s="1"/>
  <c r="A3764" i="1"/>
  <c r="B3764" i="1" s="1"/>
  <c r="C3764" i="1"/>
  <c r="D3764" i="1"/>
  <c r="E3764" i="1"/>
  <c r="F3764" i="1"/>
  <c r="G3764" i="1"/>
  <c r="A3765" i="1"/>
  <c r="B3765" i="1" s="1"/>
  <c r="C3765" i="1"/>
  <c r="D3765" i="1"/>
  <c r="E3765" i="1"/>
  <c r="F3765" i="1"/>
  <c r="G3765" i="1" s="1"/>
  <c r="A3766" i="1"/>
  <c r="B3766" i="1" s="1"/>
  <c r="C3766" i="1"/>
  <c r="D3766" i="1"/>
  <c r="E3766" i="1"/>
  <c r="F3766" i="1"/>
  <c r="G3766" i="1" s="1"/>
  <c r="A3767" i="1"/>
  <c r="B3767" i="1" s="1"/>
  <c r="C3767" i="1"/>
  <c r="D3767" i="1"/>
  <c r="E3767" i="1"/>
  <c r="F3767" i="1"/>
  <c r="G3767" i="1" s="1"/>
  <c r="A3768" i="1"/>
  <c r="B3768" i="1" s="1"/>
  <c r="C3768" i="1"/>
  <c r="D3768" i="1"/>
  <c r="E3768" i="1"/>
  <c r="F3768" i="1"/>
  <c r="G3768" i="1" s="1"/>
  <c r="A3769" i="1"/>
  <c r="B3769" i="1" s="1"/>
  <c r="C3769" i="1"/>
  <c r="D3769" i="1"/>
  <c r="E3769" i="1"/>
  <c r="F3769" i="1"/>
  <c r="G3769" i="1" s="1"/>
  <c r="A3770" i="1"/>
  <c r="B3770" i="1" s="1"/>
  <c r="C3770" i="1"/>
  <c r="D3770" i="1"/>
  <c r="E3770" i="1"/>
  <c r="F3770" i="1"/>
  <c r="G3770" i="1" s="1"/>
  <c r="A3771" i="1"/>
  <c r="B3771" i="1"/>
  <c r="C3771" i="1"/>
  <c r="D3771" i="1"/>
  <c r="E3771" i="1"/>
  <c r="F3771" i="1"/>
  <c r="G3771" i="1" s="1"/>
  <c r="A3772" i="1"/>
  <c r="B3772" i="1" s="1"/>
  <c r="C3772" i="1"/>
  <c r="D3772" i="1"/>
  <c r="E3772" i="1"/>
  <c r="F3772" i="1"/>
  <c r="G3772" i="1" s="1"/>
  <c r="A3773" i="1"/>
  <c r="B3773" i="1" s="1"/>
  <c r="C3773" i="1"/>
  <c r="D3773" i="1"/>
  <c r="E3773" i="1"/>
  <c r="F3773" i="1"/>
  <c r="G3773" i="1"/>
  <c r="A3774" i="1"/>
  <c r="B3774" i="1" s="1"/>
  <c r="C3774" i="1"/>
  <c r="D3774" i="1"/>
  <c r="E3774" i="1"/>
  <c r="F3774" i="1"/>
  <c r="G3774" i="1" s="1"/>
  <c r="A3775" i="1"/>
  <c r="B3775" i="1"/>
  <c r="C3775" i="1"/>
  <c r="D3775" i="1"/>
  <c r="E3775" i="1"/>
  <c r="F3775" i="1"/>
  <c r="G3775" i="1" s="1"/>
  <c r="A3776" i="1"/>
  <c r="B3776" i="1" s="1"/>
  <c r="C3776" i="1"/>
  <c r="D3776" i="1"/>
  <c r="E3776" i="1"/>
  <c r="F3776" i="1"/>
  <c r="G3776" i="1" s="1"/>
  <c r="A3777" i="1"/>
  <c r="B3777" i="1" s="1"/>
  <c r="C3777" i="1"/>
  <c r="D3777" i="1"/>
  <c r="E3777" i="1"/>
  <c r="F3777" i="1"/>
  <c r="G3777" i="1" s="1"/>
  <c r="A3778" i="1"/>
  <c r="B3778" i="1"/>
  <c r="C3778" i="1"/>
  <c r="D3778" i="1"/>
  <c r="E3778" i="1"/>
  <c r="F3778" i="1"/>
  <c r="G3778" i="1" s="1"/>
  <c r="A3779" i="1"/>
  <c r="B3779" i="1" s="1"/>
  <c r="C3779" i="1"/>
  <c r="D3779" i="1"/>
  <c r="E3779" i="1"/>
  <c r="F3779" i="1"/>
  <c r="G3779" i="1" s="1"/>
  <c r="A3780" i="1"/>
  <c r="B3780" i="1" s="1"/>
  <c r="C3780" i="1"/>
  <c r="D3780" i="1"/>
  <c r="E3780" i="1"/>
  <c r="F3780" i="1"/>
  <c r="G3780" i="1" s="1"/>
  <c r="A3781" i="1"/>
  <c r="B3781" i="1" s="1"/>
  <c r="C3781" i="1"/>
  <c r="D3781" i="1"/>
  <c r="E3781" i="1"/>
  <c r="F3781" i="1"/>
  <c r="G3781" i="1" s="1"/>
  <c r="A3782" i="1"/>
  <c r="B3782" i="1" s="1"/>
  <c r="C3782" i="1"/>
  <c r="D3782" i="1"/>
  <c r="E3782" i="1"/>
  <c r="F3782" i="1"/>
  <c r="G3782" i="1"/>
  <c r="A3783" i="1"/>
  <c r="B3783" i="1" s="1"/>
  <c r="C3783" i="1"/>
  <c r="D3783" i="1"/>
  <c r="E3783" i="1"/>
  <c r="F3783" i="1"/>
  <c r="G3783" i="1" s="1"/>
  <c r="A3784" i="1"/>
  <c r="B3784" i="1"/>
  <c r="C3784" i="1"/>
  <c r="D3784" i="1"/>
  <c r="E3784" i="1"/>
  <c r="F3784" i="1"/>
  <c r="G3784" i="1"/>
  <c r="A3785" i="1"/>
  <c r="B3785" i="1" s="1"/>
  <c r="C3785" i="1"/>
  <c r="D3785" i="1"/>
  <c r="E3785" i="1"/>
  <c r="F3785" i="1"/>
  <c r="G3785" i="1" s="1"/>
  <c r="A3786" i="1"/>
  <c r="B3786" i="1" s="1"/>
  <c r="C3786" i="1"/>
  <c r="D3786" i="1"/>
  <c r="E3786" i="1"/>
  <c r="F3786" i="1"/>
  <c r="G3786" i="1" s="1"/>
  <c r="A3787" i="1"/>
  <c r="B3787" i="1" s="1"/>
  <c r="C3787" i="1"/>
  <c r="D3787" i="1"/>
  <c r="E3787" i="1"/>
  <c r="F3787" i="1"/>
  <c r="G3787" i="1" s="1"/>
  <c r="A3788" i="1"/>
  <c r="B3788" i="1" s="1"/>
  <c r="C3788" i="1"/>
  <c r="D3788" i="1"/>
  <c r="E3788" i="1"/>
  <c r="F3788" i="1"/>
  <c r="G3788" i="1" s="1"/>
  <c r="A3789" i="1"/>
  <c r="B3789" i="1" s="1"/>
  <c r="C3789" i="1"/>
  <c r="D3789" i="1"/>
  <c r="E3789" i="1"/>
  <c r="F3789" i="1"/>
  <c r="G3789" i="1" s="1"/>
  <c r="A3790" i="1"/>
  <c r="B3790" i="1" s="1"/>
  <c r="C3790" i="1"/>
  <c r="D3790" i="1"/>
  <c r="E3790" i="1"/>
  <c r="F3790" i="1"/>
  <c r="G3790" i="1" s="1"/>
  <c r="A3791" i="1"/>
  <c r="B3791" i="1" s="1"/>
  <c r="C3791" i="1"/>
  <c r="D3791" i="1"/>
  <c r="E3791" i="1"/>
  <c r="F3791" i="1"/>
  <c r="G3791" i="1" s="1"/>
  <c r="A3792" i="1"/>
  <c r="B3792" i="1" s="1"/>
  <c r="C3792" i="1"/>
  <c r="D3792" i="1"/>
  <c r="E3792" i="1"/>
  <c r="F3792" i="1"/>
  <c r="G3792" i="1" s="1"/>
  <c r="A3793" i="1"/>
  <c r="B3793" i="1"/>
  <c r="C3793" i="1"/>
  <c r="D3793" i="1"/>
  <c r="E3793" i="1"/>
  <c r="F3793" i="1"/>
  <c r="G3793" i="1" s="1"/>
  <c r="A3794" i="1"/>
  <c r="B3794" i="1" s="1"/>
  <c r="C3794" i="1"/>
  <c r="D3794" i="1"/>
  <c r="E3794" i="1"/>
  <c r="F3794" i="1"/>
  <c r="G3794" i="1" s="1"/>
  <c r="A3795" i="1"/>
  <c r="B3795" i="1" s="1"/>
  <c r="C3795" i="1"/>
  <c r="D3795" i="1"/>
  <c r="E3795" i="1"/>
  <c r="F3795" i="1"/>
  <c r="G3795" i="1" s="1"/>
  <c r="A3796" i="1"/>
  <c r="B3796" i="1" s="1"/>
  <c r="C3796" i="1"/>
  <c r="D3796" i="1"/>
  <c r="E3796" i="1"/>
  <c r="F3796" i="1"/>
  <c r="G3796" i="1" s="1"/>
  <c r="A3797" i="1"/>
  <c r="B3797" i="1"/>
  <c r="C3797" i="1"/>
  <c r="D3797" i="1"/>
  <c r="E3797" i="1"/>
  <c r="F3797" i="1"/>
  <c r="G3797" i="1" s="1"/>
  <c r="A3798" i="1"/>
  <c r="B3798" i="1" s="1"/>
  <c r="C3798" i="1"/>
  <c r="D3798" i="1"/>
  <c r="E3798" i="1"/>
  <c r="F3798" i="1"/>
  <c r="G3798" i="1" s="1"/>
  <c r="A3799" i="1"/>
  <c r="B3799" i="1" s="1"/>
  <c r="C3799" i="1"/>
  <c r="D3799" i="1"/>
  <c r="E3799" i="1"/>
  <c r="F3799" i="1"/>
  <c r="G3799" i="1" s="1"/>
  <c r="A3800" i="1"/>
  <c r="B3800" i="1" s="1"/>
  <c r="C3800" i="1"/>
  <c r="D3800" i="1"/>
  <c r="E3800" i="1"/>
  <c r="F3800" i="1"/>
  <c r="G3800" i="1" s="1"/>
  <c r="A3801" i="1"/>
  <c r="B3801" i="1" s="1"/>
  <c r="C3801" i="1"/>
  <c r="D3801" i="1"/>
  <c r="E3801" i="1"/>
  <c r="F3801" i="1"/>
  <c r="G3801" i="1" s="1"/>
  <c r="A3802" i="1"/>
  <c r="B3802" i="1"/>
  <c r="C3802" i="1"/>
  <c r="D3802" i="1"/>
  <c r="E3802" i="1"/>
  <c r="F3802" i="1"/>
  <c r="G3802" i="1" s="1"/>
  <c r="A3803" i="1"/>
  <c r="B3803" i="1" s="1"/>
  <c r="C3803" i="1"/>
  <c r="D3803" i="1"/>
  <c r="E3803" i="1"/>
  <c r="F3803" i="1"/>
  <c r="G3803" i="1" s="1"/>
  <c r="A3804" i="1"/>
  <c r="B3804" i="1" s="1"/>
  <c r="C3804" i="1"/>
  <c r="D3804" i="1"/>
  <c r="E3804" i="1"/>
  <c r="F3804" i="1"/>
  <c r="G3804" i="1" s="1"/>
  <c r="A3805" i="1"/>
  <c r="B3805" i="1" s="1"/>
  <c r="C3805" i="1"/>
  <c r="D3805" i="1"/>
  <c r="E3805" i="1"/>
  <c r="F3805" i="1"/>
  <c r="G3805" i="1" s="1"/>
  <c r="A3806" i="1"/>
  <c r="B3806" i="1" s="1"/>
  <c r="C3806" i="1"/>
  <c r="D3806" i="1"/>
  <c r="E3806" i="1"/>
  <c r="F3806" i="1"/>
  <c r="G3806" i="1" s="1"/>
  <c r="A3807" i="1"/>
  <c r="B3807" i="1" s="1"/>
  <c r="C3807" i="1"/>
  <c r="D3807" i="1"/>
  <c r="E3807" i="1"/>
  <c r="F3807" i="1"/>
  <c r="G3807" i="1" s="1"/>
  <c r="A3808" i="1"/>
  <c r="B3808" i="1" s="1"/>
  <c r="C3808" i="1"/>
  <c r="D3808" i="1"/>
  <c r="E3808" i="1"/>
  <c r="F3808" i="1"/>
  <c r="G3808" i="1" s="1"/>
  <c r="A3809" i="1"/>
  <c r="B3809" i="1" s="1"/>
  <c r="C3809" i="1"/>
  <c r="D3809" i="1"/>
  <c r="E3809" i="1"/>
  <c r="F3809" i="1"/>
  <c r="G3809" i="1"/>
  <c r="A3810" i="1"/>
  <c r="B3810" i="1" s="1"/>
  <c r="C3810" i="1"/>
  <c r="D3810" i="1"/>
  <c r="E3810" i="1"/>
  <c r="F3810" i="1"/>
  <c r="G3810" i="1" s="1"/>
  <c r="A3811" i="1"/>
  <c r="B3811" i="1" s="1"/>
  <c r="C3811" i="1"/>
  <c r="D3811" i="1"/>
  <c r="E3811" i="1"/>
  <c r="F3811" i="1"/>
  <c r="G3811" i="1" s="1"/>
  <c r="A3812" i="1"/>
  <c r="B3812" i="1" s="1"/>
  <c r="C3812" i="1"/>
  <c r="D3812" i="1"/>
  <c r="E3812" i="1"/>
  <c r="F3812" i="1"/>
  <c r="G3812" i="1" s="1"/>
  <c r="A3813" i="1"/>
  <c r="B3813" i="1" s="1"/>
  <c r="C3813" i="1"/>
  <c r="D3813" i="1"/>
  <c r="E3813" i="1"/>
  <c r="F3813" i="1"/>
  <c r="G3813" i="1" s="1"/>
  <c r="A3814" i="1"/>
  <c r="B3814" i="1" s="1"/>
  <c r="C3814" i="1"/>
  <c r="D3814" i="1"/>
  <c r="E3814" i="1"/>
  <c r="F3814" i="1"/>
  <c r="G3814" i="1" s="1"/>
  <c r="A3815" i="1"/>
  <c r="B3815" i="1" s="1"/>
  <c r="C3815" i="1"/>
  <c r="D3815" i="1"/>
  <c r="E3815" i="1"/>
  <c r="F3815" i="1"/>
  <c r="G3815" i="1" s="1"/>
  <c r="A3816" i="1"/>
  <c r="B3816" i="1" s="1"/>
  <c r="C3816" i="1"/>
  <c r="D3816" i="1"/>
  <c r="E3816" i="1"/>
  <c r="F3816" i="1"/>
  <c r="G3816" i="1" s="1"/>
  <c r="A3817" i="1"/>
  <c r="B3817" i="1" s="1"/>
  <c r="C3817" i="1"/>
  <c r="D3817" i="1"/>
  <c r="E3817" i="1"/>
  <c r="F3817" i="1"/>
  <c r="G3817" i="1" s="1"/>
  <c r="A3818" i="1"/>
  <c r="B3818" i="1" s="1"/>
  <c r="C3818" i="1"/>
  <c r="D3818" i="1"/>
  <c r="E3818" i="1"/>
  <c r="F3818" i="1"/>
  <c r="G3818" i="1" s="1"/>
  <c r="A3819" i="1"/>
  <c r="B3819" i="1" s="1"/>
  <c r="C3819" i="1"/>
  <c r="D3819" i="1"/>
  <c r="E3819" i="1"/>
  <c r="F3819" i="1"/>
  <c r="G3819" i="1" s="1"/>
  <c r="A3820" i="1"/>
  <c r="B3820" i="1"/>
  <c r="C3820" i="1"/>
  <c r="D3820" i="1"/>
  <c r="E3820" i="1"/>
  <c r="F3820" i="1"/>
  <c r="G3820" i="1" s="1"/>
  <c r="A3821" i="1"/>
  <c r="B3821" i="1" s="1"/>
  <c r="C3821" i="1"/>
  <c r="D3821" i="1"/>
  <c r="E3821" i="1"/>
  <c r="F3821" i="1"/>
  <c r="G3821" i="1" s="1"/>
  <c r="A3822" i="1"/>
  <c r="B3822" i="1" s="1"/>
  <c r="C3822" i="1"/>
  <c r="D3822" i="1"/>
  <c r="E3822" i="1"/>
  <c r="F3822" i="1"/>
  <c r="G3822" i="1" s="1"/>
  <c r="A3823" i="1"/>
  <c r="B3823" i="1" s="1"/>
  <c r="C3823" i="1"/>
  <c r="D3823" i="1"/>
  <c r="E3823" i="1"/>
  <c r="F3823" i="1"/>
  <c r="G3823" i="1" s="1"/>
  <c r="A3824" i="1"/>
  <c r="B3824" i="1" s="1"/>
  <c r="C3824" i="1"/>
  <c r="D3824" i="1"/>
  <c r="E3824" i="1"/>
  <c r="F3824" i="1"/>
  <c r="G3824" i="1" s="1"/>
  <c r="A3825" i="1"/>
  <c r="B3825" i="1" s="1"/>
  <c r="C3825" i="1"/>
  <c r="D3825" i="1"/>
  <c r="E3825" i="1"/>
  <c r="F3825" i="1"/>
  <c r="G3825" i="1" s="1"/>
  <c r="A3826" i="1"/>
  <c r="B3826" i="1" s="1"/>
  <c r="C3826" i="1"/>
  <c r="D3826" i="1"/>
  <c r="E3826" i="1"/>
  <c r="F3826" i="1"/>
  <c r="G3826" i="1" s="1"/>
  <c r="A3827" i="1"/>
  <c r="B3827" i="1" s="1"/>
  <c r="C3827" i="1"/>
  <c r="D3827" i="1"/>
  <c r="E3827" i="1"/>
  <c r="F3827" i="1"/>
  <c r="G3827" i="1" s="1"/>
  <c r="A3828" i="1"/>
  <c r="B3828" i="1" s="1"/>
  <c r="C3828" i="1"/>
  <c r="D3828" i="1"/>
  <c r="E3828" i="1"/>
  <c r="F3828" i="1"/>
  <c r="G3828" i="1" s="1"/>
  <c r="A3829" i="1"/>
  <c r="B3829" i="1"/>
  <c r="C3829" i="1"/>
  <c r="D3829" i="1"/>
  <c r="E3829" i="1"/>
  <c r="F3829" i="1"/>
  <c r="G3829" i="1" s="1"/>
  <c r="A3830" i="1"/>
  <c r="B3830" i="1" s="1"/>
  <c r="C3830" i="1"/>
  <c r="D3830" i="1"/>
  <c r="E3830" i="1"/>
  <c r="F3830" i="1"/>
  <c r="G3830" i="1" s="1"/>
  <c r="A3831" i="1"/>
  <c r="B3831" i="1" s="1"/>
  <c r="C3831" i="1"/>
  <c r="D3831" i="1"/>
  <c r="E3831" i="1"/>
  <c r="F3831" i="1"/>
  <c r="G3831" i="1" s="1"/>
  <c r="A3832" i="1"/>
  <c r="B3832" i="1" s="1"/>
  <c r="C3832" i="1"/>
  <c r="D3832" i="1"/>
  <c r="E3832" i="1"/>
  <c r="F3832" i="1"/>
  <c r="G3832" i="1" s="1"/>
  <c r="A3833" i="1"/>
  <c r="B3833" i="1"/>
  <c r="C3833" i="1"/>
  <c r="D3833" i="1"/>
  <c r="E3833" i="1"/>
  <c r="F3833" i="1"/>
  <c r="G3833" i="1" s="1"/>
  <c r="A3834" i="1"/>
  <c r="B3834" i="1" s="1"/>
  <c r="C3834" i="1"/>
  <c r="D3834" i="1"/>
  <c r="E3834" i="1"/>
  <c r="F3834" i="1"/>
  <c r="G3834" i="1" s="1"/>
  <c r="A3835" i="1"/>
  <c r="B3835" i="1" s="1"/>
  <c r="C3835" i="1"/>
  <c r="D3835" i="1"/>
  <c r="E3835" i="1"/>
  <c r="F3835" i="1"/>
  <c r="G3835" i="1" s="1"/>
  <c r="A3836" i="1"/>
  <c r="B3836" i="1" s="1"/>
  <c r="C3836" i="1"/>
  <c r="D3836" i="1"/>
  <c r="E3836" i="1"/>
  <c r="F3836" i="1"/>
  <c r="G3836" i="1" s="1"/>
  <c r="A3837" i="1"/>
  <c r="B3837" i="1" s="1"/>
  <c r="C3837" i="1"/>
  <c r="D3837" i="1"/>
  <c r="E3837" i="1"/>
  <c r="F3837" i="1"/>
  <c r="G3837" i="1" s="1"/>
  <c r="A3838" i="1"/>
  <c r="B3838" i="1" s="1"/>
  <c r="C3838" i="1"/>
  <c r="D3838" i="1"/>
  <c r="E3838" i="1"/>
  <c r="F3838" i="1"/>
  <c r="G3838" i="1" s="1"/>
  <c r="A3839" i="1"/>
  <c r="B3839" i="1" s="1"/>
  <c r="C3839" i="1"/>
  <c r="D3839" i="1"/>
  <c r="E3839" i="1"/>
  <c r="F3839" i="1"/>
  <c r="G3839" i="1" s="1"/>
  <c r="A3840" i="1"/>
  <c r="B3840" i="1" s="1"/>
  <c r="C3840" i="1"/>
  <c r="D3840" i="1"/>
  <c r="E3840" i="1"/>
  <c r="F3840" i="1"/>
  <c r="G3840" i="1" s="1"/>
  <c r="A3841" i="1"/>
  <c r="B3841" i="1"/>
  <c r="C3841" i="1"/>
  <c r="D3841" i="1"/>
  <c r="E3841" i="1"/>
  <c r="F3841" i="1"/>
  <c r="G3841" i="1" s="1"/>
  <c r="A3842" i="1"/>
  <c r="B3842" i="1" s="1"/>
  <c r="C3842" i="1"/>
  <c r="D3842" i="1"/>
  <c r="E3842" i="1"/>
  <c r="F3842" i="1"/>
  <c r="G3842" i="1" s="1"/>
  <c r="A3843" i="1"/>
  <c r="B3843" i="1" s="1"/>
  <c r="C3843" i="1"/>
  <c r="D3843" i="1"/>
  <c r="E3843" i="1"/>
  <c r="F3843" i="1"/>
  <c r="G3843" i="1" s="1"/>
  <c r="A3844" i="1"/>
  <c r="B3844" i="1" s="1"/>
  <c r="C3844" i="1"/>
  <c r="D3844" i="1"/>
  <c r="E3844" i="1"/>
  <c r="F3844" i="1"/>
  <c r="G3844" i="1" s="1"/>
  <c r="A3845" i="1"/>
  <c r="B3845" i="1" s="1"/>
  <c r="C3845" i="1"/>
  <c r="D3845" i="1"/>
  <c r="E3845" i="1"/>
  <c r="F3845" i="1"/>
  <c r="G3845" i="1" s="1"/>
  <c r="A3846" i="1"/>
  <c r="B3846" i="1" s="1"/>
  <c r="C3846" i="1"/>
  <c r="D3846" i="1"/>
  <c r="E3846" i="1"/>
  <c r="F3846" i="1"/>
  <c r="G3846" i="1" s="1"/>
  <c r="A3847" i="1"/>
  <c r="B3847" i="1" s="1"/>
  <c r="C3847" i="1"/>
  <c r="D3847" i="1"/>
  <c r="E3847" i="1"/>
  <c r="F3847" i="1"/>
  <c r="G3847" i="1" s="1"/>
  <c r="A3848" i="1"/>
  <c r="B3848" i="1" s="1"/>
  <c r="C3848" i="1"/>
  <c r="D3848" i="1"/>
  <c r="E3848" i="1"/>
  <c r="F3848" i="1"/>
  <c r="G3848" i="1" s="1"/>
  <c r="A3849" i="1"/>
  <c r="B3849" i="1" s="1"/>
  <c r="C3849" i="1"/>
  <c r="D3849" i="1"/>
  <c r="E3849" i="1"/>
  <c r="F3849" i="1"/>
  <c r="G3849" i="1" s="1"/>
  <c r="A3850" i="1"/>
  <c r="B3850" i="1" s="1"/>
  <c r="C3850" i="1"/>
  <c r="D3850" i="1"/>
  <c r="E3850" i="1"/>
  <c r="F3850" i="1"/>
  <c r="G3850" i="1" s="1"/>
  <c r="A3851" i="1"/>
  <c r="B3851" i="1" s="1"/>
  <c r="C3851" i="1"/>
  <c r="D3851" i="1"/>
  <c r="E3851" i="1"/>
  <c r="F3851" i="1"/>
  <c r="G3851" i="1" s="1"/>
  <c r="A3852" i="1"/>
  <c r="B3852" i="1" s="1"/>
  <c r="C3852" i="1"/>
  <c r="D3852" i="1"/>
  <c r="E3852" i="1"/>
  <c r="F3852" i="1"/>
  <c r="G3852" i="1" s="1"/>
  <c r="A3853" i="1"/>
  <c r="B3853" i="1" s="1"/>
  <c r="C3853" i="1"/>
  <c r="D3853" i="1"/>
  <c r="E3853" i="1"/>
  <c r="F3853" i="1"/>
  <c r="G3853" i="1" s="1"/>
  <c r="A3854" i="1"/>
  <c r="B3854" i="1" s="1"/>
  <c r="C3854" i="1"/>
  <c r="D3854" i="1"/>
  <c r="E3854" i="1"/>
  <c r="F3854" i="1"/>
  <c r="G3854" i="1"/>
  <c r="A3855" i="1"/>
  <c r="B3855" i="1"/>
  <c r="C3855" i="1"/>
  <c r="D3855" i="1"/>
  <c r="E3855" i="1"/>
  <c r="F3855" i="1"/>
  <c r="G3855" i="1" s="1"/>
  <c r="A3856" i="1"/>
  <c r="B3856" i="1" s="1"/>
  <c r="C3856" i="1"/>
  <c r="D3856" i="1"/>
  <c r="E3856" i="1"/>
  <c r="F3856" i="1"/>
  <c r="G3856" i="1" s="1"/>
  <c r="A3857" i="1"/>
  <c r="B3857" i="1" s="1"/>
  <c r="C3857" i="1"/>
  <c r="D3857" i="1"/>
  <c r="E3857" i="1"/>
  <c r="F3857" i="1"/>
  <c r="G3857" i="1" s="1"/>
  <c r="A3858" i="1"/>
  <c r="B3858" i="1" s="1"/>
  <c r="C3858" i="1"/>
  <c r="D3858" i="1"/>
  <c r="E3858" i="1"/>
  <c r="F3858" i="1"/>
  <c r="G3858" i="1" s="1"/>
  <c r="A3859" i="1"/>
  <c r="B3859" i="1" s="1"/>
  <c r="C3859" i="1"/>
  <c r="D3859" i="1"/>
  <c r="E3859" i="1"/>
  <c r="F3859" i="1"/>
  <c r="G3859" i="1" s="1"/>
  <c r="A3860" i="1"/>
  <c r="B3860" i="1" s="1"/>
  <c r="C3860" i="1"/>
  <c r="D3860" i="1"/>
  <c r="E3860" i="1"/>
  <c r="F3860" i="1"/>
  <c r="G3860" i="1" s="1"/>
  <c r="A3861" i="1"/>
  <c r="B3861" i="1" s="1"/>
  <c r="C3861" i="1"/>
  <c r="D3861" i="1"/>
  <c r="E3861" i="1"/>
  <c r="F3861" i="1"/>
  <c r="G3861" i="1" s="1"/>
  <c r="A3862" i="1"/>
  <c r="B3862" i="1" s="1"/>
  <c r="C3862" i="1"/>
  <c r="D3862" i="1"/>
  <c r="E3862" i="1"/>
  <c r="F3862" i="1"/>
  <c r="G3862" i="1" s="1"/>
  <c r="A3863" i="1"/>
  <c r="B3863" i="1" s="1"/>
  <c r="C3863" i="1"/>
  <c r="D3863" i="1"/>
  <c r="E3863" i="1"/>
  <c r="F3863" i="1"/>
  <c r="G3863" i="1" s="1"/>
  <c r="A3864" i="1"/>
  <c r="B3864" i="1" s="1"/>
  <c r="C3864" i="1"/>
  <c r="D3864" i="1"/>
  <c r="E3864" i="1"/>
  <c r="F3864" i="1"/>
  <c r="G3864" i="1" s="1"/>
  <c r="A3865" i="1"/>
  <c r="B3865" i="1" s="1"/>
  <c r="C3865" i="1"/>
  <c r="D3865" i="1"/>
  <c r="E3865" i="1"/>
  <c r="F3865" i="1"/>
  <c r="G3865" i="1" s="1"/>
  <c r="A3866" i="1"/>
  <c r="B3866" i="1" s="1"/>
  <c r="C3866" i="1"/>
  <c r="D3866" i="1"/>
  <c r="E3866" i="1"/>
  <c r="F3866" i="1"/>
  <c r="G3866" i="1" s="1"/>
  <c r="A3867" i="1"/>
  <c r="B3867" i="1" s="1"/>
  <c r="C3867" i="1"/>
  <c r="D3867" i="1"/>
  <c r="E3867" i="1"/>
  <c r="F3867" i="1"/>
  <c r="G3867" i="1" s="1"/>
  <c r="A3868" i="1"/>
  <c r="B3868" i="1" s="1"/>
  <c r="C3868" i="1"/>
  <c r="D3868" i="1"/>
  <c r="E3868" i="1"/>
  <c r="F3868" i="1"/>
  <c r="G3868" i="1" s="1"/>
  <c r="A3869" i="1"/>
  <c r="B3869" i="1" s="1"/>
  <c r="C3869" i="1"/>
  <c r="D3869" i="1"/>
  <c r="E3869" i="1"/>
  <c r="F3869" i="1"/>
  <c r="G3869" i="1" s="1"/>
  <c r="A3870" i="1"/>
  <c r="B3870" i="1" s="1"/>
  <c r="C3870" i="1"/>
  <c r="D3870" i="1"/>
  <c r="E3870" i="1"/>
  <c r="F3870" i="1"/>
  <c r="G3870" i="1" s="1"/>
  <c r="A3871" i="1"/>
  <c r="B3871" i="1" s="1"/>
  <c r="C3871" i="1"/>
  <c r="D3871" i="1"/>
  <c r="E3871" i="1"/>
  <c r="F3871" i="1"/>
  <c r="G3871" i="1"/>
  <c r="A3872" i="1"/>
  <c r="B3872" i="1" s="1"/>
  <c r="C3872" i="1"/>
  <c r="D3872" i="1"/>
  <c r="E3872" i="1"/>
  <c r="F3872" i="1"/>
  <c r="G3872" i="1" s="1"/>
  <c r="A3873" i="1"/>
  <c r="B3873" i="1" s="1"/>
  <c r="C3873" i="1"/>
  <c r="D3873" i="1"/>
  <c r="E3873" i="1"/>
  <c r="F3873" i="1"/>
  <c r="G3873" i="1" s="1"/>
  <c r="A3874" i="1"/>
  <c r="B3874" i="1" s="1"/>
  <c r="C3874" i="1"/>
  <c r="D3874" i="1"/>
  <c r="E3874" i="1"/>
  <c r="F3874" i="1"/>
  <c r="G3874" i="1" s="1"/>
  <c r="A3875" i="1"/>
  <c r="B3875" i="1" s="1"/>
  <c r="C3875" i="1"/>
  <c r="D3875" i="1"/>
  <c r="E3875" i="1"/>
  <c r="F3875" i="1"/>
  <c r="G3875" i="1" s="1"/>
  <c r="A3876" i="1"/>
  <c r="B3876" i="1" s="1"/>
  <c r="C3876" i="1"/>
  <c r="D3876" i="1"/>
  <c r="E3876" i="1"/>
  <c r="F3876" i="1"/>
  <c r="G3876" i="1" s="1"/>
  <c r="A3877" i="1"/>
  <c r="B3877" i="1" s="1"/>
  <c r="C3877" i="1"/>
  <c r="D3877" i="1"/>
  <c r="E3877" i="1"/>
  <c r="F3877" i="1"/>
  <c r="G3877" i="1" s="1"/>
  <c r="A3878" i="1"/>
  <c r="B3878" i="1" s="1"/>
  <c r="C3878" i="1"/>
  <c r="D3878" i="1"/>
  <c r="E3878" i="1"/>
  <c r="F3878" i="1"/>
  <c r="G3878" i="1" s="1"/>
  <c r="A3879" i="1"/>
  <c r="B3879" i="1" s="1"/>
  <c r="C3879" i="1"/>
  <c r="D3879" i="1"/>
  <c r="E3879" i="1"/>
  <c r="F3879" i="1"/>
  <c r="G3879" i="1" s="1"/>
  <c r="A3880" i="1"/>
  <c r="B3880" i="1" s="1"/>
  <c r="C3880" i="1"/>
  <c r="D3880" i="1"/>
  <c r="E3880" i="1"/>
  <c r="F3880" i="1"/>
  <c r="G3880" i="1" s="1"/>
  <c r="A3881" i="1"/>
  <c r="B3881" i="1" s="1"/>
  <c r="C3881" i="1"/>
  <c r="D3881" i="1"/>
  <c r="E3881" i="1"/>
  <c r="F3881" i="1"/>
  <c r="G3881" i="1" s="1"/>
  <c r="A3882" i="1"/>
  <c r="B3882" i="1" s="1"/>
  <c r="C3882" i="1"/>
  <c r="D3882" i="1"/>
  <c r="E3882" i="1"/>
  <c r="F3882" i="1"/>
  <c r="G3882" i="1" s="1"/>
  <c r="A3883" i="1"/>
  <c r="B3883" i="1" s="1"/>
  <c r="C3883" i="1"/>
  <c r="D3883" i="1"/>
  <c r="E3883" i="1"/>
  <c r="F3883" i="1"/>
  <c r="G3883" i="1" s="1"/>
  <c r="A3884" i="1"/>
  <c r="B3884" i="1" s="1"/>
  <c r="C3884" i="1"/>
  <c r="D3884" i="1"/>
  <c r="E3884" i="1"/>
  <c r="F3884" i="1"/>
  <c r="G3884" i="1" s="1"/>
  <c r="A3885" i="1"/>
  <c r="B3885" i="1" s="1"/>
  <c r="C3885" i="1"/>
  <c r="D3885" i="1"/>
  <c r="E3885" i="1"/>
  <c r="F3885" i="1"/>
  <c r="G3885" i="1" s="1"/>
  <c r="A3886" i="1"/>
  <c r="B3886" i="1" s="1"/>
  <c r="C3886" i="1"/>
  <c r="D3886" i="1"/>
  <c r="E3886" i="1"/>
  <c r="F3886" i="1"/>
  <c r="G3886" i="1" s="1"/>
  <c r="A3887" i="1"/>
  <c r="B3887" i="1" s="1"/>
  <c r="C3887" i="1"/>
  <c r="D3887" i="1"/>
  <c r="E3887" i="1"/>
  <c r="F3887" i="1"/>
  <c r="G3887" i="1" s="1"/>
  <c r="A3888" i="1"/>
  <c r="B3888" i="1" s="1"/>
  <c r="C3888" i="1"/>
  <c r="D3888" i="1"/>
  <c r="E3888" i="1"/>
  <c r="F3888" i="1"/>
  <c r="G3888" i="1" s="1"/>
  <c r="A3889" i="1"/>
  <c r="B3889" i="1" s="1"/>
  <c r="C3889" i="1"/>
  <c r="D3889" i="1"/>
  <c r="E3889" i="1"/>
  <c r="F3889" i="1"/>
  <c r="G3889" i="1" s="1"/>
  <c r="A3890" i="1"/>
  <c r="B3890" i="1" s="1"/>
  <c r="C3890" i="1"/>
  <c r="D3890" i="1"/>
  <c r="E3890" i="1"/>
  <c r="F3890" i="1"/>
  <c r="G3890" i="1" s="1"/>
  <c r="A3891" i="1"/>
  <c r="B3891" i="1" s="1"/>
  <c r="C3891" i="1"/>
  <c r="D3891" i="1"/>
  <c r="E3891" i="1"/>
  <c r="F3891" i="1"/>
  <c r="G3891" i="1" s="1"/>
  <c r="A3892" i="1"/>
  <c r="B3892" i="1" s="1"/>
  <c r="C3892" i="1"/>
  <c r="D3892" i="1"/>
  <c r="E3892" i="1"/>
  <c r="F3892" i="1"/>
  <c r="G3892" i="1" s="1"/>
  <c r="A3893" i="1"/>
  <c r="B3893" i="1"/>
  <c r="C3893" i="1"/>
  <c r="D3893" i="1"/>
  <c r="E3893" i="1"/>
  <c r="F3893" i="1"/>
  <c r="G3893" i="1" s="1"/>
  <c r="A3894" i="1"/>
  <c r="B3894" i="1" s="1"/>
  <c r="C3894" i="1"/>
  <c r="D3894" i="1"/>
  <c r="E3894" i="1"/>
  <c r="F3894" i="1"/>
  <c r="G3894" i="1" s="1"/>
  <c r="A3895" i="1"/>
  <c r="B3895" i="1" s="1"/>
  <c r="C3895" i="1"/>
  <c r="D3895" i="1"/>
  <c r="E3895" i="1"/>
  <c r="F3895" i="1"/>
  <c r="G3895" i="1" s="1"/>
  <c r="A3896" i="1"/>
  <c r="B3896" i="1" s="1"/>
  <c r="C3896" i="1"/>
  <c r="D3896" i="1"/>
  <c r="E3896" i="1"/>
  <c r="F3896" i="1"/>
  <c r="G3896" i="1" s="1"/>
  <c r="A3897" i="1"/>
  <c r="B3897" i="1" s="1"/>
  <c r="C3897" i="1"/>
  <c r="D3897" i="1"/>
  <c r="E3897" i="1"/>
  <c r="F3897" i="1"/>
  <c r="G3897" i="1" s="1"/>
  <c r="A3898" i="1"/>
  <c r="B3898" i="1" s="1"/>
  <c r="C3898" i="1"/>
  <c r="D3898" i="1"/>
  <c r="E3898" i="1"/>
  <c r="F3898" i="1"/>
  <c r="G3898" i="1" s="1"/>
  <c r="A3899" i="1"/>
  <c r="B3899" i="1" s="1"/>
  <c r="C3899" i="1"/>
  <c r="D3899" i="1"/>
  <c r="E3899" i="1"/>
  <c r="F3899" i="1"/>
  <c r="G3899" i="1" s="1"/>
  <c r="A3900" i="1"/>
  <c r="B3900" i="1" s="1"/>
  <c r="C3900" i="1"/>
  <c r="D3900" i="1"/>
  <c r="E3900" i="1"/>
  <c r="F3900" i="1"/>
  <c r="G3900" i="1" s="1"/>
  <c r="A3901" i="1"/>
  <c r="B3901" i="1" s="1"/>
  <c r="C3901" i="1"/>
  <c r="D3901" i="1"/>
  <c r="E3901" i="1"/>
  <c r="F3901" i="1"/>
  <c r="G3901" i="1" s="1"/>
  <c r="A3902" i="1"/>
  <c r="B3902" i="1" s="1"/>
  <c r="C3902" i="1"/>
  <c r="D3902" i="1"/>
  <c r="E3902" i="1"/>
  <c r="F3902" i="1"/>
  <c r="G3902" i="1" s="1"/>
  <c r="A3903" i="1"/>
  <c r="B3903" i="1" s="1"/>
  <c r="C3903" i="1"/>
  <c r="D3903" i="1"/>
  <c r="E3903" i="1"/>
  <c r="F3903" i="1"/>
  <c r="G3903" i="1" s="1"/>
  <c r="A3904" i="1"/>
  <c r="B3904" i="1"/>
  <c r="C3904" i="1"/>
  <c r="D3904" i="1"/>
  <c r="E3904" i="1"/>
  <c r="F3904" i="1"/>
  <c r="G3904" i="1" s="1"/>
  <c r="A3905" i="1"/>
  <c r="B3905" i="1" s="1"/>
  <c r="C3905" i="1"/>
  <c r="D3905" i="1"/>
  <c r="E3905" i="1"/>
  <c r="F3905" i="1"/>
  <c r="G3905" i="1" s="1"/>
  <c r="A3906" i="1"/>
  <c r="B3906" i="1" s="1"/>
  <c r="C3906" i="1"/>
  <c r="D3906" i="1"/>
  <c r="E3906" i="1"/>
  <c r="F3906" i="1"/>
  <c r="G3906" i="1" s="1"/>
  <c r="A3907" i="1"/>
  <c r="B3907" i="1" s="1"/>
  <c r="C3907" i="1"/>
  <c r="D3907" i="1"/>
  <c r="E3907" i="1"/>
  <c r="F3907" i="1"/>
  <c r="G3907" i="1" s="1"/>
  <c r="A3908" i="1"/>
  <c r="B3908" i="1" s="1"/>
  <c r="C3908" i="1"/>
  <c r="D3908" i="1"/>
  <c r="E3908" i="1"/>
  <c r="F3908" i="1"/>
  <c r="G3908" i="1" s="1"/>
  <c r="A3909" i="1"/>
  <c r="B3909" i="1" s="1"/>
  <c r="C3909" i="1"/>
  <c r="D3909" i="1"/>
  <c r="E3909" i="1"/>
  <c r="F3909" i="1"/>
  <c r="G3909" i="1" s="1"/>
  <c r="A3910" i="1"/>
  <c r="B3910" i="1" s="1"/>
  <c r="C3910" i="1"/>
  <c r="D3910" i="1"/>
  <c r="E3910" i="1"/>
  <c r="F3910" i="1"/>
  <c r="G3910" i="1" s="1"/>
  <c r="A3911" i="1"/>
  <c r="B3911" i="1" s="1"/>
  <c r="C3911" i="1"/>
  <c r="D3911" i="1"/>
  <c r="E3911" i="1"/>
  <c r="F3911" i="1"/>
  <c r="G3911" i="1" s="1"/>
  <c r="A3912" i="1"/>
  <c r="B3912" i="1" s="1"/>
  <c r="C3912" i="1"/>
  <c r="D3912" i="1"/>
  <c r="E3912" i="1"/>
  <c r="F3912" i="1"/>
  <c r="G3912" i="1" s="1"/>
  <c r="A3913" i="1"/>
  <c r="B3913" i="1" s="1"/>
  <c r="C3913" i="1"/>
  <c r="D3913" i="1"/>
  <c r="E3913" i="1"/>
  <c r="F3913" i="1"/>
  <c r="G3913" i="1" s="1"/>
  <c r="A3914" i="1"/>
  <c r="B3914" i="1" s="1"/>
  <c r="C3914" i="1"/>
  <c r="D3914" i="1"/>
  <c r="E3914" i="1"/>
  <c r="F3914" i="1"/>
  <c r="G3914" i="1" s="1"/>
  <c r="A3915" i="1"/>
  <c r="B3915" i="1" s="1"/>
  <c r="C3915" i="1"/>
  <c r="D3915" i="1"/>
  <c r="E3915" i="1"/>
  <c r="F3915" i="1"/>
  <c r="G3915" i="1" s="1"/>
  <c r="A3916" i="1"/>
  <c r="B3916" i="1"/>
  <c r="C3916" i="1"/>
  <c r="D3916" i="1"/>
  <c r="E3916" i="1"/>
  <c r="F3916" i="1"/>
  <c r="G3916" i="1" s="1"/>
  <c r="A3917" i="1"/>
  <c r="B3917" i="1" s="1"/>
  <c r="C3917" i="1"/>
  <c r="D3917" i="1"/>
  <c r="E3917" i="1"/>
  <c r="F3917" i="1"/>
  <c r="G3917" i="1" s="1"/>
  <c r="A3918" i="1"/>
  <c r="B3918" i="1" s="1"/>
  <c r="C3918" i="1"/>
  <c r="D3918" i="1"/>
  <c r="E3918" i="1"/>
  <c r="F3918" i="1"/>
  <c r="G3918" i="1" s="1"/>
  <c r="A3919" i="1"/>
  <c r="B3919" i="1" s="1"/>
  <c r="C3919" i="1"/>
  <c r="D3919" i="1"/>
  <c r="E3919" i="1"/>
  <c r="F3919" i="1"/>
  <c r="G3919" i="1" s="1"/>
  <c r="A3920" i="1"/>
  <c r="B3920" i="1"/>
  <c r="C3920" i="1"/>
  <c r="D3920" i="1"/>
  <c r="E3920" i="1"/>
  <c r="F3920" i="1"/>
  <c r="G3920" i="1" s="1"/>
  <c r="A3921" i="1"/>
  <c r="B3921" i="1" s="1"/>
  <c r="C3921" i="1"/>
  <c r="D3921" i="1"/>
  <c r="E3921" i="1"/>
  <c r="F3921" i="1"/>
  <c r="G3921" i="1" s="1"/>
  <c r="A3922" i="1"/>
  <c r="B3922" i="1" s="1"/>
  <c r="C3922" i="1"/>
  <c r="D3922" i="1"/>
  <c r="E3922" i="1"/>
  <c r="F3922" i="1"/>
  <c r="G3922" i="1" s="1"/>
  <c r="A3923" i="1"/>
  <c r="B3923" i="1" s="1"/>
  <c r="C3923" i="1"/>
  <c r="D3923" i="1"/>
  <c r="E3923" i="1"/>
  <c r="F3923" i="1"/>
  <c r="G3923" i="1" s="1"/>
  <c r="A3924" i="1"/>
  <c r="B3924" i="1" s="1"/>
  <c r="C3924" i="1"/>
  <c r="D3924" i="1"/>
  <c r="E3924" i="1"/>
  <c r="F3924" i="1"/>
  <c r="G3924" i="1" s="1"/>
  <c r="A3925" i="1"/>
  <c r="B3925" i="1" s="1"/>
  <c r="C3925" i="1"/>
  <c r="D3925" i="1"/>
  <c r="E3925" i="1"/>
  <c r="F3925" i="1"/>
  <c r="G3925" i="1" s="1"/>
  <c r="A3926" i="1"/>
  <c r="B3926" i="1" s="1"/>
  <c r="C3926" i="1"/>
  <c r="D3926" i="1"/>
  <c r="E3926" i="1"/>
  <c r="F3926" i="1"/>
  <c r="G3926" i="1" s="1"/>
  <c r="A3927" i="1"/>
  <c r="B3927" i="1" s="1"/>
  <c r="C3927" i="1"/>
  <c r="D3927" i="1"/>
  <c r="E3927" i="1"/>
  <c r="F3927" i="1"/>
  <c r="G3927" i="1" s="1"/>
  <c r="A3928" i="1"/>
  <c r="B3928" i="1" s="1"/>
  <c r="C3928" i="1"/>
  <c r="D3928" i="1"/>
  <c r="E3928" i="1"/>
  <c r="F3928" i="1"/>
  <c r="G3928" i="1" s="1"/>
  <c r="A3929" i="1"/>
  <c r="B3929" i="1"/>
  <c r="C3929" i="1"/>
  <c r="D3929" i="1"/>
  <c r="E3929" i="1"/>
  <c r="F3929" i="1"/>
  <c r="G3929" i="1" s="1"/>
  <c r="A3930" i="1"/>
  <c r="B3930" i="1" s="1"/>
  <c r="C3930" i="1"/>
  <c r="D3930" i="1"/>
  <c r="E3930" i="1"/>
  <c r="F3930" i="1"/>
  <c r="G3930" i="1" s="1"/>
  <c r="A3931" i="1"/>
  <c r="B3931" i="1" s="1"/>
  <c r="C3931" i="1"/>
  <c r="D3931" i="1"/>
  <c r="E3931" i="1"/>
  <c r="F3931" i="1"/>
  <c r="G3931" i="1" s="1"/>
  <c r="A3932" i="1"/>
  <c r="B3932" i="1" s="1"/>
  <c r="C3932" i="1"/>
  <c r="D3932" i="1"/>
  <c r="E3932" i="1"/>
  <c r="F3932" i="1"/>
  <c r="G3932" i="1" s="1"/>
  <c r="A3933" i="1"/>
  <c r="B3933" i="1" s="1"/>
  <c r="C3933" i="1"/>
  <c r="D3933" i="1"/>
  <c r="E3933" i="1"/>
  <c r="F3933" i="1"/>
  <c r="G3933" i="1" s="1"/>
  <c r="A3934" i="1"/>
  <c r="B3934" i="1" s="1"/>
  <c r="C3934" i="1"/>
  <c r="D3934" i="1"/>
  <c r="E3934" i="1"/>
  <c r="F3934" i="1"/>
  <c r="G3934" i="1" s="1"/>
  <c r="A3935" i="1"/>
  <c r="B3935" i="1" s="1"/>
  <c r="C3935" i="1"/>
  <c r="D3935" i="1"/>
  <c r="E3935" i="1"/>
  <c r="F3935" i="1"/>
  <c r="G3935" i="1" s="1"/>
  <c r="A3936" i="1"/>
  <c r="B3936" i="1"/>
  <c r="C3936" i="1"/>
  <c r="D3936" i="1"/>
  <c r="E3936" i="1"/>
  <c r="F3936" i="1"/>
  <c r="G3936" i="1"/>
  <c r="A3937" i="1"/>
  <c r="B3937" i="1" s="1"/>
  <c r="C3937" i="1"/>
  <c r="D3937" i="1"/>
  <c r="E3937" i="1"/>
  <c r="F3937" i="1"/>
  <c r="G3937" i="1" s="1"/>
  <c r="A3938" i="1"/>
  <c r="B3938" i="1" s="1"/>
  <c r="C3938" i="1"/>
  <c r="D3938" i="1"/>
  <c r="E3938" i="1"/>
  <c r="F3938" i="1"/>
  <c r="G3938" i="1" s="1"/>
  <c r="A3939" i="1"/>
  <c r="B3939" i="1" s="1"/>
  <c r="C3939" i="1"/>
  <c r="D3939" i="1"/>
  <c r="E3939" i="1"/>
  <c r="F3939" i="1"/>
  <c r="G3939" i="1" s="1"/>
  <c r="A3940" i="1"/>
  <c r="B3940" i="1"/>
  <c r="C3940" i="1"/>
  <c r="D3940" i="1"/>
  <c r="E3940" i="1"/>
  <c r="F3940" i="1"/>
  <c r="G3940" i="1" s="1"/>
  <c r="A3941" i="1"/>
  <c r="B3941" i="1"/>
  <c r="C3941" i="1"/>
  <c r="D3941" i="1"/>
  <c r="E3941" i="1"/>
  <c r="F3941" i="1"/>
  <c r="G3941" i="1" s="1"/>
  <c r="A3942" i="1"/>
  <c r="B3942" i="1" s="1"/>
  <c r="C3942" i="1"/>
  <c r="D3942" i="1"/>
  <c r="E3942" i="1"/>
  <c r="F3942" i="1"/>
  <c r="G3942" i="1" s="1"/>
  <c r="A3943" i="1"/>
  <c r="B3943" i="1" s="1"/>
  <c r="C3943" i="1"/>
  <c r="D3943" i="1"/>
  <c r="E3943" i="1"/>
  <c r="F3943" i="1"/>
  <c r="G3943" i="1" s="1"/>
  <c r="A3944" i="1"/>
  <c r="B3944" i="1" s="1"/>
  <c r="C3944" i="1"/>
  <c r="D3944" i="1"/>
  <c r="E3944" i="1"/>
  <c r="F3944" i="1"/>
  <c r="G3944" i="1" s="1"/>
  <c r="A3945" i="1"/>
  <c r="B3945" i="1" s="1"/>
  <c r="C3945" i="1"/>
  <c r="D3945" i="1"/>
  <c r="E3945" i="1"/>
  <c r="F3945" i="1"/>
  <c r="G3945" i="1" s="1"/>
  <c r="A3946" i="1"/>
  <c r="B3946" i="1" s="1"/>
  <c r="C3946" i="1"/>
  <c r="D3946" i="1"/>
  <c r="E3946" i="1"/>
  <c r="F3946" i="1"/>
  <c r="G3946" i="1" s="1"/>
  <c r="A3947" i="1"/>
  <c r="B3947" i="1" s="1"/>
  <c r="C3947" i="1"/>
  <c r="D3947" i="1"/>
  <c r="E3947" i="1"/>
  <c r="F3947" i="1"/>
  <c r="G3947" i="1" s="1"/>
  <c r="A3948" i="1"/>
  <c r="B3948" i="1" s="1"/>
  <c r="C3948" i="1"/>
  <c r="D3948" i="1"/>
  <c r="E3948" i="1"/>
  <c r="F3948" i="1"/>
  <c r="G3948" i="1" s="1"/>
  <c r="A3949" i="1"/>
  <c r="B3949" i="1" s="1"/>
  <c r="C3949" i="1"/>
  <c r="D3949" i="1"/>
  <c r="E3949" i="1"/>
  <c r="F3949" i="1"/>
  <c r="G3949" i="1" s="1"/>
  <c r="A3950" i="1"/>
  <c r="B3950" i="1" s="1"/>
  <c r="C3950" i="1"/>
  <c r="D3950" i="1"/>
  <c r="E3950" i="1"/>
  <c r="F3950" i="1"/>
  <c r="G3950" i="1" s="1"/>
  <c r="A3951" i="1"/>
  <c r="B3951" i="1" s="1"/>
  <c r="C3951" i="1"/>
  <c r="D3951" i="1"/>
  <c r="E3951" i="1"/>
  <c r="F3951" i="1"/>
  <c r="G3951" i="1" s="1"/>
  <c r="A3952" i="1"/>
  <c r="B3952" i="1" s="1"/>
  <c r="C3952" i="1"/>
  <c r="D3952" i="1"/>
  <c r="E3952" i="1"/>
  <c r="F3952" i="1"/>
  <c r="G3952" i="1" s="1"/>
  <c r="A3953" i="1"/>
  <c r="B3953" i="1" s="1"/>
  <c r="C3953" i="1"/>
  <c r="D3953" i="1"/>
  <c r="E3953" i="1"/>
  <c r="F3953" i="1"/>
  <c r="G3953" i="1" s="1"/>
  <c r="A3954" i="1"/>
  <c r="B3954" i="1" s="1"/>
  <c r="C3954" i="1"/>
  <c r="D3954" i="1"/>
  <c r="E3954" i="1"/>
  <c r="F3954" i="1"/>
  <c r="G3954" i="1" s="1"/>
  <c r="A3955" i="1"/>
  <c r="B3955" i="1" s="1"/>
  <c r="C3955" i="1"/>
  <c r="D3955" i="1"/>
  <c r="E3955" i="1"/>
  <c r="F3955" i="1"/>
  <c r="G3955" i="1" s="1"/>
  <c r="A3956" i="1"/>
  <c r="B3956" i="1" s="1"/>
  <c r="C3956" i="1"/>
  <c r="D3956" i="1"/>
  <c r="E3956" i="1"/>
  <c r="F3956" i="1"/>
  <c r="G3956" i="1"/>
  <c r="A3957" i="1"/>
  <c r="B3957" i="1" s="1"/>
  <c r="C3957" i="1"/>
  <c r="D3957" i="1"/>
  <c r="E3957" i="1"/>
  <c r="F3957" i="1"/>
  <c r="G3957" i="1" s="1"/>
  <c r="A3958" i="1"/>
  <c r="B3958" i="1" s="1"/>
  <c r="C3958" i="1"/>
  <c r="D3958" i="1"/>
  <c r="E3958" i="1"/>
  <c r="F3958" i="1"/>
  <c r="G3958" i="1" s="1"/>
  <c r="A3959" i="1"/>
  <c r="B3959" i="1" s="1"/>
  <c r="C3959" i="1"/>
  <c r="D3959" i="1"/>
  <c r="E3959" i="1"/>
  <c r="F3959" i="1"/>
  <c r="G3959" i="1" s="1"/>
  <c r="A3960" i="1"/>
  <c r="B3960" i="1" s="1"/>
  <c r="C3960" i="1"/>
  <c r="D3960" i="1"/>
  <c r="E3960" i="1"/>
  <c r="F3960" i="1"/>
  <c r="G3960" i="1" s="1"/>
  <c r="A3961" i="1"/>
  <c r="B3961" i="1" s="1"/>
  <c r="C3961" i="1"/>
  <c r="D3961" i="1"/>
  <c r="E3961" i="1"/>
  <c r="F3961" i="1"/>
  <c r="G3961" i="1" s="1"/>
  <c r="A3962" i="1"/>
  <c r="B3962" i="1" s="1"/>
  <c r="C3962" i="1"/>
  <c r="D3962" i="1"/>
  <c r="E3962" i="1"/>
  <c r="F3962" i="1"/>
  <c r="G3962" i="1" s="1"/>
  <c r="A3963" i="1"/>
  <c r="B3963" i="1" s="1"/>
  <c r="C3963" i="1"/>
  <c r="D3963" i="1"/>
  <c r="E3963" i="1"/>
  <c r="F3963" i="1"/>
  <c r="G3963" i="1" s="1"/>
  <c r="A3964" i="1"/>
  <c r="B3964" i="1" s="1"/>
  <c r="C3964" i="1"/>
  <c r="D3964" i="1"/>
  <c r="E3964" i="1"/>
  <c r="F3964" i="1"/>
  <c r="G3964" i="1" s="1"/>
  <c r="A3965" i="1"/>
  <c r="B3965" i="1" s="1"/>
  <c r="C3965" i="1"/>
  <c r="D3965" i="1"/>
  <c r="E3965" i="1"/>
  <c r="F3965" i="1"/>
  <c r="G3965" i="1" s="1"/>
  <c r="A3966" i="1"/>
  <c r="B3966" i="1" s="1"/>
  <c r="C3966" i="1"/>
  <c r="D3966" i="1"/>
  <c r="E3966" i="1"/>
  <c r="F3966" i="1"/>
  <c r="G3966" i="1" s="1"/>
  <c r="A3967" i="1"/>
  <c r="B3967" i="1" s="1"/>
  <c r="C3967" i="1"/>
  <c r="D3967" i="1"/>
  <c r="E3967" i="1"/>
  <c r="F3967" i="1"/>
  <c r="G3967" i="1" s="1"/>
  <c r="A3968" i="1"/>
  <c r="B3968" i="1"/>
  <c r="C3968" i="1"/>
  <c r="D3968" i="1"/>
  <c r="E3968" i="1"/>
  <c r="F3968" i="1"/>
  <c r="G3968" i="1" s="1"/>
  <c r="A3969" i="1"/>
  <c r="B3969" i="1" s="1"/>
  <c r="C3969" i="1"/>
  <c r="D3969" i="1"/>
  <c r="E3969" i="1"/>
  <c r="F3969" i="1"/>
  <c r="G3969" i="1" s="1"/>
  <c r="A3970" i="1"/>
  <c r="B3970" i="1" s="1"/>
  <c r="C3970" i="1"/>
  <c r="D3970" i="1"/>
  <c r="E3970" i="1"/>
  <c r="F3970" i="1"/>
  <c r="G3970" i="1" s="1"/>
  <c r="A3971" i="1"/>
  <c r="B3971" i="1" s="1"/>
  <c r="C3971" i="1"/>
  <c r="D3971" i="1"/>
  <c r="E3971" i="1"/>
  <c r="F3971" i="1"/>
  <c r="G3971" i="1" s="1"/>
  <c r="A3972" i="1"/>
  <c r="B3972" i="1" s="1"/>
  <c r="C3972" i="1"/>
  <c r="D3972" i="1"/>
  <c r="E3972" i="1"/>
  <c r="F3972" i="1"/>
  <c r="G3972" i="1" s="1"/>
  <c r="A3973" i="1"/>
  <c r="B3973" i="1" s="1"/>
  <c r="C3973" i="1"/>
  <c r="D3973" i="1"/>
  <c r="E3973" i="1"/>
  <c r="F3973" i="1"/>
  <c r="G3973" i="1" s="1"/>
  <c r="A3974" i="1"/>
  <c r="B3974" i="1" s="1"/>
  <c r="C3974" i="1"/>
  <c r="D3974" i="1"/>
  <c r="E3974" i="1"/>
  <c r="F3974" i="1"/>
  <c r="G3974" i="1" s="1"/>
  <c r="A3975" i="1"/>
  <c r="B3975" i="1" s="1"/>
  <c r="C3975" i="1"/>
  <c r="D3975" i="1"/>
  <c r="E3975" i="1"/>
  <c r="F3975" i="1"/>
  <c r="G3975" i="1" s="1"/>
  <c r="A3976" i="1"/>
  <c r="B3976" i="1" s="1"/>
  <c r="C3976" i="1"/>
  <c r="D3976" i="1"/>
  <c r="E3976" i="1"/>
  <c r="F3976" i="1"/>
  <c r="G3976" i="1" s="1"/>
  <c r="A3977" i="1"/>
  <c r="B3977" i="1" s="1"/>
  <c r="C3977" i="1"/>
  <c r="D3977" i="1"/>
  <c r="E3977" i="1"/>
  <c r="F3977" i="1"/>
  <c r="G3977" i="1" s="1"/>
  <c r="A3978" i="1"/>
  <c r="B3978" i="1" s="1"/>
  <c r="C3978" i="1"/>
  <c r="D3978" i="1"/>
  <c r="E3978" i="1"/>
  <c r="F3978" i="1"/>
  <c r="G3978" i="1" s="1"/>
  <c r="A3979" i="1"/>
  <c r="B3979" i="1" s="1"/>
  <c r="C3979" i="1"/>
  <c r="D3979" i="1"/>
  <c r="E3979" i="1"/>
  <c r="F3979" i="1"/>
  <c r="G3979" i="1" s="1"/>
  <c r="A3980" i="1"/>
  <c r="B3980" i="1" s="1"/>
  <c r="C3980" i="1"/>
  <c r="D3980" i="1"/>
  <c r="E3980" i="1"/>
  <c r="F3980" i="1"/>
  <c r="G3980" i="1" s="1"/>
  <c r="A3981" i="1"/>
  <c r="B3981" i="1" s="1"/>
  <c r="C3981" i="1"/>
  <c r="D3981" i="1"/>
  <c r="E3981" i="1"/>
  <c r="F3981" i="1"/>
  <c r="G3981" i="1"/>
  <c r="A3982" i="1"/>
  <c r="B3982" i="1" s="1"/>
  <c r="C3982" i="1"/>
  <c r="D3982" i="1"/>
  <c r="E3982" i="1"/>
  <c r="F3982" i="1"/>
  <c r="G3982" i="1" s="1"/>
  <c r="A3983" i="1"/>
  <c r="B3983" i="1" s="1"/>
  <c r="C3983" i="1"/>
  <c r="D3983" i="1"/>
  <c r="E3983" i="1"/>
  <c r="F3983" i="1"/>
  <c r="G3983" i="1" s="1"/>
  <c r="A3984" i="1"/>
  <c r="B3984" i="1"/>
  <c r="C3984" i="1"/>
  <c r="D3984" i="1"/>
  <c r="E3984" i="1"/>
  <c r="F3984" i="1"/>
  <c r="G3984" i="1" s="1"/>
  <c r="A3985" i="1"/>
  <c r="B3985" i="1" s="1"/>
  <c r="C3985" i="1"/>
  <c r="D3985" i="1"/>
  <c r="E3985" i="1"/>
  <c r="F3985" i="1"/>
  <c r="G3985" i="1" s="1"/>
  <c r="A3986" i="1"/>
  <c r="B3986" i="1" s="1"/>
  <c r="C3986" i="1"/>
  <c r="D3986" i="1"/>
  <c r="E3986" i="1"/>
  <c r="F3986" i="1"/>
  <c r="G3986" i="1" s="1"/>
  <c r="A3987" i="1"/>
  <c r="B3987" i="1" s="1"/>
  <c r="C3987" i="1"/>
  <c r="D3987" i="1"/>
  <c r="E3987" i="1"/>
  <c r="F3987" i="1"/>
  <c r="G3987" i="1" s="1"/>
  <c r="A3988" i="1"/>
  <c r="B3988" i="1" s="1"/>
  <c r="C3988" i="1"/>
  <c r="D3988" i="1"/>
  <c r="E3988" i="1"/>
  <c r="F3988" i="1"/>
  <c r="G3988" i="1" s="1"/>
  <c r="A3989" i="1"/>
  <c r="B3989" i="1" s="1"/>
  <c r="C3989" i="1"/>
  <c r="D3989" i="1"/>
  <c r="E3989" i="1"/>
  <c r="F3989" i="1"/>
  <c r="G3989" i="1" s="1"/>
  <c r="A3990" i="1"/>
  <c r="B3990" i="1" s="1"/>
  <c r="C3990" i="1"/>
  <c r="D3990" i="1"/>
  <c r="E3990" i="1"/>
  <c r="F3990" i="1"/>
  <c r="G3990" i="1" s="1"/>
  <c r="A3991" i="1"/>
  <c r="B3991" i="1" s="1"/>
  <c r="C3991" i="1"/>
  <c r="D3991" i="1"/>
  <c r="E3991" i="1"/>
  <c r="F3991" i="1"/>
  <c r="G3991" i="1" s="1"/>
  <c r="A3992" i="1"/>
  <c r="B3992" i="1"/>
  <c r="C3992" i="1"/>
  <c r="D3992" i="1"/>
  <c r="E3992" i="1"/>
  <c r="F3992" i="1"/>
  <c r="G3992" i="1" s="1"/>
  <c r="A3993" i="1"/>
  <c r="B3993" i="1" s="1"/>
  <c r="C3993" i="1"/>
  <c r="D3993" i="1"/>
  <c r="E3993" i="1"/>
  <c r="F3993" i="1"/>
  <c r="G3993" i="1" s="1"/>
  <c r="A3994" i="1"/>
  <c r="B3994" i="1" s="1"/>
  <c r="C3994" i="1"/>
  <c r="D3994" i="1"/>
  <c r="E3994" i="1"/>
  <c r="F3994" i="1"/>
  <c r="G3994" i="1" s="1"/>
  <c r="A3995" i="1"/>
  <c r="B3995" i="1" s="1"/>
  <c r="C3995" i="1"/>
  <c r="D3995" i="1"/>
  <c r="E3995" i="1"/>
  <c r="F3995" i="1"/>
  <c r="G3995" i="1" s="1"/>
  <c r="A3996" i="1"/>
  <c r="B3996" i="1" s="1"/>
  <c r="C3996" i="1"/>
  <c r="D3996" i="1"/>
  <c r="E3996" i="1"/>
  <c r="F3996" i="1"/>
  <c r="G3996" i="1" s="1"/>
  <c r="A3997" i="1"/>
  <c r="B3997" i="1" s="1"/>
  <c r="C3997" i="1"/>
  <c r="D3997" i="1"/>
  <c r="E3997" i="1"/>
  <c r="F3997" i="1"/>
  <c r="G3997" i="1" s="1"/>
  <c r="A3998" i="1"/>
  <c r="B3998" i="1" s="1"/>
  <c r="C3998" i="1"/>
  <c r="D3998" i="1"/>
  <c r="E3998" i="1"/>
  <c r="F3998" i="1"/>
  <c r="G3998" i="1" s="1"/>
  <c r="A3999" i="1"/>
  <c r="B3999" i="1" s="1"/>
  <c r="C3999" i="1"/>
  <c r="D3999" i="1"/>
  <c r="E3999" i="1"/>
  <c r="F3999" i="1"/>
  <c r="G3999" i="1" s="1"/>
  <c r="A4000" i="1"/>
  <c r="B4000" i="1" s="1"/>
  <c r="C4000" i="1"/>
  <c r="D4000" i="1"/>
  <c r="E4000" i="1"/>
  <c r="F4000" i="1"/>
  <c r="G4000" i="1" s="1"/>
  <c r="A4001" i="1"/>
  <c r="B4001" i="1"/>
  <c r="C4001" i="1"/>
  <c r="D4001" i="1"/>
  <c r="E4001" i="1"/>
  <c r="F4001" i="1"/>
  <c r="G4001" i="1" s="1"/>
  <c r="A4002" i="1"/>
  <c r="B4002" i="1" s="1"/>
  <c r="C4002" i="1"/>
  <c r="D4002" i="1"/>
  <c r="E4002" i="1"/>
  <c r="F4002" i="1"/>
  <c r="G4002" i="1" s="1"/>
  <c r="A4003" i="1"/>
  <c r="B4003" i="1" s="1"/>
  <c r="C4003" i="1"/>
  <c r="D4003" i="1"/>
  <c r="E4003" i="1"/>
  <c r="F4003" i="1"/>
  <c r="G4003" i="1" s="1"/>
  <c r="A4004" i="1"/>
  <c r="B4004" i="1" s="1"/>
  <c r="C4004" i="1"/>
  <c r="D4004" i="1"/>
  <c r="E4004" i="1"/>
  <c r="F4004" i="1"/>
  <c r="G4004" i="1" s="1"/>
  <c r="A4005" i="1"/>
  <c r="B4005" i="1" s="1"/>
  <c r="C4005" i="1"/>
  <c r="D4005" i="1"/>
  <c r="E4005" i="1"/>
  <c r="F4005" i="1"/>
  <c r="G4005" i="1" s="1"/>
  <c r="A4006" i="1"/>
  <c r="B4006" i="1" s="1"/>
  <c r="C4006" i="1"/>
  <c r="D4006" i="1"/>
  <c r="E4006" i="1"/>
  <c r="F4006" i="1"/>
  <c r="G4006" i="1" s="1"/>
  <c r="A4007" i="1"/>
  <c r="B4007" i="1" s="1"/>
  <c r="C4007" i="1"/>
  <c r="D4007" i="1"/>
  <c r="E4007" i="1"/>
  <c r="F4007" i="1"/>
  <c r="G4007" i="1" s="1"/>
  <c r="A4008" i="1"/>
  <c r="B4008" i="1" s="1"/>
  <c r="C4008" i="1"/>
  <c r="D4008" i="1"/>
  <c r="E4008" i="1"/>
  <c r="F4008" i="1"/>
  <c r="G4008" i="1" s="1"/>
  <c r="A4009" i="1"/>
  <c r="B4009" i="1" s="1"/>
  <c r="C4009" i="1"/>
  <c r="D4009" i="1"/>
  <c r="E4009" i="1"/>
  <c r="F4009" i="1"/>
  <c r="G4009" i="1" s="1"/>
  <c r="A4010" i="1"/>
  <c r="B4010" i="1" s="1"/>
  <c r="C4010" i="1"/>
  <c r="D4010" i="1"/>
  <c r="E4010" i="1"/>
  <c r="F4010" i="1"/>
  <c r="G4010" i="1" s="1"/>
  <c r="A4011" i="1"/>
  <c r="B4011" i="1" s="1"/>
  <c r="C4011" i="1"/>
  <c r="D4011" i="1"/>
  <c r="E4011" i="1"/>
  <c r="F4011" i="1"/>
  <c r="G4011" i="1" s="1"/>
  <c r="A4012" i="1"/>
  <c r="B4012" i="1" s="1"/>
  <c r="C4012" i="1"/>
  <c r="D4012" i="1"/>
  <c r="E4012" i="1"/>
  <c r="F4012" i="1"/>
  <c r="G4012" i="1" s="1"/>
  <c r="A4013" i="1"/>
  <c r="B4013" i="1" s="1"/>
  <c r="C4013" i="1"/>
  <c r="D4013" i="1"/>
  <c r="E4013" i="1"/>
  <c r="F4013" i="1"/>
  <c r="G4013" i="1" s="1"/>
  <c r="A4014" i="1"/>
  <c r="B4014" i="1" s="1"/>
  <c r="C4014" i="1"/>
  <c r="D4014" i="1"/>
  <c r="E4014" i="1"/>
  <c r="F4014" i="1"/>
  <c r="G4014" i="1" s="1"/>
  <c r="A4015" i="1"/>
  <c r="B4015" i="1" s="1"/>
  <c r="C4015" i="1"/>
  <c r="D4015" i="1"/>
  <c r="E4015" i="1"/>
  <c r="F4015" i="1"/>
  <c r="G4015" i="1" s="1"/>
  <c r="A4016" i="1"/>
  <c r="B4016" i="1" s="1"/>
  <c r="C4016" i="1"/>
  <c r="D4016" i="1"/>
  <c r="E4016" i="1"/>
  <c r="F4016" i="1"/>
  <c r="G4016" i="1" s="1"/>
  <c r="A4017" i="1"/>
  <c r="B4017" i="1" s="1"/>
  <c r="C4017" i="1"/>
  <c r="D4017" i="1"/>
  <c r="E4017" i="1"/>
  <c r="F4017" i="1"/>
  <c r="G4017" i="1" s="1"/>
  <c r="A4018" i="1"/>
  <c r="B4018" i="1" s="1"/>
  <c r="C4018" i="1"/>
  <c r="D4018" i="1"/>
  <c r="E4018" i="1"/>
  <c r="F4018" i="1"/>
  <c r="G4018" i="1" s="1"/>
  <c r="A4019" i="1"/>
  <c r="B4019" i="1" s="1"/>
  <c r="C4019" i="1"/>
  <c r="D4019" i="1"/>
  <c r="E4019" i="1"/>
  <c r="F4019" i="1"/>
  <c r="G4019" i="1" s="1"/>
  <c r="A4020" i="1"/>
  <c r="B4020" i="1" s="1"/>
  <c r="C4020" i="1"/>
  <c r="D4020" i="1"/>
  <c r="E4020" i="1"/>
  <c r="F4020" i="1"/>
  <c r="G4020" i="1" s="1"/>
  <c r="A4021" i="1"/>
  <c r="B4021" i="1" s="1"/>
  <c r="C4021" i="1"/>
  <c r="D4021" i="1"/>
  <c r="E4021" i="1"/>
  <c r="F4021" i="1"/>
  <c r="G4021" i="1" s="1"/>
  <c r="A4022" i="1"/>
  <c r="B4022" i="1" s="1"/>
  <c r="C4022" i="1"/>
  <c r="D4022" i="1"/>
  <c r="E4022" i="1"/>
  <c r="F4022" i="1"/>
  <c r="G4022" i="1" s="1"/>
  <c r="A4023" i="1"/>
  <c r="B4023" i="1" s="1"/>
  <c r="C4023" i="1"/>
  <c r="D4023" i="1"/>
  <c r="E4023" i="1"/>
  <c r="F4023" i="1"/>
  <c r="G4023" i="1" s="1"/>
  <c r="A4024" i="1"/>
  <c r="B4024" i="1" s="1"/>
  <c r="C4024" i="1"/>
  <c r="D4024" i="1"/>
  <c r="E4024" i="1"/>
  <c r="F4024" i="1"/>
  <c r="G4024" i="1" s="1"/>
  <c r="A4025" i="1"/>
  <c r="B4025" i="1" s="1"/>
  <c r="C4025" i="1"/>
  <c r="D4025" i="1"/>
  <c r="E4025" i="1"/>
  <c r="F4025" i="1"/>
  <c r="G4025" i="1" s="1"/>
  <c r="A4026" i="1"/>
  <c r="B4026" i="1" s="1"/>
  <c r="C4026" i="1"/>
  <c r="D4026" i="1"/>
  <c r="E4026" i="1"/>
  <c r="F4026" i="1"/>
  <c r="G4026" i="1" s="1"/>
  <c r="A4027" i="1"/>
  <c r="B4027" i="1"/>
  <c r="C4027" i="1"/>
  <c r="D4027" i="1"/>
  <c r="E4027" i="1"/>
  <c r="F4027" i="1"/>
  <c r="G4027" i="1" s="1"/>
  <c r="A4028" i="1"/>
  <c r="B4028" i="1"/>
  <c r="C4028" i="1"/>
  <c r="D4028" i="1"/>
  <c r="E4028" i="1"/>
  <c r="F4028" i="1"/>
  <c r="G4028" i="1" s="1"/>
  <c r="A4029" i="1"/>
  <c r="B4029" i="1" s="1"/>
  <c r="C4029" i="1"/>
  <c r="D4029" i="1"/>
  <c r="E4029" i="1"/>
  <c r="F4029" i="1"/>
  <c r="G4029" i="1"/>
  <c r="A4030" i="1"/>
  <c r="B4030" i="1" s="1"/>
  <c r="C4030" i="1"/>
  <c r="D4030" i="1"/>
  <c r="E4030" i="1"/>
  <c r="F4030" i="1"/>
  <c r="G4030" i="1" s="1"/>
  <c r="A4031" i="1"/>
  <c r="B4031" i="1" s="1"/>
  <c r="C4031" i="1"/>
  <c r="D4031" i="1"/>
  <c r="E4031" i="1"/>
  <c r="F4031" i="1"/>
  <c r="G4031" i="1" s="1"/>
  <c r="A4032" i="1"/>
  <c r="B4032" i="1"/>
  <c r="C4032" i="1"/>
  <c r="D4032" i="1"/>
  <c r="E4032" i="1"/>
  <c r="F4032" i="1"/>
  <c r="G4032" i="1"/>
  <c r="A4033" i="1"/>
  <c r="B4033" i="1" s="1"/>
  <c r="C4033" i="1"/>
  <c r="D4033" i="1"/>
  <c r="E4033" i="1"/>
  <c r="F4033" i="1"/>
  <c r="G4033" i="1" s="1"/>
  <c r="A4034" i="1"/>
  <c r="B4034" i="1" s="1"/>
  <c r="C4034" i="1"/>
  <c r="D4034" i="1"/>
  <c r="E4034" i="1"/>
  <c r="F4034" i="1"/>
  <c r="G4034" i="1" s="1"/>
  <c r="A4035" i="1"/>
  <c r="B4035" i="1" s="1"/>
  <c r="C4035" i="1"/>
  <c r="D4035" i="1"/>
  <c r="E4035" i="1"/>
  <c r="F4035" i="1"/>
  <c r="G4035" i="1" s="1"/>
  <c r="A4036" i="1"/>
  <c r="B4036" i="1"/>
  <c r="C4036" i="1"/>
  <c r="D4036" i="1"/>
  <c r="E4036" i="1"/>
  <c r="F4036" i="1"/>
  <c r="G4036" i="1" s="1"/>
  <c r="A4037" i="1"/>
  <c r="B4037" i="1" s="1"/>
  <c r="C4037" i="1"/>
  <c r="D4037" i="1"/>
  <c r="E4037" i="1"/>
  <c r="F4037" i="1"/>
  <c r="G4037" i="1" s="1"/>
  <c r="A4038" i="1"/>
  <c r="B4038" i="1" s="1"/>
  <c r="C4038" i="1"/>
  <c r="D4038" i="1"/>
  <c r="E4038" i="1"/>
  <c r="F4038" i="1"/>
  <c r="G4038" i="1" s="1"/>
  <c r="A4039" i="1"/>
  <c r="B4039" i="1" s="1"/>
  <c r="C4039" i="1"/>
  <c r="D4039" i="1"/>
  <c r="E4039" i="1"/>
  <c r="F4039" i="1"/>
  <c r="G4039" i="1" s="1"/>
  <c r="A4040" i="1"/>
  <c r="B4040" i="1" s="1"/>
  <c r="C4040" i="1"/>
  <c r="D4040" i="1"/>
  <c r="E4040" i="1"/>
  <c r="F4040" i="1"/>
  <c r="G4040" i="1" s="1"/>
  <c r="A4041" i="1"/>
  <c r="B4041" i="1" s="1"/>
  <c r="C4041" i="1"/>
  <c r="D4041" i="1"/>
  <c r="E4041" i="1"/>
  <c r="F4041" i="1"/>
  <c r="G4041" i="1"/>
  <c r="A4042" i="1"/>
  <c r="B4042" i="1" s="1"/>
  <c r="C4042" i="1"/>
  <c r="D4042" i="1"/>
  <c r="E4042" i="1"/>
  <c r="F4042" i="1"/>
  <c r="G4042" i="1" s="1"/>
  <c r="A4043" i="1"/>
  <c r="B4043" i="1" s="1"/>
  <c r="C4043" i="1"/>
  <c r="D4043" i="1"/>
  <c r="E4043" i="1"/>
  <c r="F4043" i="1"/>
  <c r="G4043" i="1" s="1"/>
  <c r="A4044" i="1"/>
  <c r="B4044" i="1"/>
  <c r="C4044" i="1"/>
  <c r="D4044" i="1"/>
  <c r="E4044" i="1"/>
  <c r="F4044" i="1"/>
  <c r="G4044" i="1" s="1"/>
  <c r="A4045" i="1"/>
  <c r="B4045" i="1" s="1"/>
  <c r="C4045" i="1"/>
  <c r="D4045" i="1"/>
  <c r="E4045" i="1"/>
  <c r="F4045" i="1"/>
  <c r="G4045" i="1" s="1"/>
  <c r="A4046" i="1"/>
  <c r="B4046" i="1" s="1"/>
  <c r="C4046" i="1"/>
  <c r="D4046" i="1"/>
  <c r="E4046" i="1"/>
  <c r="F4046" i="1"/>
  <c r="G4046" i="1" s="1"/>
  <c r="A4047" i="1"/>
  <c r="B4047" i="1" s="1"/>
  <c r="C4047" i="1"/>
  <c r="D4047" i="1"/>
  <c r="E4047" i="1"/>
  <c r="F4047" i="1"/>
  <c r="G4047" i="1" s="1"/>
  <c r="A4048" i="1"/>
  <c r="B4048" i="1" s="1"/>
  <c r="C4048" i="1"/>
  <c r="D4048" i="1"/>
  <c r="E4048" i="1"/>
  <c r="F4048" i="1"/>
  <c r="G4048" i="1" s="1"/>
  <c r="A4049" i="1"/>
  <c r="B4049" i="1" s="1"/>
  <c r="C4049" i="1"/>
  <c r="D4049" i="1"/>
  <c r="E4049" i="1"/>
  <c r="F4049" i="1"/>
  <c r="G4049" i="1" s="1"/>
  <c r="A4050" i="1"/>
  <c r="B4050" i="1" s="1"/>
  <c r="C4050" i="1"/>
  <c r="D4050" i="1"/>
  <c r="E4050" i="1"/>
  <c r="F4050" i="1"/>
  <c r="G4050" i="1" s="1"/>
  <c r="A4051" i="1"/>
  <c r="B4051" i="1" s="1"/>
  <c r="C4051" i="1"/>
  <c r="D4051" i="1"/>
  <c r="E4051" i="1"/>
  <c r="F4051" i="1"/>
  <c r="G4051" i="1" s="1"/>
  <c r="A4052" i="1"/>
  <c r="B4052" i="1" s="1"/>
  <c r="C4052" i="1"/>
  <c r="D4052" i="1"/>
  <c r="E4052" i="1"/>
  <c r="F4052" i="1"/>
  <c r="G4052" i="1" s="1"/>
  <c r="A4053" i="1"/>
  <c r="B4053" i="1" s="1"/>
  <c r="C4053" i="1"/>
  <c r="D4053" i="1"/>
  <c r="E4053" i="1"/>
  <c r="F4053" i="1"/>
  <c r="G4053" i="1" s="1"/>
  <c r="A4054" i="1"/>
  <c r="B4054" i="1" s="1"/>
  <c r="C4054" i="1"/>
  <c r="D4054" i="1"/>
  <c r="E4054" i="1"/>
  <c r="F4054" i="1"/>
  <c r="G4054" i="1" s="1"/>
  <c r="A4055" i="1"/>
  <c r="B4055" i="1"/>
  <c r="C4055" i="1"/>
  <c r="D4055" i="1"/>
  <c r="E4055" i="1"/>
  <c r="F4055" i="1"/>
  <c r="G4055" i="1" s="1"/>
  <c r="A4056" i="1"/>
  <c r="B4056" i="1" s="1"/>
  <c r="C4056" i="1"/>
  <c r="D4056" i="1"/>
  <c r="E4056" i="1"/>
  <c r="F4056" i="1"/>
  <c r="G4056" i="1" s="1"/>
  <c r="A4057" i="1"/>
  <c r="B4057" i="1" s="1"/>
  <c r="C4057" i="1"/>
  <c r="D4057" i="1"/>
  <c r="E4057" i="1"/>
  <c r="F4057" i="1"/>
  <c r="G4057" i="1" s="1"/>
  <c r="A4058" i="1"/>
  <c r="B4058" i="1" s="1"/>
  <c r="C4058" i="1"/>
  <c r="D4058" i="1"/>
  <c r="E4058" i="1"/>
  <c r="F4058" i="1"/>
  <c r="G4058" i="1" s="1"/>
  <c r="A4059" i="1"/>
  <c r="B4059" i="1" s="1"/>
  <c r="C4059" i="1"/>
  <c r="D4059" i="1"/>
  <c r="E4059" i="1"/>
  <c r="F4059" i="1"/>
  <c r="G4059" i="1" s="1"/>
  <c r="A4060" i="1"/>
  <c r="B4060" i="1" s="1"/>
  <c r="C4060" i="1"/>
  <c r="D4060" i="1"/>
  <c r="E4060" i="1"/>
  <c r="F4060" i="1"/>
  <c r="G4060" i="1" s="1"/>
  <c r="A4061" i="1"/>
  <c r="B4061" i="1" s="1"/>
  <c r="C4061" i="1"/>
  <c r="D4061" i="1"/>
  <c r="E4061" i="1"/>
  <c r="F4061" i="1"/>
  <c r="G4061" i="1" s="1"/>
  <c r="A4062" i="1"/>
  <c r="B4062" i="1" s="1"/>
  <c r="C4062" i="1"/>
  <c r="D4062" i="1"/>
  <c r="E4062" i="1"/>
  <c r="F4062" i="1"/>
  <c r="G4062" i="1"/>
  <c r="A4063" i="1"/>
  <c r="B4063" i="1" s="1"/>
  <c r="C4063" i="1"/>
  <c r="D4063" i="1"/>
  <c r="E4063" i="1"/>
  <c r="F4063" i="1"/>
  <c r="G4063" i="1" s="1"/>
  <c r="A4064" i="1"/>
  <c r="B4064" i="1" s="1"/>
  <c r="C4064" i="1"/>
  <c r="D4064" i="1"/>
  <c r="E4064" i="1"/>
  <c r="F4064" i="1"/>
  <c r="G4064" i="1" s="1"/>
  <c r="A4065" i="1"/>
  <c r="B4065" i="1" s="1"/>
  <c r="C4065" i="1"/>
  <c r="D4065" i="1"/>
  <c r="E4065" i="1"/>
  <c r="F4065" i="1"/>
  <c r="G4065" i="1" s="1"/>
  <c r="A4066" i="1"/>
  <c r="B4066" i="1" s="1"/>
  <c r="C4066" i="1"/>
  <c r="D4066" i="1"/>
  <c r="E4066" i="1"/>
  <c r="F4066" i="1"/>
  <c r="G4066" i="1" s="1"/>
  <c r="A4067" i="1"/>
  <c r="B4067" i="1" s="1"/>
  <c r="C4067" i="1"/>
  <c r="D4067" i="1"/>
  <c r="E4067" i="1"/>
  <c r="F4067" i="1"/>
  <c r="G4067" i="1" s="1"/>
  <c r="A4068" i="1"/>
  <c r="B4068" i="1" s="1"/>
  <c r="C4068" i="1"/>
  <c r="D4068" i="1"/>
  <c r="E4068" i="1"/>
  <c r="F4068" i="1"/>
  <c r="G4068" i="1" s="1"/>
  <c r="A4069" i="1"/>
  <c r="B4069" i="1" s="1"/>
  <c r="C4069" i="1"/>
  <c r="D4069" i="1"/>
  <c r="E4069" i="1"/>
  <c r="F4069" i="1"/>
  <c r="G4069" i="1" s="1"/>
  <c r="A4070" i="1"/>
  <c r="B4070" i="1" s="1"/>
  <c r="C4070" i="1"/>
  <c r="D4070" i="1"/>
  <c r="E4070" i="1"/>
  <c r="F4070" i="1"/>
  <c r="G4070" i="1" s="1"/>
  <c r="A4071" i="1"/>
  <c r="B4071" i="1" s="1"/>
  <c r="C4071" i="1"/>
  <c r="D4071" i="1"/>
  <c r="E4071" i="1"/>
  <c r="F4071" i="1"/>
  <c r="G4071" i="1" s="1"/>
  <c r="A4072" i="1"/>
  <c r="B4072" i="1"/>
  <c r="C4072" i="1"/>
  <c r="D4072" i="1"/>
  <c r="E4072" i="1"/>
  <c r="F4072" i="1"/>
  <c r="G4072" i="1" s="1"/>
  <c r="A4073" i="1"/>
  <c r="B4073" i="1"/>
  <c r="C4073" i="1"/>
  <c r="D4073" i="1"/>
  <c r="E4073" i="1"/>
  <c r="F4073" i="1"/>
  <c r="G4073" i="1" s="1"/>
  <c r="A4074" i="1"/>
  <c r="B4074" i="1" s="1"/>
  <c r="C4074" i="1"/>
  <c r="D4074" i="1"/>
  <c r="E4074" i="1"/>
  <c r="F4074" i="1"/>
  <c r="G4074" i="1" s="1"/>
  <c r="A4075" i="1"/>
  <c r="B4075" i="1" s="1"/>
  <c r="C4075" i="1"/>
  <c r="D4075" i="1"/>
  <c r="E4075" i="1"/>
  <c r="F4075" i="1"/>
  <c r="G4075" i="1" s="1"/>
  <c r="A4076" i="1"/>
  <c r="B4076" i="1" s="1"/>
  <c r="C4076" i="1"/>
  <c r="D4076" i="1"/>
  <c r="E4076" i="1"/>
  <c r="F4076" i="1"/>
  <c r="G4076" i="1" s="1"/>
  <c r="A4077" i="1"/>
  <c r="B4077" i="1" s="1"/>
  <c r="C4077" i="1"/>
  <c r="D4077" i="1"/>
  <c r="E4077" i="1"/>
  <c r="F4077" i="1"/>
  <c r="G4077" i="1" s="1"/>
  <c r="A4078" i="1"/>
  <c r="B4078" i="1" s="1"/>
  <c r="C4078" i="1"/>
  <c r="D4078" i="1"/>
  <c r="E4078" i="1"/>
  <c r="F4078" i="1"/>
  <c r="G4078" i="1" s="1"/>
  <c r="A4079" i="1"/>
  <c r="B4079" i="1" s="1"/>
  <c r="C4079" i="1"/>
  <c r="D4079" i="1"/>
  <c r="E4079" i="1"/>
  <c r="F4079" i="1"/>
  <c r="G4079" i="1" s="1"/>
  <c r="A4080" i="1"/>
  <c r="B4080" i="1" s="1"/>
  <c r="C4080" i="1"/>
  <c r="D4080" i="1"/>
  <c r="E4080" i="1"/>
  <c r="F4080" i="1"/>
  <c r="G4080" i="1" s="1"/>
  <c r="A4081" i="1"/>
  <c r="B4081" i="1"/>
  <c r="C4081" i="1"/>
  <c r="D4081" i="1"/>
  <c r="E4081" i="1"/>
  <c r="F4081" i="1"/>
  <c r="G4081" i="1" s="1"/>
  <c r="A4082" i="1"/>
  <c r="B4082" i="1" s="1"/>
  <c r="C4082" i="1"/>
  <c r="D4082" i="1"/>
  <c r="E4082" i="1"/>
  <c r="F4082" i="1"/>
  <c r="G4082" i="1" s="1"/>
  <c r="A4083" i="1"/>
  <c r="B4083" i="1" s="1"/>
  <c r="C4083" i="1"/>
  <c r="D4083" i="1"/>
  <c r="E4083" i="1"/>
  <c r="F4083" i="1"/>
  <c r="G4083" i="1"/>
  <c r="A4084" i="1"/>
  <c r="B4084" i="1" s="1"/>
  <c r="C4084" i="1"/>
  <c r="D4084" i="1"/>
  <c r="E4084" i="1"/>
  <c r="F4084" i="1"/>
  <c r="G4084" i="1" s="1"/>
  <c r="A4085" i="1"/>
  <c r="B4085" i="1" s="1"/>
  <c r="C4085" i="1"/>
  <c r="D4085" i="1"/>
  <c r="E4085" i="1"/>
  <c r="F4085" i="1"/>
  <c r="G4085" i="1"/>
  <c r="A4086" i="1"/>
  <c r="B4086" i="1" s="1"/>
  <c r="C4086" i="1"/>
  <c r="D4086" i="1"/>
  <c r="E4086" i="1"/>
  <c r="F4086" i="1"/>
  <c r="G4086" i="1" s="1"/>
  <c r="A4087" i="1"/>
  <c r="B4087" i="1" s="1"/>
  <c r="C4087" i="1"/>
  <c r="D4087" i="1"/>
  <c r="E4087" i="1"/>
  <c r="F4087" i="1"/>
  <c r="G4087" i="1" s="1"/>
  <c r="A4088" i="1"/>
  <c r="B4088" i="1" s="1"/>
  <c r="C4088" i="1"/>
  <c r="D4088" i="1"/>
  <c r="E4088" i="1"/>
  <c r="F4088" i="1"/>
  <c r="G4088" i="1" s="1"/>
  <c r="A4089" i="1"/>
  <c r="B4089" i="1" s="1"/>
  <c r="C4089" i="1"/>
  <c r="D4089" i="1"/>
  <c r="E4089" i="1"/>
  <c r="F4089" i="1"/>
  <c r="G4089" i="1" s="1"/>
  <c r="A4090" i="1"/>
  <c r="B4090" i="1" s="1"/>
  <c r="C4090" i="1"/>
  <c r="D4090" i="1"/>
  <c r="E4090" i="1"/>
  <c r="F4090" i="1"/>
  <c r="G4090" i="1" s="1"/>
  <c r="A4091" i="1"/>
  <c r="B4091" i="1" s="1"/>
  <c r="C4091" i="1"/>
  <c r="D4091" i="1"/>
  <c r="E4091" i="1"/>
  <c r="F4091" i="1"/>
  <c r="G4091" i="1" s="1"/>
  <c r="A4092" i="1"/>
  <c r="B4092" i="1" s="1"/>
  <c r="C4092" i="1"/>
  <c r="D4092" i="1"/>
  <c r="E4092" i="1"/>
  <c r="F4092" i="1"/>
  <c r="G4092" i="1"/>
  <c r="A4093" i="1"/>
  <c r="B4093" i="1" s="1"/>
  <c r="C4093" i="1"/>
  <c r="D4093" i="1"/>
  <c r="E4093" i="1"/>
  <c r="F4093" i="1"/>
  <c r="G4093" i="1" s="1"/>
  <c r="A4094" i="1"/>
  <c r="B4094" i="1" s="1"/>
  <c r="C4094" i="1"/>
  <c r="D4094" i="1"/>
  <c r="E4094" i="1"/>
  <c r="F4094" i="1"/>
  <c r="G4094" i="1" s="1"/>
  <c r="A4095" i="1"/>
  <c r="B4095" i="1" s="1"/>
  <c r="C4095" i="1"/>
  <c r="D4095" i="1"/>
  <c r="E4095" i="1"/>
  <c r="F4095" i="1"/>
  <c r="G4095" i="1" s="1"/>
  <c r="A4096" i="1"/>
  <c r="B4096" i="1" s="1"/>
  <c r="C4096" i="1"/>
  <c r="D4096" i="1"/>
  <c r="E4096" i="1"/>
  <c r="F4096" i="1"/>
  <c r="G4096" i="1" s="1"/>
  <c r="A4097" i="1"/>
  <c r="B4097" i="1" s="1"/>
  <c r="C4097" i="1"/>
  <c r="D4097" i="1"/>
  <c r="E4097" i="1"/>
  <c r="F4097" i="1"/>
  <c r="G4097" i="1" s="1"/>
  <c r="A4098" i="1"/>
  <c r="B4098" i="1" s="1"/>
  <c r="C4098" i="1"/>
  <c r="D4098" i="1"/>
  <c r="E4098" i="1"/>
  <c r="F4098" i="1"/>
  <c r="G4098" i="1" s="1"/>
  <c r="A4099" i="1"/>
  <c r="B4099" i="1" s="1"/>
  <c r="C4099" i="1"/>
  <c r="D4099" i="1"/>
  <c r="E4099" i="1"/>
  <c r="F4099" i="1"/>
  <c r="G4099" i="1" s="1"/>
  <c r="A4100" i="1"/>
  <c r="B4100" i="1"/>
  <c r="C4100" i="1"/>
  <c r="D4100" i="1"/>
  <c r="E4100" i="1"/>
  <c r="F4100" i="1"/>
  <c r="G4100" i="1" s="1"/>
  <c r="A4101" i="1"/>
  <c r="B4101" i="1"/>
  <c r="C4101" i="1"/>
  <c r="D4101" i="1"/>
  <c r="E4101" i="1"/>
  <c r="F4101" i="1"/>
  <c r="G4101" i="1" s="1"/>
  <c r="A4102" i="1"/>
  <c r="B4102" i="1" s="1"/>
  <c r="C4102" i="1"/>
  <c r="D4102" i="1"/>
  <c r="E4102" i="1"/>
  <c r="F4102" i="1"/>
  <c r="G4102" i="1" s="1"/>
  <c r="A4103" i="1"/>
  <c r="B4103" i="1" s="1"/>
  <c r="C4103" i="1"/>
  <c r="D4103" i="1"/>
  <c r="E4103" i="1"/>
  <c r="F4103" i="1"/>
  <c r="G4103" i="1" s="1"/>
  <c r="A4104" i="1"/>
  <c r="B4104" i="1"/>
  <c r="C4104" i="1"/>
  <c r="D4104" i="1"/>
  <c r="E4104" i="1"/>
  <c r="F4104" i="1"/>
  <c r="G4104" i="1"/>
  <c r="A4105" i="1"/>
  <c r="B4105" i="1" s="1"/>
  <c r="C4105" i="1"/>
  <c r="D4105" i="1"/>
  <c r="E4105" i="1"/>
  <c r="F4105" i="1"/>
  <c r="G4105" i="1" s="1"/>
  <c r="A4106" i="1"/>
  <c r="B4106" i="1" s="1"/>
  <c r="C4106" i="1"/>
  <c r="D4106" i="1"/>
  <c r="E4106" i="1"/>
  <c r="F4106" i="1"/>
  <c r="G4106" i="1" s="1"/>
  <c r="A4107" i="1"/>
  <c r="B4107" i="1" s="1"/>
  <c r="C4107" i="1"/>
  <c r="D4107" i="1"/>
  <c r="E4107" i="1"/>
  <c r="F4107" i="1"/>
  <c r="G4107" i="1" s="1"/>
  <c r="A4108" i="1"/>
  <c r="B4108" i="1" s="1"/>
  <c r="C4108" i="1"/>
  <c r="D4108" i="1"/>
  <c r="E4108" i="1"/>
  <c r="F4108" i="1"/>
  <c r="G4108" i="1" s="1"/>
  <c r="A4109" i="1"/>
  <c r="B4109" i="1" s="1"/>
  <c r="C4109" i="1"/>
  <c r="D4109" i="1"/>
  <c r="E4109" i="1"/>
  <c r="F4109" i="1"/>
  <c r="G4109" i="1" s="1"/>
  <c r="A4110" i="1"/>
  <c r="B4110" i="1" s="1"/>
  <c r="C4110" i="1"/>
  <c r="D4110" i="1"/>
  <c r="E4110" i="1"/>
  <c r="F4110" i="1"/>
  <c r="G4110" i="1" s="1"/>
  <c r="A4111" i="1"/>
  <c r="B4111" i="1" s="1"/>
  <c r="C4111" i="1"/>
  <c r="D4111" i="1"/>
  <c r="E4111" i="1"/>
  <c r="F4111" i="1"/>
  <c r="G4111" i="1" s="1"/>
  <c r="A4112" i="1"/>
  <c r="B4112" i="1" s="1"/>
  <c r="C4112" i="1"/>
  <c r="D4112" i="1"/>
  <c r="E4112" i="1"/>
  <c r="F4112" i="1"/>
  <c r="G4112" i="1" s="1"/>
  <c r="A4113" i="1"/>
  <c r="B4113" i="1" s="1"/>
  <c r="C4113" i="1"/>
  <c r="D4113" i="1"/>
  <c r="E4113" i="1"/>
  <c r="F4113" i="1"/>
  <c r="G4113" i="1" s="1"/>
  <c r="A4114" i="1"/>
  <c r="B4114" i="1" s="1"/>
  <c r="C4114" i="1"/>
  <c r="D4114" i="1"/>
  <c r="E4114" i="1"/>
  <c r="F4114" i="1"/>
  <c r="G4114" i="1" s="1"/>
  <c r="A4115" i="1"/>
  <c r="B4115" i="1" s="1"/>
  <c r="C4115" i="1"/>
  <c r="D4115" i="1"/>
  <c r="E4115" i="1"/>
  <c r="F4115" i="1"/>
  <c r="G4115" i="1" s="1"/>
  <c r="A4116" i="1"/>
  <c r="B4116" i="1"/>
  <c r="C4116" i="1"/>
  <c r="D4116" i="1"/>
  <c r="E4116" i="1"/>
  <c r="F4116" i="1"/>
  <c r="G4116" i="1" s="1"/>
  <c r="A4117" i="1"/>
  <c r="B4117" i="1" s="1"/>
  <c r="C4117" i="1"/>
  <c r="D4117" i="1"/>
  <c r="E4117" i="1"/>
  <c r="F4117" i="1"/>
  <c r="G4117" i="1" s="1"/>
  <c r="A4118" i="1"/>
  <c r="B4118" i="1" s="1"/>
  <c r="C4118" i="1"/>
  <c r="D4118" i="1"/>
  <c r="E4118" i="1"/>
  <c r="F4118" i="1"/>
  <c r="G4118" i="1" s="1"/>
  <c r="A4119" i="1"/>
  <c r="B4119" i="1" s="1"/>
  <c r="C4119" i="1"/>
  <c r="D4119" i="1"/>
  <c r="E4119" i="1"/>
  <c r="F4119" i="1"/>
  <c r="G4119" i="1" s="1"/>
  <c r="A4120" i="1"/>
  <c r="B4120" i="1"/>
  <c r="C4120" i="1"/>
  <c r="D4120" i="1"/>
  <c r="E4120" i="1"/>
  <c r="F4120" i="1"/>
  <c r="G4120" i="1" s="1"/>
  <c r="A4121" i="1"/>
  <c r="B4121" i="1" s="1"/>
  <c r="C4121" i="1"/>
  <c r="D4121" i="1"/>
  <c r="E4121" i="1"/>
  <c r="F4121" i="1"/>
  <c r="G4121" i="1" s="1"/>
  <c r="A4122" i="1"/>
  <c r="B4122" i="1" s="1"/>
  <c r="C4122" i="1"/>
  <c r="D4122" i="1"/>
  <c r="E4122" i="1"/>
  <c r="F4122" i="1"/>
  <c r="G4122" i="1" s="1"/>
  <c r="A4123" i="1"/>
  <c r="B4123" i="1" s="1"/>
  <c r="C4123" i="1"/>
  <c r="D4123" i="1"/>
  <c r="E4123" i="1"/>
  <c r="F4123" i="1"/>
  <c r="G4123" i="1" s="1"/>
  <c r="A4124" i="1"/>
  <c r="B4124" i="1" s="1"/>
  <c r="C4124" i="1"/>
  <c r="D4124" i="1"/>
  <c r="E4124" i="1"/>
  <c r="F4124" i="1"/>
  <c r="G4124" i="1" s="1"/>
  <c r="A4125" i="1"/>
  <c r="B4125" i="1" s="1"/>
  <c r="C4125" i="1"/>
  <c r="D4125" i="1"/>
  <c r="E4125" i="1"/>
  <c r="F4125" i="1"/>
  <c r="G4125" i="1" s="1"/>
  <c r="A4126" i="1"/>
  <c r="B4126" i="1" s="1"/>
  <c r="C4126" i="1"/>
  <c r="D4126" i="1"/>
  <c r="E4126" i="1"/>
  <c r="F4126" i="1"/>
  <c r="G4126" i="1"/>
  <c r="A4127" i="1"/>
  <c r="B4127" i="1" s="1"/>
  <c r="C4127" i="1"/>
  <c r="D4127" i="1"/>
  <c r="E4127" i="1"/>
  <c r="F4127" i="1"/>
  <c r="G4127" i="1" s="1"/>
  <c r="A4128" i="1"/>
  <c r="B4128" i="1" s="1"/>
  <c r="C4128" i="1"/>
  <c r="D4128" i="1"/>
  <c r="E4128" i="1"/>
  <c r="F4128" i="1"/>
  <c r="G4128" i="1" s="1"/>
  <c r="A4129" i="1"/>
  <c r="B4129" i="1"/>
  <c r="C4129" i="1"/>
  <c r="D4129" i="1"/>
  <c r="E4129" i="1"/>
  <c r="F4129" i="1"/>
  <c r="G4129" i="1" s="1"/>
  <c r="A4130" i="1"/>
  <c r="B4130" i="1"/>
  <c r="C4130" i="1"/>
  <c r="D4130" i="1"/>
  <c r="E4130" i="1"/>
  <c r="F4130" i="1"/>
  <c r="G4130" i="1"/>
  <c r="A4131" i="1"/>
  <c r="B4131" i="1" s="1"/>
  <c r="C4131" i="1"/>
  <c r="D4131" i="1"/>
  <c r="E4131" i="1"/>
  <c r="F4131" i="1"/>
  <c r="G4131" i="1" s="1"/>
  <c r="A4132" i="1"/>
  <c r="B4132" i="1" s="1"/>
  <c r="C4132" i="1"/>
  <c r="D4132" i="1"/>
  <c r="E4132" i="1"/>
  <c r="F4132" i="1"/>
  <c r="G4132" i="1" s="1"/>
  <c r="A4133" i="1"/>
  <c r="B4133" i="1" s="1"/>
  <c r="C4133" i="1"/>
  <c r="D4133" i="1"/>
  <c r="E4133" i="1"/>
  <c r="F4133" i="1"/>
  <c r="G4133" i="1" s="1"/>
  <c r="A4134" i="1"/>
  <c r="B4134" i="1" s="1"/>
  <c r="C4134" i="1"/>
  <c r="D4134" i="1"/>
  <c r="E4134" i="1"/>
  <c r="F4134" i="1"/>
  <c r="G4134" i="1" s="1"/>
  <c r="A4135" i="1"/>
  <c r="B4135" i="1" s="1"/>
  <c r="C4135" i="1"/>
  <c r="D4135" i="1"/>
  <c r="E4135" i="1"/>
  <c r="F4135" i="1"/>
  <c r="G4135" i="1" s="1"/>
  <c r="A4136" i="1"/>
  <c r="B4136" i="1" s="1"/>
  <c r="C4136" i="1"/>
  <c r="D4136" i="1"/>
  <c r="E4136" i="1"/>
  <c r="F4136" i="1"/>
  <c r="G4136" i="1" s="1"/>
  <c r="A4137" i="1"/>
  <c r="B4137" i="1" s="1"/>
  <c r="C4137" i="1"/>
  <c r="D4137" i="1"/>
  <c r="E4137" i="1"/>
  <c r="F4137" i="1"/>
  <c r="G4137" i="1" s="1"/>
  <c r="A4138" i="1"/>
  <c r="B4138" i="1" s="1"/>
  <c r="C4138" i="1"/>
  <c r="D4138" i="1"/>
  <c r="E4138" i="1"/>
  <c r="F4138" i="1"/>
  <c r="G4138" i="1" s="1"/>
  <c r="A4139" i="1"/>
  <c r="B4139" i="1" s="1"/>
  <c r="C4139" i="1"/>
  <c r="D4139" i="1"/>
  <c r="E4139" i="1"/>
  <c r="F4139" i="1"/>
  <c r="G4139" i="1" s="1"/>
  <c r="A4140" i="1"/>
  <c r="B4140" i="1" s="1"/>
  <c r="C4140" i="1"/>
  <c r="D4140" i="1"/>
  <c r="E4140" i="1"/>
  <c r="F4140" i="1"/>
  <c r="G4140" i="1" s="1"/>
  <c r="A4141" i="1"/>
  <c r="B4141" i="1" s="1"/>
  <c r="C4141" i="1"/>
  <c r="D4141" i="1"/>
  <c r="E4141" i="1"/>
  <c r="F4141" i="1"/>
  <c r="G4141" i="1" s="1"/>
  <c r="A4142" i="1"/>
  <c r="B4142" i="1" s="1"/>
  <c r="C4142" i="1"/>
  <c r="D4142" i="1"/>
  <c r="E4142" i="1"/>
  <c r="F4142" i="1"/>
  <c r="G4142" i="1" s="1"/>
  <c r="A4143" i="1"/>
  <c r="B4143" i="1"/>
  <c r="C4143" i="1"/>
  <c r="D4143" i="1"/>
  <c r="E4143" i="1"/>
  <c r="F4143" i="1"/>
  <c r="G4143" i="1" s="1"/>
  <c r="A4144" i="1"/>
  <c r="B4144" i="1" s="1"/>
  <c r="C4144" i="1"/>
  <c r="D4144" i="1"/>
  <c r="E4144" i="1"/>
  <c r="F4144" i="1"/>
  <c r="G4144" i="1" s="1"/>
  <c r="A4145" i="1"/>
  <c r="B4145" i="1" s="1"/>
  <c r="C4145" i="1"/>
  <c r="D4145" i="1"/>
  <c r="E4145" i="1"/>
  <c r="F4145" i="1"/>
  <c r="G4145" i="1" s="1"/>
  <c r="A4146" i="1"/>
  <c r="B4146" i="1" s="1"/>
  <c r="C4146" i="1"/>
  <c r="D4146" i="1"/>
  <c r="E4146" i="1"/>
  <c r="F4146" i="1"/>
  <c r="G4146" i="1" s="1"/>
  <c r="A4147" i="1"/>
  <c r="B4147" i="1" s="1"/>
  <c r="C4147" i="1"/>
  <c r="D4147" i="1"/>
  <c r="E4147" i="1"/>
  <c r="F4147" i="1"/>
  <c r="G4147" i="1" s="1"/>
  <c r="A4148" i="1"/>
  <c r="B4148" i="1" s="1"/>
  <c r="C4148" i="1"/>
  <c r="D4148" i="1"/>
  <c r="E4148" i="1"/>
  <c r="F4148" i="1"/>
  <c r="G4148" i="1" s="1"/>
  <c r="A4149" i="1"/>
  <c r="B4149" i="1" s="1"/>
  <c r="C4149" i="1"/>
  <c r="D4149" i="1"/>
  <c r="E4149" i="1"/>
  <c r="F4149" i="1"/>
  <c r="G4149" i="1" s="1"/>
  <c r="A4150" i="1"/>
  <c r="B4150" i="1" s="1"/>
  <c r="C4150" i="1"/>
  <c r="D4150" i="1"/>
  <c r="E4150" i="1"/>
  <c r="F4150" i="1"/>
  <c r="G4150" i="1" s="1"/>
  <c r="A4151" i="1"/>
  <c r="B4151" i="1" s="1"/>
  <c r="C4151" i="1"/>
  <c r="D4151" i="1"/>
  <c r="E4151" i="1"/>
  <c r="F4151" i="1"/>
  <c r="G4151" i="1" s="1"/>
  <c r="A4152" i="1"/>
  <c r="B4152" i="1" s="1"/>
  <c r="C4152" i="1"/>
  <c r="D4152" i="1"/>
  <c r="E4152" i="1"/>
  <c r="F4152" i="1"/>
  <c r="G4152" i="1" s="1"/>
  <c r="A4153" i="1"/>
  <c r="B4153" i="1" s="1"/>
  <c r="C4153" i="1"/>
  <c r="D4153" i="1"/>
  <c r="E4153" i="1"/>
  <c r="F4153" i="1"/>
  <c r="G4153" i="1" s="1"/>
  <c r="A4154" i="1"/>
  <c r="B4154" i="1" s="1"/>
  <c r="C4154" i="1"/>
  <c r="D4154" i="1"/>
  <c r="E4154" i="1"/>
  <c r="F4154" i="1"/>
  <c r="G4154" i="1" s="1"/>
  <c r="A4155" i="1"/>
  <c r="B4155" i="1" s="1"/>
  <c r="C4155" i="1"/>
  <c r="D4155" i="1"/>
  <c r="E4155" i="1"/>
  <c r="F4155" i="1"/>
  <c r="G4155" i="1" s="1"/>
  <c r="A4156" i="1"/>
  <c r="B4156" i="1" s="1"/>
  <c r="C4156" i="1"/>
  <c r="D4156" i="1"/>
  <c r="E4156" i="1"/>
  <c r="F4156" i="1"/>
  <c r="G4156" i="1" s="1"/>
  <c r="A4157" i="1"/>
  <c r="B4157" i="1" s="1"/>
  <c r="C4157" i="1"/>
  <c r="D4157" i="1"/>
  <c r="E4157" i="1"/>
  <c r="F4157" i="1"/>
  <c r="G4157" i="1" s="1"/>
  <c r="A4158" i="1"/>
  <c r="B4158" i="1"/>
  <c r="C4158" i="1"/>
  <c r="D4158" i="1"/>
  <c r="E4158" i="1"/>
  <c r="F4158" i="1"/>
  <c r="G4158" i="1"/>
  <c r="A4159" i="1"/>
  <c r="B4159" i="1"/>
  <c r="C4159" i="1"/>
  <c r="D4159" i="1"/>
  <c r="E4159" i="1"/>
  <c r="F4159" i="1"/>
  <c r="G4159" i="1" s="1"/>
  <c r="A4160" i="1"/>
  <c r="B4160" i="1" s="1"/>
  <c r="C4160" i="1"/>
  <c r="D4160" i="1"/>
  <c r="E4160" i="1"/>
  <c r="F4160" i="1"/>
  <c r="G4160" i="1"/>
  <c r="A4161" i="1"/>
  <c r="B4161" i="1" s="1"/>
  <c r="C4161" i="1"/>
  <c r="D4161" i="1"/>
  <c r="E4161" i="1"/>
  <c r="F4161" i="1"/>
  <c r="G4161" i="1" s="1"/>
  <c r="A4162" i="1"/>
  <c r="B4162" i="1" s="1"/>
  <c r="C4162" i="1"/>
  <c r="D4162" i="1"/>
  <c r="E4162" i="1"/>
  <c r="F4162" i="1"/>
  <c r="G4162" i="1" s="1"/>
  <c r="A4163" i="1"/>
  <c r="B4163" i="1" s="1"/>
  <c r="C4163" i="1"/>
  <c r="D4163" i="1"/>
  <c r="E4163" i="1"/>
  <c r="F4163" i="1"/>
  <c r="G4163" i="1" s="1"/>
  <c r="A4164" i="1"/>
  <c r="B4164" i="1" s="1"/>
  <c r="C4164" i="1"/>
  <c r="D4164" i="1"/>
  <c r="E4164" i="1"/>
  <c r="F4164" i="1"/>
  <c r="G4164" i="1" s="1"/>
  <c r="A4165" i="1"/>
  <c r="B4165" i="1"/>
  <c r="C4165" i="1"/>
  <c r="D4165" i="1"/>
  <c r="E4165" i="1"/>
  <c r="F4165" i="1"/>
  <c r="G4165" i="1" s="1"/>
  <c r="A4166" i="1"/>
  <c r="B4166" i="1" s="1"/>
  <c r="C4166" i="1"/>
  <c r="D4166" i="1"/>
  <c r="E4166" i="1"/>
  <c r="F4166" i="1"/>
  <c r="G4166" i="1" s="1"/>
  <c r="A4167" i="1"/>
  <c r="B4167" i="1" s="1"/>
  <c r="C4167" i="1"/>
  <c r="D4167" i="1"/>
  <c r="E4167" i="1"/>
  <c r="F4167" i="1"/>
  <c r="G4167" i="1" s="1"/>
  <c r="A4168" i="1"/>
  <c r="B4168" i="1" s="1"/>
  <c r="C4168" i="1"/>
  <c r="D4168" i="1"/>
  <c r="E4168" i="1"/>
  <c r="F4168" i="1"/>
  <c r="G4168" i="1" s="1"/>
  <c r="A4169" i="1"/>
  <c r="B4169" i="1" s="1"/>
  <c r="C4169" i="1"/>
  <c r="D4169" i="1"/>
  <c r="E4169" i="1"/>
  <c r="F4169" i="1"/>
  <c r="G4169" i="1" s="1"/>
  <c r="A4170" i="1"/>
  <c r="B4170" i="1" s="1"/>
  <c r="C4170" i="1"/>
  <c r="D4170" i="1"/>
  <c r="E4170" i="1"/>
  <c r="F4170" i="1"/>
  <c r="G4170" i="1" s="1"/>
  <c r="A4171" i="1"/>
  <c r="B4171" i="1" s="1"/>
  <c r="C4171" i="1"/>
  <c r="D4171" i="1"/>
  <c r="E4171" i="1"/>
  <c r="F4171" i="1"/>
  <c r="G4171" i="1" s="1"/>
  <c r="A4172" i="1"/>
  <c r="B4172" i="1"/>
  <c r="C4172" i="1"/>
  <c r="D4172" i="1"/>
  <c r="E4172" i="1"/>
  <c r="F4172" i="1"/>
  <c r="G4172" i="1" s="1"/>
  <c r="A4173" i="1"/>
  <c r="B4173" i="1"/>
  <c r="C4173" i="1"/>
  <c r="D4173" i="1"/>
  <c r="E4173" i="1"/>
  <c r="F4173" i="1"/>
  <c r="G4173" i="1" s="1"/>
  <c r="A4174" i="1"/>
  <c r="B4174" i="1" s="1"/>
  <c r="C4174" i="1"/>
  <c r="D4174" i="1"/>
  <c r="E4174" i="1"/>
  <c r="F4174" i="1"/>
  <c r="G4174" i="1" s="1"/>
  <c r="A4175" i="1"/>
  <c r="B4175" i="1" s="1"/>
  <c r="C4175" i="1"/>
  <c r="D4175" i="1"/>
  <c r="E4175" i="1"/>
  <c r="F4175" i="1"/>
  <c r="G4175" i="1" s="1"/>
  <c r="A4176" i="1"/>
  <c r="B4176" i="1" s="1"/>
  <c r="C4176" i="1"/>
  <c r="D4176" i="1"/>
  <c r="E4176" i="1"/>
  <c r="F4176" i="1"/>
  <c r="G4176" i="1" s="1"/>
  <c r="A4177" i="1"/>
  <c r="B4177" i="1" s="1"/>
  <c r="C4177" i="1"/>
  <c r="D4177" i="1"/>
  <c r="E4177" i="1"/>
  <c r="F4177" i="1"/>
  <c r="G4177" i="1" s="1"/>
  <c r="A4178" i="1"/>
  <c r="B4178" i="1" s="1"/>
  <c r="C4178" i="1"/>
  <c r="D4178" i="1"/>
  <c r="E4178" i="1"/>
  <c r="F4178" i="1"/>
  <c r="G4178" i="1" s="1"/>
  <c r="A4179" i="1"/>
  <c r="B4179" i="1"/>
  <c r="C4179" i="1"/>
  <c r="D4179" i="1"/>
  <c r="E4179" i="1"/>
  <c r="F4179" i="1"/>
  <c r="G4179" i="1" s="1"/>
  <c r="A4180" i="1"/>
  <c r="B4180" i="1" s="1"/>
  <c r="C4180" i="1"/>
  <c r="D4180" i="1"/>
  <c r="E4180" i="1"/>
  <c r="F4180" i="1"/>
  <c r="G4180" i="1" s="1"/>
  <c r="A4181" i="1"/>
  <c r="B4181" i="1" s="1"/>
  <c r="C4181" i="1"/>
  <c r="D4181" i="1"/>
  <c r="E4181" i="1"/>
  <c r="F4181" i="1"/>
  <c r="G4181" i="1" s="1"/>
  <c r="A4182" i="1"/>
  <c r="B4182" i="1" s="1"/>
  <c r="C4182" i="1"/>
  <c r="D4182" i="1"/>
  <c r="E4182" i="1"/>
  <c r="F4182" i="1"/>
  <c r="G4182" i="1" s="1"/>
  <c r="A4183" i="1"/>
  <c r="B4183" i="1" s="1"/>
  <c r="C4183" i="1"/>
  <c r="D4183" i="1"/>
  <c r="E4183" i="1"/>
  <c r="F4183" i="1"/>
  <c r="G4183" i="1" s="1"/>
  <c r="A4184" i="1"/>
  <c r="B4184" i="1" s="1"/>
  <c r="C4184" i="1"/>
  <c r="D4184" i="1"/>
  <c r="E4184" i="1"/>
  <c r="F4184" i="1"/>
  <c r="G4184" i="1" s="1"/>
  <c r="A4185" i="1"/>
  <c r="B4185" i="1" s="1"/>
  <c r="C4185" i="1"/>
  <c r="D4185" i="1"/>
  <c r="E4185" i="1"/>
  <c r="F4185" i="1"/>
  <c r="G4185" i="1" s="1"/>
  <c r="A4186" i="1"/>
  <c r="B4186" i="1" s="1"/>
  <c r="C4186" i="1"/>
  <c r="D4186" i="1"/>
  <c r="E4186" i="1"/>
  <c r="F4186" i="1"/>
  <c r="G4186" i="1" s="1"/>
  <c r="A4187" i="1"/>
  <c r="B4187" i="1" s="1"/>
  <c r="C4187" i="1"/>
  <c r="D4187" i="1"/>
  <c r="E4187" i="1"/>
  <c r="F4187" i="1"/>
  <c r="G4187" i="1" s="1"/>
  <c r="A4188" i="1"/>
  <c r="B4188" i="1"/>
  <c r="C4188" i="1"/>
  <c r="D4188" i="1"/>
  <c r="E4188" i="1"/>
  <c r="F4188" i="1"/>
  <c r="G4188" i="1" s="1"/>
  <c r="A4189" i="1"/>
  <c r="B4189" i="1" s="1"/>
  <c r="C4189" i="1"/>
  <c r="D4189" i="1"/>
  <c r="E4189" i="1"/>
  <c r="F4189" i="1"/>
  <c r="G4189" i="1" s="1"/>
  <c r="A4190" i="1"/>
  <c r="B4190" i="1" s="1"/>
  <c r="C4190" i="1"/>
  <c r="D4190" i="1"/>
  <c r="E4190" i="1"/>
  <c r="F4190" i="1"/>
  <c r="G4190" i="1" s="1"/>
  <c r="A4191" i="1"/>
  <c r="B4191" i="1" s="1"/>
  <c r="C4191" i="1"/>
  <c r="D4191" i="1"/>
  <c r="E4191" i="1"/>
  <c r="F4191" i="1"/>
  <c r="G4191" i="1" s="1"/>
  <c r="A4192" i="1"/>
  <c r="B4192" i="1" s="1"/>
  <c r="C4192" i="1"/>
  <c r="D4192" i="1"/>
  <c r="E4192" i="1"/>
  <c r="F4192" i="1"/>
  <c r="G4192" i="1" s="1"/>
  <c r="A4193" i="1"/>
  <c r="B4193" i="1" s="1"/>
  <c r="C4193" i="1"/>
  <c r="D4193" i="1"/>
  <c r="E4193" i="1"/>
  <c r="F4193" i="1"/>
  <c r="G4193" i="1" s="1"/>
  <c r="A4194" i="1"/>
  <c r="B4194" i="1" s="1"/>
  <c r="C4194" i="1"/>
  <c r="D4194" i="1"/>
  <c r="E4194" i="1"/>
  <c r="F4194" i="1"/>
  <c r="G4194" i="1" s="1"/>
  <c r="A4195" i="1"/>
  <c r="B4195" i="1" s="1"/>
  <c r="C4195" i="1"/>
  <c r="D4195" i="1"/>
  <c r="E4195" i="1"/>
  <c r="F4195" i="1"/>
  <c r="G4195" i="1" s="1"/>
  <c r="A4196" i="1"/>
  <c r="B4196" i="1" s="1"/>
  <c r="C4196" i="1"/>
  <c r="D4196" i="1"/>
  <c r="E4196" i="1"/>
  <c r="F4196" i="1"/>
  <c r="G4196" i="1" s="1"/>
  <c r="A4197" i="1"/>
  <c r="B4197" i="1" s="1"/>
  <c r="C4197" i="1"/>
  <c r="D4197" i="1"/>
  <c r="E4197" i="1"/>
  <c r="F4197" i="1"/>
  <c r="G4197" i="1" s="1"/>
  <c r="A4198" i="1"/>
  <c r="B4198" i="1" s="1"/>
  <c r="C4198" i="1"/>
  <c r="D4198" i="1"/>
  <c r="E4198" i="1"/>
  <c r="F4198" i="1"/>
  <c r="G4198" i="1" s="1"/>
  <c r="A4199" i="1"/>
  <c r="B4199" i="1" s="1"/>
  <c r="C4199" i="1"/>
  <c r="D4199" i="1"/>
  <c r="E4199" i="1"/>
  <c r="F4199" i="1"/>
  <c r="G4199" i="1" s="1"/>
  <c r="A4200" i="1"/>
  <c r="B4200" i="1" s="1"/>
  <c r="C4200" i="1"/>
  <c r="D4200" i="1"/>
  <c r="E4200" i="1"/>
  <c r="F4200" i="1"/>
  <c r="G4200" i="1" s="1"/>
  <c r="A4201" i="1"/>
  <c r="B4201" i="1" s="1"/>
  <c r="C4201" i="1"/>
  <c r="D4201" i="1"/>
  <c r="E4201" i="1"/>
  <c r="F4201" i="1"/>
  <c r="G4201" i="1" s="1"/>
  <c r="A4202" i="1"/>
  <c r="B4202" i="1" s="1"/>
  <c r="C4202" i="1"/>
  <c r="D4202" i="1"/>
  <c r="E4202" i="1"/>
  <c r="F4202" i="1"/>
  <c r="G4202" i="1"/>
  <c r="A4203" i="1"/>
  <c r="B4203" i="1" s="1"/>
  <c r="C4203" i="1"/>
  <c r="D4203" i="1"/>
  <c r="E4203" i="1"/>
  <c r="F4203" i="1"/>
  <c r="G4203" i="1" s="1"/>
  <c r="A4204" i="1"/>
  <c r="B4204" i="1" s="1"/>
  <c r="C4204" i="1"/>
  <c r="D4204" i="1"/>
  <c r="E4204" i="1"/>
  <c r="F4204" i="1"/>
  <c r="G4204" i="1" s="1"/>
  <c r="A4205" i="1"/>
  <c r="B4205" i="1" s="1"/>
  <c r="C4205" i="1"/>
  <c r="D4205" i="1"/>
  <c r="E4205" i="1"/>
  <c r="F4205" i="1"/>
  <c r="G4205" i="1" s="1"/>
  <c r="A4206" i="1"/>
  <c r="B4206" i="1" s="1"/>
  <c r="C4206" i="1"/>
  <c r="D4206" i="1"/>
  <c r="E4206" i="1"/>
  <c r="F4206" i="1"/>
  <c r="G4206" i="1" s="1"/>
  <c r="A4207" i="1"/>
  <c r="B4207" i="1" s="1"/>
  <c r="C4207" i="1"/>
  <c r="D4207" i="1"/>
  <c r="E4207" i="1"/>
  <c r="F4207" i="1"/>
  <c r="G4207" i="1" s="1"/>
  <c r="A4208" i="1"/>
  <c r="B4208" i="1" s="1"/>
  <c r="C4208" i="1"/>
  <c r="D4208" i="1"/>
  <c r="E4208" i="1"/>
  <c r="F4208" i="1"/>
  <c r="G4208" i="1" s="1"/>
  <c r="A4209" i="1"/>
  <c r="B4209" i="1" s="1"/>
  <c r="C4209" i="1"/>
  <c r="D4209" i="1"/>
  <c r="E4209" i="1"/>
  <c r="F4209" i="1"/>
  <c r="G4209" i="1" s="1"/>
  <c r="A4210" i="1"/>
  <c r="B4210" i="1" s="1"/>
  <c r="C4210" i="1"/>
  <c r="D4210" i="1"/>
  <c r="E4210" i="1"/>
  <c r="F4210" i="1"/>
  <c r="G4210" i="1" s="1"/>
  <c r="A4211" i="1"/>
  <c r="B4211" i="1" s="1"/>
  <c r="C4211" i="1"/>
  <c r="D4211" i="1"/>
  <c r="E4211" i="1"/>
  <c r="F4211" i="1"/>
  <c r="G4211" i="1" s="1"/>
  <c r="A4212" i="1"/>
  <c r="B4212" i="1" s="1"/>
  <c r="C4212" i="1"/>
  <c r="D4212" i="1"/>
  <c r="E4212" i="1"/>
  <c r="F4212" i="1"/>
  <c r="G4212" i="1" s="1"/>
  <c r="A4213" i="1"/>
  <c r="B4213" i="1" s="1"/>
  <c r="C4213" i="1"/>
  <c r="D4213" i="1"/>
  <c r="E4213" i="1"/>
  <c r="F4213" i="1"/>
  <c r="G4213" i="1" s="1"/>
  <c r="A4214" i="1"/>
  <c r="B4214" i="1" s="1"/>
  <c r="C4214" i="1"/>
  <c r="D4214" i="1"/>
  <c r="E4214" i="1"/>
  <c r="F4214" i="1"/>
  <c r="G4214" i="1" s="1"/>
  <c r="A4215" i="1"/>
  <c r="B4215" i="1" s="1"/>
  <c r="C4215" i="1"/>
  <c r="D4215" i="1"/>
  <c r="E4215" i="1"/>
  <c r="F4215" i="1"/>
  <c r="G4215" i="1" s="1"/>
  <c r="A4216" i="1"/>
  <c r="B4216" i="1" s="1"/>
  <c r="C4216" i="1"/>
  <c r="D4216" i="1"/>
  <c r="E4216" i="1"/>
  <c r="F4216" i="1"/>
  <c r="G4216" i="1" s="1"/>
  <c r="A4217" i="1"/>
  <c r="B4217" i="1" s="1"/>
  <c r="C4217" i="1"/>
  <c r="D4217" i="1"/>
  <c r="E4217" i="1"/>
  <c r="F4217" i="1"/>
  <c r="G4217" i="1" s="1"/>
  <c r="A4218" i="1"/>
  <c r="B4218" i="1" s="1"/>
  <c r="C4218" i="1"/>
  <c r="D4218" i="1"/>
  <c r="E4218" i="1"/>
  <c r="F4218" i="1"/>
  <c r="G4218" i="1" s="1"/>
  <c r="A4219" i="1"/>
  <c r="B4219" i="1" s="1"/>
  <c r="C4219" i="1"/>
  <c r="D4219" i="1"/>
  <c r="E4219" i="1"/>
  <c r="F4219" i="1"/>
  <c r="G4219" i="1"/>
  <c r="A4220" i="1"/>
  <c r="B4220" i="1" s="1"/>
  <c r="C4220" i="1"/>
  <c r="D4220" i="1"/>
  <c r="E4220" i="1"/>
  <c r="F4220" i="1"/>
  <c r="G4220" i="1" s="1"/>
  <c r="A4221" i="1"/>
  <c r="B4221" i="1" s="1"/>
  <c r="C4221" i="1"/>
  <c r="D4221" i="1"/>
  <c r="E4221" i="1"/>
  <c r="F4221" i="1"/>
  <c r="G4221" i="1" s="1"/>
  <c r="A4222" i="1"/>
  <c r="B4222" i="1" s="1"/>
  <c r="C4222" i="1"/>
  <c r="D4222" i="1"/>
  <c r="E4222" i="1"/>
  <c r="F4222" i="1"/>
  <c r="G4222" i="1" s="1"/>
  <c r="A4223" i="1"/>
  <c r="B4223" i="1" s="1"/>
  <c r="C4223" i="1"/>
  <c r="D4223" i="1"/>
  <c r="E4223" i="1"/>
  <c r="F4223" i="1"/>
  <c r="G4223" i="1" s="1"/>
  <c r="A4224" i="1"/>
  <c r="B4224" i="1" s="1"/>
  <c r="C4224" i="1"/>
  <c r="D4224" i="1"/>
  <c r="E4224" i="1"/>
  <c r="F4224" i="1"/>
  <c r="G4224" i="1" s="1"/>
  <c r="A4225" i="1"/>
  <c r="B4225" i="1" s="1"/>
  <c r="C4225" i="1"/>
  <c r="D4225" i="1"/>
  <c r="E4225" i="1"/>
  <c r="F4225" i="1"/>
  <c r="G4225" i="1" s="1"/>
  <c r="A4226" i="1"/>
  <c r="B4226" i="1" s="1"/>
  <c r="C4226" i="1"/>
  <c r="D4226" i="1"/>
  <c r="E4226" i="1"/>
  <c r="F4226" i="1"/>
  <c r="G4226" i="1" s="1"/>
  <c r="A4227" i="1"/>
  <c r="B4227" i="1" s="1"/>
  <c r="C4227" i="1"/>
  <c r="D4227" i="1"/>
  <c r="E4227" i="1"/>
  <c r="F4227" i="1"/>
  <c r="G4227" i="1" s="1"/>
  <c r="A4228" i="1"/>
  <c r="B4228" i="1" s="1"/>
  <c r="C4228" i="1"/>
  <c r="D4228" i="1"/>
  <c r="E4228" i="1"/>
  <c r="F4228" i="1"/>
  <c r="G4228" i="1" s="1"/>
  <c r="A4229" i="1"/>
  <c r="B4229" i="1" s="1"/>
  <c r="C4229" i="1"/>
  <c r="D4229" i="1"/>
  <c r="E4229" i="1"/>
  <c r="F4229" i="1"/>
  <c r="G4229" i="1" s="1"/>
  <c r="A4230" i="1"/>
  <c r="B4230" i="1" s="1"/>
  <c r="C4230" i="1"/>
  <c r="D4230" i="1"/>
  <c r="E4230" i="1"/>
  <c r="F4230" i="1"/>
  <c r="G4230" i="1" s="1"/>
  <c r="A4231" i="1"/>
  <c r="B4231" i="1" s="1"/>
  <c r="C4231" i="1"/>
  <c r="D4231" i="1"/>
  <c r="E4231" i="1"/>
  <c r="F4231" i="1"/>
  <c r="G4231" i="1" s="1"/>
  <c r="A4232" i="1"/>
  <c r="B4232" i="1" s="1"/>
  <c r="C4232" i="1"/>
  <c r="D4232" i="1"/>
  <c r="E4232" i="1"/>
  <c r="F4232" i="1"/>
  <c r="G4232" i="1" s="1"/>
  <c r="A4233" i="1"/>
  <c r="B4233" i="1" s="1"/>
  <c r="C4233" i="1"/>
  <c r="D4233" i="1"/>
  <c r="E4233" i="1"/>
  <c r="F4233" i="1"/>
  <c r="G4233" i="1" s="1"/>
  <c r="A4234" i="1"/>
  <c r="B4234" i="1" s="1"/>
  <c r="C4234" i="1"/>
  <c r="D4234" i="1"/>
  <c r="E4234" i="1"/>
  <c r="F4234" i="1"/>
  <c r="G4234" i="1" s="1"/>
  <c r="A4235" i="1"/>
  <c r="B4235" i="1" s="1"/>
  <c r="C4235" i="1"/>
  <c r="D4235" i="1"/>
  <c r="E4235" i="1"/>
  <c r="F4235" i="1"/>
  <c r="G4235" i="1" s="1"/>
  <c r="A4236" i="1"/>
  <c r="B4236" i="1" s="1"/>
  <c r="C4236" i="1"/>
  <c r="D4236" i="1"/>
  <c r="E4236" i="1"/>
  <c r="F4236" i="1"/>
  <c r="G4236" i="1" s="1"/>
  <c r="A4237" i="1"/>
  <c r="B4237" i="1" s="1"/>
  <c r="C4237" i="1"/>
  <c r="D4237" i="1"/>
  <c r="E4237" i="1"/>
  <c r="F4237" i="1"/>
  <c r="G4237" i="1" s="1"/>
  <c r="A4238" i="1"/>
  <c r="B4238" i="1" s="1"/>
  <c r="C4238" i="1"/>
  <c r="D4238" i="1"/>
  <c r="E4238" i="1"/>
  <c r="F4238" i="1"/>
  <c r="G4238" i="1"/>
  <c r="A4239" i="1"/>
  <c r="B4239" i="1" s="1"/>
  <c r="C4239" i="1"/>
  <c r="D4239" i="1"/>
  <c r="E4239" i="1"/>
  <c r="F4239" i="1"/>
  <c r="G4239" i="1" s="1"/>
  <c r="A4240" i="1"/>
  <c r="B4240" i="1" s="1"/>
  <c r="C4240" i="1"/>
  <c r="D4240" i="1"/>
  <c r="E4240" i="1"/>
  <c r="F4240" i="1"/>
  <c r="G4240" i="1" s="1"/>
  <c r="A4241" i="1"/>
  <c r="B4241" i="1"/>
  <c r="C4241" i="1"/>
  <c r="D4241" i="1"/>
  <c r="E4241" i="1"/>
  <c r="F4241" i="1"/>
  <c r="G4241" i="1" s="1"/>
  <c r="A4242" i="1"/>
  <c r="B4242" i="1" s="1"/>
  <c r="C4242" i="1"/>
  <c r="D4242" i="1"/>
  <c r="E4242" i="1"/>
  <c r="F4242" i="1"/>
  <c r="G4242" i="1" s="1"/>
  <c r="A4243" i="1"/>
  <c r="B4243" i="1"/>
  <c r="C4243" i="1"/>
  <c r="D4243" i="1"/>
  <c r="E4243" i="1"/>
  <c r="F4243" i="1"/>
  <c r="G4243" i="1" s="1"/>
  <c r="A4244" i="1"/>
  <c r="B4244" i="1" s="1"/>
  <c r="C4244" i="1"/>
  <c r="D4244" i="1"/>
  <c r="E4244" i="1"/>
  <c r="F4244" i="1"/>
  <c r="G4244" i="1" s="1"/>
  <c r="A4245" i="1"/>
  <c r="B4245" i="1" s="1"/>
  <c r="C4245" i="1"/>
  <c r="D4245" i="1"/>
  <c r="E4245" i="1"/>
  <c r="F4245" i="1"/>
  <c r="G4245" i="1" s="1"/>
  <c r="A4246" i="1"/>
  <c r="B4246" i="1" s="1"/>
  <c r="C4246" i="1"/>
  <c r="D4246" i="1"/>
  <c r="E4246" i="1"/>
  <c r="F4246" i="1"/>
  <c r="G4246" i="1" s="1"/>
  <c r="A4247" i="1"/>
  <c r="B4247" i="1" s="1"/>
  <c r="C4247" i="1"/>
  <c r="D4247" i="1"/>
  <c r="E4247" i="1"/>
  <c r="F4247" i="1"/>
  <c r="G4247" i="1" s="1"/>
  <c r="A4248" i="1"/>
  <c r="B4248" i="1" s="1"/>
  <c r="C4248" i="1"/>
  <c r="D4248" i="1"/>
  <c r="E4248" i="1"/>
  <c r="F4248" i="1"/>
  <c r="G4248" i="1" s="1"/>
  <c r="A4249" i="1"/>
  <c r="B4249" i="1" s="1"/>
  <c r="C4249" i="1"/>
  <c r="D4249" i="1"/>
  <c r="E4249" i="1"/>
  <c r="F4249" i="1"/>
  <c r="G4249" i="1" s="1"/>
  <c r="A4250" i="1"/>
  <c r="B4250" i="1" s="1"/>
  <c r="C4250" i="1"/>
  <c r="D4250" i="1"/>
  <c r="E4250" i="1"/>
  <c r="F4250" i="1"/>
  <c r="G4250" i="1" s="1"/>
  <c r="A4251" i="1"/>
  <c r="B4251" i="1" s="1"/>
  <c r="C4251" i="1"/>
  <c r="D4251" i="1"/>
  <c r="E4251" i="1"/>
  <c r="F4251" i="1"/>
  <c r="G4251" i="1" s="1"/>
  <c r="A4252" i="1"/>
  <c r="B4252" i="1" s="1"/>
  <c r="C4252" i="1"/>
  <c r="D4252" i="1"/>
  <c r="E4252" i="1"/>
  <c r="F4252" i="1"/>
  <c r="G4252" i="1" s="1"/>
  <c r="A4253" i="1"/>
  <c r="B4253" i="1" s="1"/>
  <c r="C4253" i="1"/>
  <c r="D4253" i="1"/>
  <c r="E4253" i="1"/>
  <c r="F4253" i="1"/>
  <c r="G4253" i="1" s="1"/>
  <c r="A4254" i="1"/>
  <c r="B4254" i="1" s="1"/>
  <c r="C4254" i="1"/>
  <c r="D4254" i="1"/>
  <c r="E4254" i="1"/>
  <c r="F4254" i="1"/>
  <c r="G4254" i="1"/>
  <c r="A4255" i="1"/>
  <c r="B4255" i="1"/>
  <c r="C4255" i="1"/>
  <c r="D4255" i="1"/>
  <c r="E4255" i="1"/>
  <c r="F4255" i="1"/>
  <c r="G4255" i="1" s="1"/>
  <c r="A4256" i="1"/>
  <c r="B4256" i="1" s="1"/>
  <c r="C4256" i="1"/>
  <c r="D4256" i="1"/>
  <c r="E4256" i="1"/>
  <c r="F4256" i="1"/>
  <c r="G4256" i="1" s="1"/>
  <c r="A4257" i="1"/>
  <c r="B4257" i="1" s="1"/>
  <c r="C4257" i="1"/>
  <c r="D4257" i="1"/>
  <c r="E4257" i="1"/>
  <c r="F4257" i="1"/>
  <c r="G4257" i="1" s="1"/>
  <c r="A4258" i="1"/>
  <c r="B4258" i="1" s="1"/>
  <c r="C4258" i="1"/>
  <c r="D4258" i="1"/>
  <c r="E4258" i="1"/>
  <c r="F4258" i="1"/>
  <c r="G4258" i="1" s="1"/>
  <c r="A4259" i="1"/>
  <c r="B4259" i="1" s="1"/>
  <c r="C4259" i="1"/>
  <c r="D4259" i="1"/>
  <c r="E4259" i="1"/>
  <c r="F4259" i="1"/>
  <c r="G4259" i="1" s="1"/>
  <c r="A4260" i="1"/>
  <c r="B4260" i="1" s="1"/>
  <c r="C4260" i="1"/>
  <c r="D4260" i="1"/>
  <c r="E4260" i="1"/>
  <c r="F4260" i="1"/>
  <c r="G4260" i="1" s="1"/>
  <c r="A4261" i="1"/>
  <c r="B4261" i="1" s="1"/>
  <c r="C4261" i="1"/>
  <c r="D4261" i="1"/>
  <c r="E4261" i="1"/>
  <c r="F4261" i="1"/>
  <c r="G4261" i="1" s="1"/>
  <c r="A4262" i="1"/>
  <c r="B4262" i="1"/>
  <c r="C4262" i="1"/>
  <c r="D4262" i="1"/>
  <c r="E4262" i="1"/>
  <c r="F4262" i="1"/>
  <c r="G4262" i="1" s="1"/>
  <c r="A4263" i="1"/>
  <c r="B4263" i="1" s="1"/>
  <c r="C4263" i="1"/>
  <c r="D4263" i="1"/>
  <c r="E4263" i="1"/>
  <c r="F4263" i="1"/>
  <c r="G4263" i="1" s="1"/>
  <c r="A4264" i="1"/>
  <c r="B4264" i="1" s="1"/>
  <c r="C4264" i="1"/>
  <c r="D4264" i="1"/>
  <c r="E4264" i="1"/>
  <c r="F4264" i="1"/>
  <c r="G4264" i="1" s="1"/>
  <c r="A4265" i="1"/>
  <c r="B4265" i="1"/>
  <c r="C4265" i="1"/>
  <c r="D4265" i="1"/>
  <c r="E4265" i="1"/>
  <c r="F4265" i="1"/>
  <c r="G4265" i="1" s="1"/>
  <c r="A4266" i="1"/>
  <c r="B4266" i="1" s="1"/>
  <c r="C4266" i="1"/>
  <c r="D4266" i="1"/>
  <c r="E4266" i="1"/>
  <c r="F4266" i="1"/>
  <c r="G4266" i="1" s="1"/>
  <c r="A4267" i="1"/>
  <c r="B4267" i="1"/>
  <c r="C4267" i="1"/>
  <c r="D4267" i="1"/>
  <c r="E4267" i="1"/>
  <c r="F4267" i="1"/>
  <c r="G4267" i="1" s="1"/>
  <c r="A4268" i="1"/>
  <c r="B4268" i="1" s="1"/>
  <c r="C4268" i="1"/>
  <c r="D4268" i="1"/>
  <c r="E4268" i="1"/>
  <c r="F4268" i="1"/>
  <c r="G4268" i="1" s="1"/>
  <c r="A4269" i="1"/>
  <c r="B4269" i="1" s="1"/>
  <c r="C4269" i="1"/>
  <c r="D4269" i="1"/>
  <c r="E4269" i="1"/>
  <c r="F4269" i="1"/>
  <c r="G4269" i="1" s="1"/>
  <c r="A4270" i="1"/>
  <c r="B4270" i="1" s="1"/>
  <c r="C4270" i="1"/>
  <c r="D4270" i="1"/>
  <c r="E4270" i="1"/>
  <c r="F4270" i="1"/>
  <c r="G4270" i="1" s="1"/>
  <c r="A4271" i="1"/>
  <c r="B4271" i="1" s="1"/>
  <c r="C4271" i="1"/>
  <c r="D4271" i="1"/>
  <c r="E4271" i="1"/>
  <c r="F4271" i="1"/>
  <c r="G4271" i="1" s="1"/>
  <c r="A4272" i="1"/>
  <c r="B4272" i="1" s="1"/>
  <c r="C4272" i="1"/>
  <c r="D4272" i="1"/>
  <c r="E4272" i="1"/>
  <c r="F4272" i="1"/>
  <c r="G4272" i="1" s="1"/>
  <c r="A4273" i="1"/>
  <c r="B4273" i="1" s="1"/>
  <c r="C4273" i="1"/>
  <c r="D4273" i="1"/>
  <c r="E4273" i="1"/>
  <c r="F4273" i="1"/>
  <c r="G4273" i="1" s="1"/>
  <c r="A4274" i="1"/>
  <c r="B4274" i="1" s="1"/>
  <c r="C4274" i="1"/>
  <c r="D4274" i="1"/>
  <c r="E4274" i="1"/>
  <c r="F4274" i="1"/>
  <c r="G4274" i="1" s="1"/>
  <c r="A4275" i="1"/>
  <c r="B4275" i="1" s="1"/>
  <c r="C4275" i="1"/>
  <c r="D4275" i="1"/>
  <c r="E4275" i="1"/>
  <c r="F4275" i="1"/>
  <c r="G4275" i="1"/>
  <c r="A4276" i="1"/>
  <c r="B4276" i="1"/>
  <c r="C4276" i="1"/>
  <c r="D4276" i="1"/>
  <c r="E4276" i="1"/>
  <c r="F4276" i="1"/>
  <c r="G4276" i="1" s="1"/>
  <c r="A4277" i="1"/>
  <c r="B4277" i="1" s="1"/>
  <c r="C4277" i="1"/>
  <c r="D4277" i="1"/>
  <c r="E4277" i="1"/>
  <c r="F4277" i="1"/>
  <c r="G4277" i="1" s="1"/>
  <c r="A4278" i="1"/>
  <c r="B4278" i="1" s="1"/>
  <c r="C4278" i="1"/>
  <c r="D4278" i="1"/>
  <c r="E4278" i="1"/>
  <c r="F4278" i="1"/>
  <c r="G4278" i="1" s="1"/>
  <c r="A4279" i="1"/>
  <c r="B4279" i="1" s="1"/>
  <c r="C4279" i="1"/>
  <c r="D4279" i="1"/>
  <c r="E4279" i="1"/>
  <c r="F4279" i="1"/>
  <c r="G4279" i="1" s="1"/>
  <c r="A4280" i="1"/>
  <c r="B4280" i="1" s="1"/>
  <c r="C4280" i="1"/>
  <c r="D4280" i="1"/>
  <c r="E4280" i="1"/>
  <c r="F4280" i="1"/>
  <c r="G4280" i="1" s="1"/>
  <c r="A4281" i="1"/>
  <c r="B4281" i="1" s="1"/>
  <c r="C4281" i="1"/>
  <c r="D4281" i="1"/>
  <c r="E4281" i="1"/>
  <c r="F4281" i="1"/>
  <c r="G4281" i="1" s="1"/>
  <c r="A4282" i="1"/>
  <c r="B4282" i="1" s="1"/>
  <c r="C4282" i="1"/>
  <c r="D4282" i="1"/>
  <c r="E4282" i="1"/>
  <c r="F4282" i="1"/>
  <c r="G4282" i="1" s="1"/>
  <c r="A4283" i="1"/>
  <c r="B4283" i="1" s="1"/>
  <c r="C4283" i="1"/>
  <c r="D4283" i="1"/>
  <c r="E4283" i="1"/>
  <c r="F4283" i="1"/>
  <c r="G4283" i="1" s="1"/>
  <c r="A4284" i="1"/>
  <c r="B4284" i="1" s="1"/>
  <c r="C4284" i="1"/>
  <c r="D4284" i="1"/>
  <c r="E4284" i="1"/>
  <c r="F4284" i="1"/>
  <c r="G4284" i="1" s="1"/>
  <c r="A4285" i="1"/>
  <c r="B4285" i="1" s="1"/>
  <c r="C4285" i="1"/>
  <c r="D4285" i="1"/>
  <c r="E4285" i="1"/>
  <c r="F4285" i="1"/>
  <c r="G4285" i="1" s="1"/>
  <c r="A4286" i="1"/>
  <c r="B4286" i="1" s="1"/>
  <c r="C4286" i="1"/>
  <c r="D4286" i="1"/>
  <c r="E4286" i="1"/>
  <c r="F4286" i="1"/>
  <c r="G4286" i="1" s="1"/>
  <c r="A4287" i="1"/>
  <c r="B4287" i="1" s="1"/>
  <c r="C4287" i="1"/>
  <c r="D4287" i="1"/>
  <c r="E4287" i="1"/>
  <c r="F4287" i="1"/>
  <c r="G4287" i="1" s="1"/>
  <c r="A4288" i="1"/>
  <c r="B4288" i="1" s="1"/>
  <c r="C4288" i="1"/>
  <c r="D4288" i="1"/>
  <c r="E4288" i="1"/>
  <c r="F4288" i="1"/>
  <c r="G4288" i="1" s="1"/>
  <c r="A4289" i="1"/>
  <c r="B4289" i="1" s="1"/>
  <c r="C4289" i="1"/>
  <c r="D4289" i="1"/>
  <c r="E4289" i="1"/>
  <c r="F4289" i="1"/>
  <c r="G4289" i="1" s="1"/>
  <c r="A4290" i="1"/>
  <c r="B4290" i="1" s="1"/>
  <c r="C4290" i="1"/>
  <c r="D4290" i="1"/>
  <c r="E4290" i="1"/>
  <c r="F4290" i="1"/>
  <c r="G4290" i="1" s="1"/>
  <c r="A4291" i="1"/>
  <c r="B4291" i="1" s="1"/>
  <c r="C4291" i="1"/>
  <c r="D4291" i="1"/>
  <c r="E4291" i="1"/>
  <c r="F4291" i="1"/>
  <c r="G4291" i="1" s="1"/>
  <c r="A4292" i="1"/>
  <c r="B4292" i="1" s="1"/>
  <c r="C4292" i="1"/>
  <c r="D4292" i="1"/>
  <c r="E4292" i="1"/>
  <c r="F4292" i="1"/>
  <c r="G4292" i="1" s="1"/>
  <c r="A4293" i="1"/>
  <c r="B4293" i="1" s="1"/>
  <c r="C4293" i="1"/>
  <c r="D4293" i="1"/>
  <c r="E4293" i="1"/>
  <c r="F4293" i="1"/>
  <c r="G4293" i="1"/>
  <c r="A4294" i="1"/>
  <c r="B4294" i="1" s="1"/>
  <c r="C4294" i="1"/>
  <c r="D4294" i="1"/>
  <c r="E4294" i="1"/>
  <c r="F4294" i="1"/>
  <c r="G4294" i="1" s="1"/>
  <c r="A4295" i="1"/>
  <c r="B4295" i="1" s="1"/>
  <c r="C4295" i="1"/>
  <c r="D4295" i="1"/>
  <c r="E4295" i="1"/>
  <c r="F4295" i="1"/>
  <c r="G4295" i="1" s="1"/>
  <c r="A4296" i="1"/>
  <c r="B4296" i="1" s="1"/>
  <c r="C4296" i="1"/>
  <c r="D4296" i="1"/>
  <c r="E4296" i="1"/>
  <c r="F4296" i="1"/>
  <c r="G4296" i="1" s="1"/>
  <c r="A4297" i="1"/>
  <c r="B4297" i="1" s="1"/>
  <c r="C4297" i="1"/>
  <c r="D4297" i="1"/>
  <c r="E4297" i="1"/>
  <c r="F4297" i="1"/>
  <c r="G4297" i="1" s="1"/>
  <c r="A4298" i="1"/>
  <c r="B4298" i="1" s="1"/>
  <c r="C4298" i="1"/>
  <c r="D4298" i="1"/>
  <c r="E4298" i="1"/>
  <c r="F4298" i="1"/>
  <c r="G4298" i="1" s="1"/>
  <c r="A4299" i="1"/>
  <c r="B4299" i="1" s="1"/>
  <c r="C4299" i="1"/>
  <c r="D4299" i="1"/>
  <c r="E4299" i="1"/>
  <c r="F4299" i="1"/>
  <c r="G4299" i="1" s="1"/>
  <c r="A4300" i="1"/>
  <c r="B4300" i="1"/>
  <c r="C4300" i="1"/>
  <c r="D4300" i="1"/>
  <c r="E4300" i="1"/>
  <c r="F4300" i="1"/>
  <c r="G4300" i="1" s="1"/>
  <c r="A4301" i="1"/>
  <c r="B4301" i="1" s="1"/>
  <c r="C4301" i="1"/>
  <c r="D4301" i="1"/>
  <c r="E4301" i="1"/>
  <c r="F4301" i="1"/>
  <c r="G4301" i="1" s="1"/>
  <c r="A4302" i="1"/>
  <c r="B4302" i="1" s="1"/>
  <c r="C4302" i="1"/>
  <c r="D4302" i="1"/>
  <c r="E4302" i="1"/>
  <c r="F4302" i="1"/>
  <c r="G4302" i="1" s="1"/>
  <c r="A4303" i="1"/>
  <c r="B4303" i="1" s="1"/>
  <c r="C4303" i="1"/>
  <c r="D4303" i="1"/>
  <c r="E4303" i="1"/>
  <c r="F4303" i="1"/>
  <c r="G4303" i="1" s="1"/>
  <c r="A4304" i="1"/>
  <c r="B4304" i="1" s="1"/>
  <c r="C4304" i="1"/>
  <c r="D4304" i="1"/>
  <c r="E4304" i="1"/>
  <c r="F4304" i="1"/>
  <c r="G4304" i="1" s="1"/>
  <c r="A4305" i="1"/>
  <c r="B4305" i="1" s="1"/>
  <c r="C4305" i="1"/>
  <c r="D4305" i="1"/>
  <c r="E4305" i="1"/>
  <c r="F4305" i="1"/>
  <c r="G4305" i="1"/>
  <c r="A4306" i="1"/>
  <c r="B4306" i="1" s="1"/>
  <c r="C4306" i="1"/>
  <c r="D4306" i="1"/>
  <c r="E4306" i="1"/>
  <c r="F4306" i="1"/>
  <c r="G4306" i="1" s="1"/>
  <c r="A4307" i="1"/>
  <c r="B4307" i="1" s="1"/>
  <c r="C4307" i="1"/>
  <c r="D4307" i="1"/>
  <c r="E4307" i="1"/>
  <c r="F4307" i="1"/>
  <c r="G4307" i="1" s="1"/>
  <c r="A4308" i="1"/>
  <c r="B4308" i="1" s="1"/>
  <c r="C4308" i="1"/>
  <c r="D4308" i="1"/>
  <c r="E4308" i="1"/>
  <c r="F4308" i="1"/>
  <c r="G4308" i="1" s="1"/>
  <c r="A4309" i="1"/>
  <c r="B4309" i="1" s="1"/>
  <c r="C4309" i="1"/>
  <c r="D4309" i="1"/>
  <c r="E4309" i="1"/>
  <c r="F4309" i="1"/>
  <c r="G4309" i="1" s="1"/>
  <c r="A4310" i="1"/>
  <c r="B4310" i="1" s="1"/>
  <c r="C4310" i="1"/>
  <c r="D4310" i="1"/>
  <c r="E4310" i="1"/>
  <c r="F4310" i="1"/>
  <c r="G4310" i="1" s="1"/>
  <c r="A4311" i="1"/>
  <c r="B4311" i="1" s="1"/>
  <c r="C4311" i="1"/>
  <c r="D4311" i="1"/>
  <c r="E4311" i="1"/>
  <c r="F4311" i="1"/>
  <c r="G4311" i="1" s="1"/>
  <c r="A4312" i="1"/>
  <c r="B4312" i="1" s="1"/>
  <c r="C4312" i="1"/>
  <c r="D4312" i="1"/>
  <c r="E4312" i="1"/>
  <c r="F4312" i="1"/>
  <c r="G4312" i="1" s="1"/>
  <c r="A4313" i="1"/>
  <c r="B4313" i="1" s="1"/>
  <c r="C4313" i="1"/>
  <c r="D4313" i="1"/>
  <c r="E4313" i="1"/>
  <c r="F4313" i="1"/>
  <c r="G4313" i="1" s="1"/>
  <c r="A4314" i="1"/>
  <c r="B4314" i="1" s="1"/>
  <c r="C4314" i="1"/>
  <c r="D4314" i="1"/>
  <c r="E4314" i="1"/>
  <c r="F4314" i="1"/>
  <c r="G4314" i="1" s="1"/>
  <c r="A4315" i="1"/>
  <c r="B4315" i="1" s="1"/>
  <c r="C4315" i="1"/>
  <c r="D4315" i="1"/>
  <c r="E4315" i="1"/>
  <c r="F4315" i="1"/>
  <c r="G4315" i="1" s="1"/>
  <c r="A4316" i="1"/>
  <c r="B4316" i="1" s="1"/>
  <c r="C4316" i="1"/>
  <c r="D4316" i="1"/>
  <c r="E4316" i="1"/>
  <c r="F4316" i="1"/>
  <c r="G4316" i="1"/>
  <c r="A4317" i="1"/>
  <c r="B4317" i="1" s="1"/>
  <c r="C4317" i="1"/>
  <c r="D4317" i="1"/>
  <c r="E4317" i="1"/>
  <c r="F4317" i="1"/>
  <c r="G4317" i="1"/>
  <c r="A4318" i="1"/>
  <c r="B4318" i="1" s="1"/>
  <c r="C4318" i="1"/>
  <c r="D4318" i="1"/>
  <c r="E4318" i="1"/>
  <c r="F4318" i="1"/>
  <c r="G4318" i="1" s="1"/>
  <c r="A4319" i="1"/>
  <c r="B4319" i="1" s="1"/>
  <c r="C4319" i="1"/>
  <c r="D4319" i="1"/>
  <c r="E4319" i="1"/>
  <c r="F4319" i="1"/>
  <c r="G4319" i="1" s="1"/>
  <c r="A4320" i="1"/>
  <c r="B4320" i="1" s="1"/>
  <c r="C4320" i="1"/>
  <c r="D4320" i="1"/>
  <c r="E4320" i="1"/>
  <c r="F4320" i="1"/>
  <c r="G4320" i="1" s="1"/>
  <c r="A4321" i="1"/>
  <c r="B4321" i="1" s="1"/>
  <c r="C4321" i="1"/>
  <c r="D4321" i="1"/>
  <c r="E4321" i="1"/>
  <c r="F4321" i="1"/>
  <c r="G4321" i="1" s="1"/>
  <c r="A4322" i="1"/>
  <c r="B4322" i="1" s="1"/>
  <c r="C4322" i="1"/>
  <c r="D4322" i="1"/>
  <c r="E4322" i="1"/>
  <c r="F4322" i="1"/>
  <c r="G4322" i="1" s="1"/>
  <c r="A4323" i="1"/>
  <c r="B4323" i="1" s="1"/>
  <c r="C4323" i="1"/>
  <c r="D4323" i="1"/>
  <c r="E4323" i="1"/>
  <c r="F4323" i="1"/>
  <c r="G4323" i="1" s="1"/>
  <c r="A4324" i="1"/>
  <c r="B4324" i="1" s="1"/>
  <c r="C4324" i="1"/>
  <c r="D4324" i="1"/>
  <c r="E4324" i="1"/>
  <c r="F4324" i="1"/>
  <c r="G4324" i="1" s="1"/>
  <c r="A4325" i="1"/>
  <c r="B4325" i="1" s="1"/>
  <c r="C4325" i="1"/>
  <c r="D4325" i="1"/>
  <c r="E4325" i="1"/>
  <c r="F4325" i="1"/>
  <c r="G4325" i="1" s="1"/>
  <c r="A4326" i="1"/>
  <c r="B4326" i="1" s="1"/>
  <c r="C4326" i="1"/>
  <c r="D4326" i="1"/>
  <c r="E4326" i="1"/>
  <c r="F4326" i="1"/>
  <c r="G4326" i="1" s="1"/>
  <c r="A4327" i="1"/>
  <c r="B4327" i="1" s="1"/>
  <c r="C4327" i="1"/>
  <c r="D4327" i="1"/>
  <c r="E4327" i="1"/>
  <c r="F4327" i="1"/>
  <c r="G4327" i="1" s="1"/>
  <c r="A4328" i="1"/>
  <c r="B4328" i="1" s="1"/>
  <c r="C4328" i="1"/>
  <c r="D4328" i="1"/>
  <c r="E4328" i="1"/>
  <c r="F4328" i="1"/>
  <c r="G4328" i="1" s="1"/>
  <c r="A4329" i="1"/>
  <c r="B4329" i="1" s="1"/>
  <c r="C4329" i="1"/>
  <c r="D4329" i="1"/>
  <c r="E4329" i="1"/>
  <c r="F4329" i="1"/>
  <c r="G4329" i="1" s="1"/>
  <c r="A4330" i="1"/>
  <c r="B4330" i="1" s="1"/>
  <c r="C4330" i="1"/>
  <c r="D4330" i="1"/>
  <c r="E4330" i="1"/>
  <c r="F4330" i="1"/>
  <c r="G4330" i="1" s="1"/>
  <c r="A4331" i="1"/>
  <c r="B4331" i="1" s="1"/>
  <c r="C4331" i="1"/>
  <c r="D4331" i="1"/>
  <c r="E4331" i="1"/>
  <c r="F4331" i="1"/>
  <c r="G4331" i="1" s="1"/>
  <c r="A4332" i="1"/>
  <c r="B4332" i="1" s="1"/>
  <c r="C4332" i="1"/>
  <c r="D4332" i="1"/>
  <c r="E4332" i="1"/>
  <c r="F4332" i="1"/>
  <c r="G4332" i="1" s="1"/>
  <c r="A4333" i="1"/>
  <c r="B4333" i="1" s="1"/>
  <c r="C4333" i="1"/>
  <c r="D4333" i="1"/>
  <c r="E4333" i="1"/>
  <c r="F4333" i="1"/>
  <c r="G4333" i="1" s="1"/>
  <c r="A4334" i="1"/>
  <c r="B4334" i="1" s="1"/>
  <c r="C4334" i="1"/>
  <c r="D4334" i="1"/>
  <c r="E4334" i="1"/>
  <c r="F4334" i="1"/>
  <c r="G4334" i="1" s="1"/>
  <c r="A4335" i="1"/>
  <c r="B4335" i="1" s="1"/>
  <c r="C4335" i="1"/>
  <c r="D4335" i="1"/>
  <c r="E4335" i="1"/>
  <c r="F4335" i="1"/>
  <c r="G4335" i="1" s="1"/>
  <c r="A4336" i="1"/>
  <c r="B4336" i="1" s="1"/>
  <c r="C4336" i="1"/>
  <c r="D4336" i="1"/>
  <c r="E4336" i="1"/>
  <c r="F4336" i="1"/>
  <c r="G4336" i="1" s="1"/>
  <c r="A4337" i="1"/>
  <c r="B4337" i="1" s="1"/>
  <c r="C4337" i="1"/>
  <c r="D4337" i="1"/>
  <c r="E4337" i="1"/>
  <c r="F4337" i="1"/>
  <c r="G4337" i="1" s="1"/>
  <c r="A4338" i="1"/>
  <c r="B4338" i="1" s="1"/>
  <c r="C4338" i="1"/>
  <c r="D4338" i="1"/>
  <c r="E4338" i="1"/>
  <c r="F4338" i="1"/>
  <c r="G4338" i="1" s="1"/>
  <c r="A4339" i="1"/>
  <c r="B4339" i="1" s="1"/>
  <c r="C4339" i="1"/>
  <c r="D4339" i="1"/>
  <c r="E4339" i="1"/>
  <c r="F4339" i="1"/>
  <c r="G4339" i="1" s="1"/>
  <c r="A4340" i="1"/>
  <c r="B4340" i="1" s="1"/>
  <c r="C4340" i="1"/>
  <c r="D4340" i="1"/>
  <c r="E4340" i="1"/>
  <c r="F4340" i="1"/>
  <c r="G4340" i="1"/>
  <c r="A4341" i="1"/>
  <c r="B4341" i="1" s="1"/>
  <c r="C4341" i="1"/>
  <c r="D4341" i="1"/>
  <c r="E4341" i="1"/>
  <c r="F4341" i="1"/>
  <c r="G4341" i="1" s="1"/>
  <c r="A4342" i="1"/>
  <c r="B4342" i="1" s="1"/>
  <c r="C4342" i="1"/>
  <c r="D4342" i="1"/>
  <c r="E4342" i="1"/>
  <c r="F4342" i="1"/>
  <c r="G4342" i="1" s="1"/>
  <c r="A4343" i="1"/>
  <c r="B4343" i="1" s="1"/>
  <c r="C4343" i="1"/>
  <c r="D4343" i="1"/>
  <c r="E4343" i="1"/>
  <c r="F4343" i="1"/>
  <c r="G4343" i="1" s="1"/>
  <c r="A4344" i="1"/>
  <c r="B4344" i="1" s="1"/>
  <c r="C4344" i="1"/>
  <c r="D4344" i="1"/>
  <c r="E4344" i="1"/>
  <c r="F4344" i="1"/>
  <c r="G4344" i="1" s="1"/>
  <c r="A4345" i="1"/>
  <c r="B4345" i="1" s="1"/>
  <c r="C4345" i="1"/>
  <c r="D4345" i="1"/>
  <c r="E4345" i="1"/>
  <c r="F4345" i="1"/>
  <c r="G4345" i="1" s="1"/>
  <c r="A4346" i="1"/>
  <c r="B4346" i="1" s="1"/>
  <c r="C4346" i="1"/>
  <c r="D4346" i="1"/>
  <c r="E4346" i="1"/>
  <c r="F4346" i="1"/>
  <c r="G4346" i="1" s="1"/>
  <c r="A4347" i="1"/>
  <c r="B4347" i="1" s="1"/>
  <c r="C4347" i="1"/>
  <c r="D4347" i="1"/>
  <c r="E4347" i="1"/>
  <c r="F4347" i="1"/>
  <c r="G4347" i="1"/>
  <c r="A4348" i="1"/>
  <c r="B4348" i="1" s="1"/>
  <c r="C4348" i="1"/>
  <c r="D4348" i="1"/>
  <c r="E4348" i="1"/>
  <c r="F4348" i="1"/>
  <c r="G4348" i="1" s="1"/>
  <c r="A4349" i="1"/>
  <c r="B4349" i="1"/>
  <c r="C4349" i="1"/>
  <c r="D4349" i="1"/>
  <c r="E4349" i="1"/>
  <c r="F4349" i="1"/>
  <c r="G4349" i="1" s="1"/>
  <c r="A4350" i="1"/>
  <c r="B4350" i="1" s="1"/>
  <c r="C4350" i="1"/>
  <c r="D4350" i="1"/>
  <c r="E4350" i="1"/>
  <c r="F4350" i="1"/>
  <c r="G4350" i="1" s="1"/>
  <c r="A4351" i="1"/>
  <c r="B4351" i="1"/>
  <c r="C4351" i="1"/>
  <c r="D4351" i="1"/>
  <c r="E4351" i="1"/>
  <c r="F4351" i="1"/>
  <c r="G4351" i="1" s="1"/>
  <c r="A4352" i="1"/>
  <c r="B4352" i="1" s="1"/>
  <c r="C4352" i="1"/>
  <c r="D4352" i="1"/>
  <c r="E4352" i="1"/>
  <c r="F4352" i="1"/>
  <c r="G4352" i="1" s="1"/>
  <c r="A4353" i="1"/>
  <c r="B4353" i="1" s="1"/>
  <c r="C4353" i="1"/>
  <c r="D4353" i="1"/>
  <c r="E4353" i="1"/>
  <c r="F4353" i="1"/>
  <c r="G4353" i="1" s="1"/>
  <c r="A4354" i="1"/>
  <c r="B4354" i="1" s="1"/>
  <c r="C4354" i="1"/>
  <c r="D4354" i="1"/>
  <c r="E4354" i="1"/>
  <c r="F4354" i="1"/>
  <c r="G4354" i="1" s="1"/>
  <c r="A4355" i="1"/>
  <c r="B4355" i="1" s="1"/>
  <c r="C4355" i="1"/>
  <c r="D4355" i="1"/>
  <c r="E4355" i="1"/>
  <c r="F4355" i="1"/>
  <c r="G4355" i="1" s="1"/>
  <c r="A4356" i="1"/>
  <c r="B4356" i="1" s="1"/>
  <c r="C4356" i="1"/>
  <c r="D4356" i="1"/>
  <c r="E4356" i="1"/>
  <c r="F4356" i="1"/>
  <c r="G4356" i="1" s="1"/>
  <c r="A4357" i="1"/>
  <c r="B4357" i="1" s="1"/>
  <c r="C4357" i="1"/>
  <c r="D4357" i="1"/>
  <c r="E4357" i="1"/>
  <c r="F4357" i="1"/>
  <c r="G4357" i="1" s="1"/>
  <c r="A4358" i="1"/>
  <c r="B4358" i="1" s="1"/>
  <c r="C4358" i="1"/>
  <c r="D4358" i="1"/>
  <c r="E4358" i="1"/>
  <c r="F4358" i="1"/>
  <c r="G4358" i="1" s="1"/>
  <c r="A4359" i="1"/>
  <c r="B4359" i="1" s="1"/>
  <c r="C4359" i="1"/>
  <c r="D4359" i="1"/>
  <c r="E4359" i="1"/>
  <c r="F4359" i="1"/>
  <c r="G4359" i="1" s="1"/>
  <c r="A4360" i="1"/>
  <c r="B4360" i="1" s="1"/>
  <c r="C4360" i="1"/>
  <c r="D4360" i="1"/>
  <c r="E4360" i="1"/>
  <c r="F4360" i="1"/>
  <c r="G4360" i="1" s="1"/>
  <c r="A4361" i="1"/>
  <c r="B4361" i="1" s="1"/>
  <c r="C4361" i="1"/>
  <c r="D4361" i="1"/>
  <c r="E4361" i="1"/>
  <c r="F4361" i="1"/>
  <c r="G4361" i="1" s="1"/>
  <c r="A4362" i="1"/>
  <c r="B4362" i="1"/>
  <c r="C4362" i="1"/>
  <c r="D4362" i="1"/>
  <c r="E4362" i="1"/>
  <c r="F4362" i="1"/>
  <c r="G4362" i="1" s="1"/>
  <c r="A4363" i="1"/>
  <c r="B4363" i="1" s="1"/>
  <c r="C4363" i="1"/>
  <c r="D4363" i="1"/>
  <c r="E4363" i="1"/>
  <c r="F4363" i="1"/>
  <c r="G4363" i="1" s="1"/>
  <c r="A4364" i="1"/>
  <c r="B4364" i="1" s="1"/>
  <c r="C4364" i="1"/>
  <c r="D4364" i="1"/>
  <c r="E4364" i="1"/>
  <c r="F4364" i="1"/>
  <c r="G4364" i="1" s="1"/>
  <c r="A4365" i="1"/>
  <c r="B4365" i="1" s="1"/>
  <c r="C4365" i="1"/>
  <c r="D4365" i="1"/>
  <c r="E4365" i="1"/>
  <c r="F4365" i="1"/>
  <c r="G4365" i="1" s="1"/>
  <c r="A4366" i="1"/>
  <c r="B4366" i="1" s="1"/>
  <c r="C4366" i="1"/>
  <c r="D4366" i="1"/>
  <c r="E4366" i="1"/>
  <c r="F4366" i="1"/>
  <c r="G4366" i="1" s="1"/>
  <c r="A4367" i="1"/>
  <c r="B4367" i="1" s="1"/>
  <c r="C4367" i="1"/>
  <c r="D4367" i="1"/>
  <c r="E4367" i="1"/>
  <c r="F4367" i="1"/>
  <c r="G4367" i="1" s="1"/>
  <c r="A4368" i="1"/>
  <c r="B4368" i="1" s="1"/>
  <c r="C4368" i="1"/>
  <c r="D4368" i="1"/>
  <c r="E4368" i="1"/>
  <c r="F4368" i="1"/>
  <c r="G4368" i="1" s="1"/>
  <c r="A4369" i="1"/>
  <c r="B4369" i="1" s="1"/>
  <c r="C4369" i="1"/>
  <c r="D4369" i="1"/>
  <c r="E4369" i="1"/>
  <c r="F4369" i="1"/>
  <c r="G4369" i="1" s="1"/>
  <c r="A4370" i="1"/>
  <c r="B4370" i="1" s="1"/>
  <c r="C4370" i="1"/>
  <c r="D4370" i="1"/>
  <c r="E4370" i="1"/>
  <c r="F4370" i="1"/>
  <c r="G4370" i="1" s="1"/>
  <c r="A4371" i="1"/>
  <c r="B4371" i="1" s="1"/>
  <c r="C4371" i="1"/>
  <c r="D4371" i="1"/>
  <c r="E4371" i="1"/>
  <c r="F4371" i="1"/>
  <c r="G4371" i="1" s="1"/>
  <c r="A4372" i="1"/>
  <c r="B4372" i="1" s="1"/>
  <c r="C4372" i="1"/>
  <c r="D4372" i="1"/>
  <c r="E4372" i="1"/>
  <c r="F4372" i="1"/>
  <c r="G4372" i="1" s="1"/>
  <c r="A4373" i="1"/>
  <c r="B4373" i="1" s="1"/>
  <c r="C4373" i="1"/>
  <c r="D4373" i="1"/>
  <c r="E4373" i="1"/>
  <c r="F4373" i="1"/>
  <c r="G4373" i="1" s="1"/>
  <c r="A4374" i="1"/>
  <c r="B4374" i="1" s="1"/>
  <c r="C4374" i="1"/>
  <c r="D4374" i="1"/>
  <c r="E4374" i="1"/>
  <c r="F4374" i="1"/>
  <c r="G4374" i="1" s="1"/>
  <c r="A4375" i="1"/>
  <c r="B4375" i="1" s="1"/>
  <c r="C4375" i="1"/>
  <c r="D4375" i="1"/>
  <c r="E4375" i="1"/>
  <c r="F4375" i="1"/>
  <c r="G4375" i="1"/>
  <c r="A4376" i="1"/>
  <c r="B4376" i="1" s="1"/>
  <c r="C4376" i="1"/>
  <c r="D4376" i="1"/>
  <c r="E4376" i="1"/>
  <c r="F4376" i="1"/>
  <c r="G4376" i="1" s="1"/>
  <c r="A4377" i="1"/>
  <c r="B4377" i="1" s="1"/>
  <c r="C4377" i="1"/>
  <c r="D4377" i="1"/>
  <c r="E4377" i="1"/>
  <c r="F4377" i="1"/>
  <c r="G4377" i="1" s="1"/>
  <c r="A4378" i="1"/>
  <c r="B4378" i="1" s="1"/>
  <c r="C4378" i="1"/>
  <c r="D4378" i="1"/>
  <c r="E4378" i="1"/>
  <c r="F4378" i="1"/>
  <c r="G4378" i="1" s="1"/>
  <c r="A4379" i="1"/>
  <c r="B4379" i="1"/>
  <c r="C4379" i="1"/>
  <c r="D4379" i="1"/>
  <c r="E4379" i="1"/>
  <c r="F4379" i="1"/>
  <c r="G4379" i="1" s="1"/>
  <c r="A4380" i="1"/>
  <c r="B4380" i="1" s="1"/>
  <c r="C4380" i="1"/>
  <c r="D4380" i="1"/>
  <c r="E4380" i="1"/>
  <c r="F4380" i="1"/>
  <c r="G4380" i="1" s="1"/>
  <c r="A4381" i="1"/>
  <c r="B4381" i="1" s="1"/>
  <c r="C4381" i="1"/>
  <c r="D4381" i="1"/>
  <c r="E4381" i="1"/>
  <c r="F4381" i="1"/>
  <c r="G4381" i="1" s="1"/>
  <c r="A4382" i="1"/>
  <c r="B4382" i="1" s="1"/>
  <c r="C4382" i="1"/>
  <c r="D4382" i="1"/>
  <c r="E4382" i="1"/>
  <c r="F4382" i="1"/>
  <c r="G4382" i="1" s="1"/>
  <c r="A4383" i="1"/>
  <c r="B4383" i="1" s="1"/>
  <c r="C4383" i="1"/>
  <c r="D4383" i="1"/>
  <c r="E4383" i="1"/>
  <c r="F4383" i="1"/>
  <c r="G4383" i="1" s="1"/>
  <c r="A4384" i="1"/>
  <c r="B4384" i="1"/>
  <c r="C4384" i="1"/>
  <c r="D4384" i="1"/>
  <c r="E4384" i="1"/>
  <c r="F4384" i="1"/>
  <c r="G4384" i="1" s="1"/>
  <c r="A4385" i="1"/>
  <c r="B4385" i="1" s="1"/>
  <c r="C4385" i="1"/>
  <c r="D4385" i="1"/>
  <c r="E4385" i="1"/>
  <c r="F4385" i="1"/>
  <c r="G4385" i="1" s="1"/>
  <c r="A4386" i="1"/>
  <c r="B4386" i="1"/>
  <c r="C4386" i="1"/>
  <c r="D4386" i="1"/>
  <c r="E4386" i="1"/>
  <c r="F4386" i="1"/>
  <c r="G4386" i="1" s="1"/>
  <c r="A4387" i="1"/>
  <c r="B4387" i="1" s="1"/>
  <c r="C4387" i="1"/>
  <c r="D4387" i="1"/>
  <c r="E4387" i="1"/>
  <c r="F4387" i="1"/>
  <c r="G4387" i="1" s="1"/>
  <c r="A4388" i="1"/>
  <c r="B4388" i="1"/>
  <c r="C4388" i="1"/>
  <c r="D4388" i="1"/>
  <c r="E4388" i="1"/>
  <c r="F4388" i="1"/>
  <c r="G4388" i="1" s="1"/>
  <c r="A4389" i="1"/>
  <c r="B4389" i="1" s="1"/>
  <c r="C4389" i="1"/>
  <c r="D4389" i="1"/>
  <c r="E4389" i="1"/>
  <c r="F4389" i="1"/>
  <c r="G4389" i="1" s="1"/>
  <c r="A4390" i="1"/>
  <c r="B4390" i="1" s="1"/>
  <c r="C4390" i="1"/>
  <c r="D4390" i="1"/>
  <c r="E4390" i="1"/>
  <c r="F4390" i="1"/>
  <c r="G4390" i="1" s="1"/>
  <c r="A4391" i="1"/>
  <c r="B4391" i="1" s="1"/>
  <c r="C4391" i="1"/>
  <c r="D4391" i="1"/>
  <c r="E4391" i="1"/>
  <c r="F4391" i="1"/>
  <c r="G4391" i="1" s="1"/>
  <c r="A4392" i="1"/>
  <c r="B4392" i="1" s="1"/>
  <c r="C4392" i="1"/>
  <c r="D4392" i="1"/>
  <c r="E4392" i="1"/>
  <c r="F4392" i="1"/>
  <c r="G4392" i="1" s="1"/>
  <c r="A4393" i="1"/>
  <c r="B4393" i="1" s="1"/>
  <c r="C4393" i="1"/>
  <c r="D4393" i="1"/>
  <c r="E4393" i="1"/>
  <c r="F4393" i="1"/>
  <c r="G4393" i="1" s="1"/>
  <c r="A4394" i="1"/>
  <c r="B4394" i="1" s="1"/>
  <c r="C4394" i="1"/>
  <c r="D4394" i="1"/>
  <c r="E4394" i="1"/>
  <c r="F4394" i="1"/>
  <c r="G4394" i="1" s="1"/>
  <c r="A4395" i="1"/>
  <c r="B4395" i="1" s="1"/>
  <c r="C4395" i="1"/>
  <c r="D4395" i="1"/>
  <c r="E4395" i="1"/>
  <c r="F4395" i="1"/>
  <c r="G4395" i="1"/>
  <c r="A4396" i="1"/>
  <c r="B4396" i="1"/>
  <c r="C4396" i="1"/>
  <c r="D4396" i="1"/>
  <c r="E4396" i="1"/>
  <c r="F4396" i="1"/>
  <c r="G4396" i="1" s="1"/>
  <c r="A4397" i="1"/>
  <c r="B4397" i="1" s="1"/>
  <c r="C4397" i="1"/>
  <c r="D4397" i="1"/>
  <c r="E4397" i="1"/>
  <c r="F4397" i="1"/>
  <c r="G4397" i="1" s="1"/>
  <c r="A4398" i="1"/>
  <c r="B4398" i="1" s="1"/>
  <c r="C4398" i="1"/>
  <c r="D4398" i="1"/>
  <c r="E4398" i="1"/>
  <c r="F4398" i="1"/>
  <c r="G4398" i="1" s="1"/>
  <c r="A4399" i="1"/>
  <c r="B4399" i="1" s="1"/>
  <c r="C4399" i="1"/>
  <c r="D4399" i="1"/>
  <c r="E4399" i="1"/>
  <c r="F4399" i="1"/>
  <c r="G4399" i="1" s="1"/>
  <c r="A4400" i="1"/>
  <c r="B4400" i="1" s="1"/>
  <c r="C4400" i="1"/>
  <c r="D4400" i="1"/>
  <c r="E4400" i="1"/>
  <c r="F4400" i="1"/>
  <c r="G4400" i="1" s="1"/>
  <c r="A4401" i="1"/>
  <c r="B4401" i="1" s="1"/>
  <c r="C4401" i="1"/>
  <c r="D4401" i="1"/>
  <c r="E4401" i="1"/>
  <c r="F4401" i="1"/>
  <c r="G4401" i="1" s="1"/>
  <c r="A4402" i="1"/>
  <c r="B4402" i="1" s="1"/>
  <c r="C4402" i="1"/>
  <c r="D4402" i="1"/>
  <c r="E4402" i="1"/>
  <c r="F4402" i="1"/>
  <c r="G4402" i="1" s="1"/>
  <c r="A4403" i="1"/>
  <c r="B4403" i="1" s="1"/>
  <c r="C4403" i="1"/>
  <c r="D4403" i="1"/>
  <c r="E4403" i="1"/>
  <c r="F4403" i="1"/>
  <c r="G4403" i="1" s="1"/>
  <c r="A4404" i="1"/>
  <c r="B4404" i="1" s="1"/>
  <c r="C4404" i="1"/>
  <c r="D4404" i="1"/>
  <c r="E4404" i="1"/>
  <c r="F4404" i="1"/>
  <c r="G4404" i="1" s="1"/>
  <c r="A4405" i="1"/>
  <c r="B4405" i="1" s="1"/>
  <c r="C4405" i="1"/>
  <c r="D4405" i="1"/>
  <c r="E4405" i="1"/>
  <c r="F4405" i="1"/>
  <c r="G4405" i="1" s="1"/>
  <c r="A4406" i="1"/>
  <c r="B4406" i="1" s="1"/>
  <c r="C4406" i="1"/>
  <c r="D4406" i="1"/>
  <c r="E4406" i="1"/>
  <c r="F4406" i="1"/>
  <c r="G4406" i="1" s="1"/>
  <c r="A4407" i="1"/>
  <c r="B4407" i="1" s="1"/>
  <c r="C4407" i="1"/>
  <c r="D4407" i="1"/>
  <c r="E4407" i="1"/>
  <c r="F4407" i="1"/>
  <c r="G4407" i="1"/>
  <c r="A4408" i="1"/>
  <c r="B4408" i="1" s="1"/>
  <c r="C4408" i="1"/>
  <c r="D4408" i="1"/>
  <c r="E4408" i="1"/>
  <c r="F4408" i="1"/>
  <c r="G4408" i="1" s="1"/>
  <c r="A4409" i="1"/>
  <c r="B4409" i="1" s="1"/>
  <c r="C4409" i="1"/>
  <c r="D4409" i="1"/>
  <c r="E4409" i="1"/>
  <c r="F4409" i="1"/>
  <c r="G4409" i="1"/>
  <c r="A4410" i="1"/>
  <c r="B4410" i="1" s="1"/>
  <c r="C4410" i="1"/>
  <c r="D4410" i="1"/>
  <c r="E4410" i="1"/>
  <c r="F4410" i="1"/>
  <c r="G4410" i="1" s="1"/>
  <c r="A4411" i="1"/>
  <c r="B4411" i="1" s="1"/>
  <c r="C4411" i="1"/>
  <c r="D4411" i="1"/>
  <c r="E4411" i="1"/>
  <c r="F4411" i="1"/>
  <c r="G4411" i="1" s="1"/>
  <c r="A4412" i="1"/>
  <c r="B4412" i="1" s="1"/>
  <c r="C4412" i="1"/>
  <c r="D4412" i="1"/>
  <c r="E4412" i="1"/>
  <c r="F4412" i="1"/>
  <c r="G4412" i="1" s="1"/>
  <c r="A4413" i="1"/>
  <c r="B4413" i="1" s="1"/>
  <c r="C4413" i="1"/>
  <c r="D4413" i="1"/>
  <c r="E4413" i="1"/>
  <c r="F4413" i="1"/>
  <c r="G4413" i="1" s="1"/>
  <c r="A4414" i="1"/>
  <c r="B4414" i="1" s="1"/>
  <c r="C4414" i="1"/>
  <c r="D4414" i="1"/>
  <c r="E4414" i="1"/>
  <c r="F4414" i="1"/>
  <c r="G4414" i="1" s="1"/>
  <c r="A4415" i="1"/>
  <c r="B4415" i="1" s="1"/>
  <c r="C4415" i="1"/>
  <c r="D4415" i="1"/>
  <c r="E4415" i="1"/>
  <c r="F4415" i="1"/>
  <c r="G4415" i="1" s="1"/>
  <c r="A4416" i="1"/>
  <c r="B4416" i="1" s="1"/>
  <c r="C4416" i="1"/>
  <c r="D4416" i="1"/>
  <c r="E4416" i="1"/>
  <c r="F4416" i="1"/>
  <c r="G4416" i="1" s="1"/>
  <c r="A4417" i="1"/>
  <c r="B4417" i="1" s="1"/>
  <c r="C4417" i="1"/>
  <c r="D4417" i="1"/>
  <c r="E4417" i="1"/>
  <c r="F4417" i="1"/>
  <c r="G4417" i="1" s="1"/>
  <c r="A4418" i="1"/>
  <c r="B4418" i="1" s="1"/>
  <c r="C4418" i="1"/>
  <c r="D4418" i="1"/>
  <c r="E4418" i="1"/>
  <c r="F4418" i="1"/>
  <c r="G4418" i="1" s="1"/>
  <c r="A4419" i="1"/>
  <c r="B4419" i="1" s="1"/>
  <c r="C4419" i="1"/>
  <c r="D4419" i="1"/>
  <c r="E4419" i="1"/>
  <c r="F4419" i="1"/>
  <c r="G4419" i="1" s="1"/>
  <c r="A4420" i="1"/>
  <c r="B4420" i="1" s="1"/>
  <c r="C4420" i="1"/>
  <c r="D4420" i="1"/>
  <c r="E4420" i="1"/>
  <c r="F4420" i="1"/>
  <c r="G4420" i="1" s="1"/>
  <c r="A4421" i="1"/>
  <c r="B4421" i="1" s="1"/>
  <c r="C4421" i="1"/>
  <c r="D4421" i="1"/>
  <c r="E4421" i="1"/>
  <c r="F4421" i="1"/>
  <c r="G4421" i="1" s="1"/>
  <c r="A4422" i="1"/>
  <c r="B4422" i="1" s="1"/>
  <c r="C4422" i="1"/>
  <c r="D4422" i="1"/>
  <c r="E4422" i="1"/>
  <c r="F4422" i="1"/>
  <c r="G4422" i="1" s="1"/>
  <c r="A4423" i="1"/>
  <c r="B4423" i="1"/>
  <c r="C4423" i="1"/>
  <c r="D4423" i="1"/>
  <c r="E4423" i="1"/>
  <c r="F4423" i="1"/>
  <c r="G4423" i="1" s="1"/>
  <c r="A4424" i="1"/>
  <c r="B4424" i="1" s="1"/>
  <c r="C4424" i="1"/>
  <c r="D4424" i="1"/>
  <c r="E4424" i="1"/>
  <c r="F4424" i="1"/>
  <c r="G4424" i="1" s="1"/>
  <c r="A4425" i="1"/>
  <c r="B4425" i="1" s="1"/>
  <c r="C4425" i="1"/>
  <c r="D4425" i="1"/>
  <c r="E4425" i="1"/>
  <c r="F4425" i="1"/>
  <c r="G4425" i="1" s="1"/>
  <c r="A4426" i="1"/>
  <c r="B4426" i="1" s="1"/>
  <c r="C4426" i="1"/>
  <c r="D4426" i="1"/>
  <c r="E4426" i="1"/>
  <c r="F4426" i="1"/>
  <c r="G4426" i="1" s="1"/>
  <c r="A4427" i="1"/>
  <c r="B4427" i="1" s="1"/>
  <c r="C4427" i="1"/>
  <c r="D4427" i="1"/>
  <c r="E4427" i="1"/>
  <c r="F4427" i="1"/>
  <c r="G4427" i="1" s="1"/>
  <c r="A4428" i="1"/>
  <c r="B4428" i="1" s="1"/>
  <c r="C4428" i="1"/>
  <c r="D4428" i="1"/>
  <c r="E4428" i="1"/>
  <c r="F4428" i="1"/>
  <c r="G4428" i="1" s="1"/>
  <c r="A4429" i="1"/>
  <c r="B4429" i="1" s="1"/>
  <c r="C4429" i="1"/>
  <c r="D4429" i="1"/>
  <c r="E4429" i="1"/>
  <c r="F4429" i="1"/>
  <c r="G4429" i="1" s="1"/>
  <c r="A4430" i="1"/>
  <c r="B4430" i="1" s="1"/>
  <c r="C4430" i="1"/>
  <c r="D4430" i="1"/>
  <c r="E4430" i="1"/>
  <c r="F4430" i="1"/>
  <c r="G4430" i="1" s="1"/>
  <c r="A4431" i="1"/>
  <c r="B4431" i="1" s="1"/>
  <c r="C4431" i="1"/>
  <c r="D4431" i="1"/>
  <c r="E4431" i="1"/>
  <c r="F4431" i="1"/>
  <c r="G4431" i="1" s="1"/>
  <c r="A4432" i="1"/>
  <c r="B4432" i="1" s="1"/>
  <c r="C4432" i="1"/>
  <c r="D4432" i="1"/>
  <c r="E4432" i="1"/>
  <c r="F4432" i="1"/>
  <c r="G4432" i="1" s="1"/>
  <c r="A4433" i="1"/>
  <c r="B4433" i="1" s="1"/>
  <c r="C4433" i="1"/>
  <c r="D4433" i="1"/>
  <c r="E4433" i="1"/>
  <c r="F4433" i="1"/>
  <c r="G4433" i="1" s="1"/>
  <c r="A4434" i="1"/>
  <c r="B4434" i="1" s="1"/>
  <c r="C4434" i="1"/>
  <c r="D4434" i="1"/>
  <c r="E4434" i="1"/>
  <c r="F4434" i="1"/>
  <c r="G4434" i="1" s="1"/>
  <c r="A4435" i="1"/>
  <c r="B4435" i="1" s="1"/>
  <c r="C4435" i="1"/>
  <c r="D4435" i="1"/>
  <c r="E4435" i="1"/>
  <c r="F4435" i="1"/>
  <c r="G4435" i="1" s="1"/>
  <c r="A4436" i="1"/>
  <c r="B4436" i="1" s="1"/>
  <c r="C4436" i="1"/>
  <c r="D4436" i="1"/>
  <c r="E4436" i="1"/>
  <c r="F4436" i="1"/>
  <c r="G4436" i="1" s="1"/>
  <c r="A4437" i="1"/>
  <c r="B4437" i="1" s="1"/>
  <c r="C4437" i="1"/>
  <c r="D4437" i="1"/>
  <c r="E4437" i="1"/>
  <c r="F4437" i="1"/>
  <c r="G4437" i="1" s="1"/>
  <c r="A4438" i="1"/>
  <c r="B4438" i="1" s="1"/>
  <c r="C4438" i="1"/>
  <c r="D4438" i="1"/>
  <c r="E4438" i="1"/>
  <c r="F4438" i="1"/>
  <c r="G4438" i="1" s="1"/>
  <c r="A4439" i="1"/>
  <c r="B4439" i="1" s="1"/>
  <c r="C4439" i="1"/>
  <c r="D4439" i="1"/>
  <c r="E4439" i="1"/>
  <c r="F4439" i="1"/>
  <c r="G4439" i="1" s="1"/>
  <c r="A4440" i="1"/>
  <c r="B4440" i="1" s="1"/>
  <c r="C4440" i="1"/>
  <c r="D4440" i="1"/>
  <c r="E4440" i="1"/>
  <c r="F4440" i="1"/>
  <c r="G4440" i="1" s="1"/>
  <c r="A4441" i="1"/>
  <c r="B4441" i="1" s="1"/>
  <c r="C4441" i="1"/>
  <c r="D4441" i="1"/>
  <c r="E4441" i="1"/>
  <c r="F4441" i="1"/>
  <c r="G4441" i="1" s="1"/>
  <c r="A4442" i="1"/>
  <c r="B4442" i="1" s="1"/>
  <c r="C4442" i="1"/>
  <c r="D4442" i="1"/>
  <c r="E4442" i="1"/>
  <c r="F4442" i="1"/>
  <c r="G4442" i="1" s="1"/>
  <c r="A4443" i="1"/>
  <c r="B4443" i="1" s="1"/>
  <c r="C4443" i="1"/>
  <c r="D4443" i="1"/>
  <c r="E4443" i="1"/>
  <c r="F4443" i="1"/>
  <c r="G4443" i="1" s="1"/>
  <c r="A4444" i="1"/>
  <c r="B4444" i="1" s="1"/>
  <c r="C4444" i="1"/>
  <c r="D4444" i="1"/>
  <c r="E4444" i="1"/>
  <c r="F4444" i="1"/>
  <c r="G4444" i="1" s="1"/>
  <c r="A4445" i="1"/>
  <c r="B4445" i="1" s="1"/>
  <c r="C4445" i="1"/>
  <c r="D4445" i="1"/>
  <c r="E4445" i="1"/>
  <c r="F4445" i="1"/>
  <c r="G4445" i="1" s="1"/>
  <c r="A4446" i="1"/>
  <c r="B4446" i="1" s="1"/>
  <c r="C4446" i="1"/>
  <c r="D4446" i="1"/>
  <c r="E4446" i="1"/>
  <c r="F4446" i="1"/>
  <c r="G4446" i="1" s="1"/>
  <c r="A4447" i="1"/>
  <c r="B4447" i="1" s="1"/>
  <c r="C4447" i="1"/>
  <c r="D4447" i="1"/>
  <c r="E4447" i="1"/>
  <c r="F4447" i="1"/>
  <c r="G4447" i="1" s="1"/>
  <c r="A4448" i="1"/>
  <c r="B4448" i="1" s="1"/>
  <c r="C4448" i="1"/>
  <c r="D4448" i="1"/>
  <c r="E4448" i="1"/>
  <c r="F4448" i="1"/>
  <c r="G4448" i="1" s="1"/>
  <c r="A4449" i="1"/>
  <c r="B4449" i="1" s="1"/>
  <c r="C4449" i="1"/>
  <c r="D4449" i="1"/>
  <c r="E4449" i="1"/>
  <c r="F4449" i="1"/>
  <c r="G4449" i="1" s="1"/>
  <c r="A4450" i="1"/>
  <c r="B4450" i="1" s="1"/>
  <c r="C4450" i="1"/>
  <c r="D4450" i="1"/>
  <c r="E4450" i="1"/>
  <c r="F4450" i="1"/>
  <c r="G4450" i="1" s="1"/>
  <c r="A4451" i="1"/>
  <c r="B4451" i="1" s="1"/>
  <c r="C4451" i="1"/>
  <c r="D4451" i="1"/>
  <c r="E4451" i="1"/>
  <c r="F4451" i="1"/>
  <c r="G4451" i="1" s="1"/>
  <c r="A4452" i="1"/>
  <c r="B4452" i="1" s="1"/>
  <c r="C4452" i="1"/>
  <c r="D4452" i="1"/>
  <c r="E4452" i="1"/>
  <c r="F4452" i="1"/>
  <c r="G4452" i="1" s="1"/>
  <c r="A4453" i="1"/>
  <c r="B4453" i="1" s="1"/>
  <c r="C4453" i="1"/>
  <c r="D4453" i="1"/>
  <c r="E4453" i="1"/>
  <c r="F4453" i="1"/>
  <c r="G4453" i="1" s="1"/>
  <c r="A4454" i="1"/>
  <c r="B4454" i="1" s="1"/>
  <c r="C4454" i="1"/>
  <c r="D4454" i="1"/>
  <c r="E4454" i="1"/>
  <c r="F4454" i="1"/>
  <c r="G4454" i="1" s="1"/>
  <c r="A4455" i="1"/>
  <c r="B4455" i="1" s="1"/>
  <c r="C4455" i="1"/>
  <c r="D4455" i="1"/>
  <c r="E4455" i="1"/>
  <c r="F4455" i="1"/>
  <c r="G4455" i="1" s="1"/>
  <c r="A4456" i="1"/>
  <c r="B4456" i="1" s="1"/>
  <c r="C4456" i="1"/>
  <c r="D4456" i="1"/>
  <c r="E4456" i="1"/>
  <c r="F4456" i="1"/>
  <c r="G4456" i="1" s="1"/>
  <c r="A4457" i="1"/>
  <c r="B4457" i="1" s="1"/>
  <c r="C4457" i="1"/>
  <c r="D4457" i="1"/>
  <c r="E4457" i="1"/>
  <c r="F4457" i="1"/>
  <c r="G4457" i="1" s="1"/>
  <c r="A4458" i="1"/>
  <c r="B4458" i="1" s="1"/>
  <c r="C4458" i="1"/>
  <c r="D4458" i="1"/>
  <c r="E4458" i="1"/>
  <c r="F4458" i="1"/>
  <c r="G4458" i="1" s="1"/>
  <c r="A4459" i="1"/>
  <c r="B4459" i="1" s="1"/>
  <c r="C4459" i="1"/>
  <c r="D4459" i="1"/>
  <c r="E4459" i="1"/>
  <c r="F4459" i="1"/>
  <c r="G4459" i="1"/>
  <c r="A4460" i="1"/>
  <c r="B4460" i="1" s="1"/>
  <c r="C4460" i="1"/>
  <c r="D4460" i="1"/>
  <c r="E4460" i="1"/>
  <c r="F4460" i="1"/>
  <c r="G4460" i="1" s="1"/>
  <c r="A4461" i="1"/>
  <c r="B4461" i="1" s="1"/>
  <c r="C4461" i="1"/>
  <c r="D4461" i="1"/>
  <c r="E4461" i="1"/>
  <c r="F4461" i="1"/>
  <c r="G4461" i="1"/>
  <c r="A4462" i="1"/>
  <c r="B4462" i="1" s="1"/>
  <c r="C4462" i="1"/>
  <c r="D4462" i="1"/>
  <c r="E4462" i="1"/>
  <c r="F4462" i="1"/>
  <c r="G4462" i="1" s="1"/>
  <c r="A4463" i="1"/>
  <c r="B4463" i="1" s="1"/>
  <c r="C4463" i="1"/>
  <c r="D4463" i="1"/>
  <c r="E4463" i="1"/>
  <c r="F4463" i="1"/>
  <c r="G4463" i="1" s="1"/>
  <c r="A4464" i="1"/>
  <c r="B4464" i="1" s="1"/>
  <c r="C4464" i="1"/>
  <c r="D4464" i="1"/>
  <c r="E4464" i="1"/>
  <c r="F4464" i="1"/>
  <c r="G4464" i="1" s="1"/>
  <c r="A4465" i="1"/>
  <c r="B4465" i="1" s="1"/>
  <c r="C4465" i="1"/>
  <c r="D4465" i="1"/>
  <c r="E4465" i="1"/>
  <c r="F4465" i="1"/>
  <c r="G4465" i="1" s="1"/>
  <c r="A4466" i="1"/>
  <c r="B4466" i="1" s="1"/>
  <c r="C4466" i="1"/>
  <c r="D4466" i="1"/>
  <c r="E4466" i="1"/>
  <c r="F4466" i="1"/>
  <c r="G4466" i="1" s="1"/>
  <c r="A4467" i="1"/>
  <c r="B4467" i="1" s="1"/>
  <c r="C4467" i="1"/>
  <c r="D4467" i="1"/>
  <c r="E4467" i="1"/>
  <c r="F4467" i="1"/>
  <c r="G4467" i="1" s="1"/>
  <c r="A4468" i="1"/>
  <c r="B4468" i="1" s="1"/>
  <c r="C4468" i="1"/>
  <c r="D4468" i="1"/>
  <c r="E4468" i="1"/>
  <c r="F4468" i="1"/>
  <c r="G4468" i="1" s="1"/>
  <c r="A4469" i="1"/>
  <c r="B4469" i="1" s="1"/>
  <c r="C4469" i="1"/>
  <c r="D4469" i="1"/>
  <c r="E4469" i="1"/>
  <c r="F4469" i="1"/>
  <c r="G4469" i="1" s="1"/>
  <c r="A4470" i="1"/>
  <c r="B4470" i="1" s="1"/>
  <c r="C4470" i="1"/>
  <c r="D4470" i="1"/>
  <c r="E4470" i="1"/>
  <c r="F4470" i="1"/>
  <c r="G4470" i="1" s="1"/>
  <c r="A4471" i="1"/>
  <c r="B4471" i="1"/>
  <c r="C4471" i="1"/>
  <c r="D4471" i="1"/>
  <c r="E4471" i="1"/>
  <c r="F4471" i="1"/>
  <c r="G4471" i="1" s="1"/>
  <c r="A4472" i="1"/>
  <c r="B4472" i="1"/>
  <c r="C4472" i="1"/>
  <c r="D4472" i="1"/>
  <c r="E4472" i="1"/>
  <c r="F4472" i="1"/>
  <c r="G4472" i="1" s="1"/>
  <c r="A4473" i="1"/>
  <c r="B4473" i="1" s="1"/>
  <c r="C4473" i="1"/>
  <c r="D4473" i="1"/>
  <c r="E4473" i="1"/>
  <c r="F4473" i="1"/>
  <c r="G4473" i="1" s="1"/>
  <c r="A4474" i="1"/>
  <c r="B4474" i="1" s="1"/>
  <c r="C4474" i="1"/>
  <c r="D4474" i="1"/>
  <c r="E4474" i="1"/>
  <c r="F4474" i="1"/>
  <c r="G4474" i="1" s="1"/>
  <c r="A4475" i="1"/>
  <c r="B4475" i="1" s="1"/>
  <c r="C4475" i="1"/>
  <c r="D4475" i="1"/>
  <c r="E4475" i="1"/>
  <c r="F4475" i="1"/>
  <c r="G4475" i="1" s="1"/>
  <c r="A4476" i="1"/>
  <c r="B4476" i="1" s="1"/>
  <c r="C4476" i="1"/>
  <c r="D4476" i="1"/>
  <c r="E4476" i="1"/>
  <c r="F4476" i="1"/>
  <c r="G4476" i="1" s="1"/>
  <c r="A4477" i="1"/>
  <c r="B4477" i="1" s="1"/>
  <c r="C4477" i="1"/>
  <c r="D4477" i="1"/>
  <c r="E4477" i="1"/>
  <c r="F4477" i="1"/>
  <c r="G4477" i="1" s="1"/>
  <c r="A4478" i="1"/>
  <c r="B4478" i="1" s="1"/>
  <c r="C4478" i="1"/>
  <c r="D4478" i="1"/>
  <c r="E4478" i="1"/>
  <c r="F4478" i="1"/>
  <c r="G4478" i="1" s="1"/>
  <c r="A4479" i="1"/>
  <c r="B4479" i="1" s="1"/>
  <c r="C4479" i="1"/>
  <c r="D4479" i="1"/>
  <c r="E4479" i="1"/>
  <c r="F4479" i="1"/>
  <c r="G4479" i="1"/>
  <c r="A4480" i="1"/>
  <c r="B4480" i="1" s="1"/>
  <c r="C4480" i="1"/>
  <c r="D4480" i="1"/>
  <c r="E4480" i="1"/>
  <c r="F4480" i="1"/>
  <c r="G4480" i="1" s="1"/>
  <c r="A4481" i="1"/>
  <c r="B4481" i="1" s="1"/>
  <c r="C4481" i="1"/>
  <c r="D4481" i="1"/>
  <c r="E4481" i="1"/>
  <c r="F4481" i="1"/>
  <c r="G4481" i="1" s="1"/>
  <c r="A4482" i="1"/>
  <c r="B4482" i="1" s="1"/>
  <c r="C4482" i="1"/>
  <c r="D4482" i="1"/>
  <c r="E4482" i="1"/>
  <c r="F4482" i="1"/>
  <c r="G4482" i="1" s="1"/>
  <c r="A4483" i="1"/>
  <c r="B4483" i="1" s="1"/>
  <c r="C4483" i="1"/>
  <c r="D4483" i="1"/>
  <c r="E4483" i="1"/>
  <c r="F4483" i="1"/>
  <c r="G4483" i="1" s="1"/>
  <c r="A4484" i="1"/>
  <c r="B4484" i="1"/>
  <c r="C4484" i="1"/>
  <c r="D4484" i="1"/>
  <c r="E4484" i="1"/>
  <c r="F4484" i="1"/>
  <c r="G4484" i="1" s="1"/>
  <c r="A4485" i="1"/>
  <c r="B4485" i="1" s="1"/>
  <c r="C4485" i="1"/>
  <c r="D4485" i="1"/>
  <c r="E4485" i="1"/>
  <c r="F4485" i="1"/>
  <c r="G4485" i="1" s="1"/>
  <c r="A4486" i="1"/>
  <c r="B4486" i="1" s="1"/>
  <c r="C4486" i="1"/>
  <c r="D4486" i="1"/>
  <c r="E4486" i="1"/>
  <c r="F4486" i="1"/>
  <c r="G4486" i="1" s="1"/>
  <c r="A4487" i="1"/>
  <c r="B4487" i="1" s="1"/>
  <c r="C4487" i="1"/>
  <c r="D4487" i="1"/>
  <c r="E4487" i="1"/>
  <c r="F4487" i="1"/>
  <c r="G4487" i="1" s="1"/>
  <c r="A4488" i="1"/>
  <c r="B4488" i="1" s="1"/>
  <c r="C4488" i="1"/>
  <c r="D4488" i="1"/>
  <c r="E4488" i="1"/>
  <c r="F4488" i="1"/>
  <c r="G4488" i="1" s="1"/>
  <c r="A4489" i="1"/>
  <c r="B4489" i="1" s="1"/>
  <c r="C4489" i="1"/>
  <c r="D4489" i="1"/>
  <c r="E4489" i="1"/>
  <c r="F4489" i="1"/>
  <c r="G4489" i="1" s="1"/>
  <c r="A4490" i="1"/>
  <c r="B4490" i="1" s="1"/>
  <c r="C4490" i="1"/>
  <c r="D4490" i="1"/>
  <c r="E4490" i="1"/>
  <c r="F4490" i="1"/>
  <c r="G4490" i="1" s="1"/>
  <c r="A4491" i="1"/>
  <c r="B4491" i="1" s="1"/>
  <c r="C4491" i="1"/>
  <c r="D4491" i="1"/>
  <c r="E4491" i="1"/>
  <c r="F4491" i="1"/>
  <c r="G4491" i="1"/>
  <c r="A4492" i="1"/>
  <c r="B4492" i="1" s="1"/>
  <c r="C4492" i="1"/>
  <c r="D4492" i="1"/>
  <c r="E4492" i="1"/>
  <c r="F4492" i="1"/>
  <c r="G4492" i="1" s="1"/>
  <c r="A4493" i="1"/>
  <c r="B4493" i="1" s="1"/>
  <c r="C4493" i="1"/>
  <c r="D4493" i="1"/>
  <c r="E4493" i="1"/>
  <c r="F4493" i="1"/>
  <c r="G4493" i="1" s="1"/>
  <c r="A4494" i="1"/>
  <c r="B4494" i="1" s="1"/>
  <c r="C4494" i="1"/>
  <c r="D4494" i="1"/>
  <c r="E4494" i="1"/>
  <c r="F4494" i="1"/>
  <c r="G4494" i="1" s="1"/>
  <c r="A4495" i="1"/>
  <c r="B4495" i="1"/>
  <c r="C4495" i="1"/>
  <c r="D4495" i="1"/>
  <c r="E4495" i="1"/>
  <c r="F4495" i="1"/>
  <c r="G4495" i="1" s="1"/>
  <c r="A4496" i="1"/>
  <c r="B4496" i="1"/>
  <c r="C4496" i="1"/>
  <c r="D4496" i="1"/>
  <c r="E4496" i="1"/>
  <c r="F4496" i="1"/>
  <c r="G4496" i="1" s="1"/>
  <c r="A4497" i="1"/>
  <c r="B4497" i="1" s="1"/>
  <c r="C4497" i="1"/>
  <c r="D4497" i="1"/>
  <c r="E4497" i="1"/>
  <c r="F4497" i="1"/>
  <c r="G4497" i="1" s="1"/>
  <c r="A4498" i="1"/>
  <c r="B4498" i="1" s="1"/>
  <c r="C4498" i="1"/>
  <c r="D4498" i="1"/>
  <c r="E4498" i="1"/>
  <c r="F4498" i="1"/>
  <c r="G4498" i="1" s="1"/>
  <c r="A4499" i="1"/>
  <c r="B4499" i="1" s="1"/>
  <c r="C4499" i="1"/>
  <c r="D4499" i="1"/>
  <c r="E4499" i="1"/>
  <c r="F4499" i="1"/>
  <c r="G4499" i="1" s="1"/>
  <c r="A4500" i="1"/>
  <c r="B4500" i="1" s="1"/>
  <c r="C4500" i="1"/>
  <c r="D4500" i="1"/>
  <c r="E4500" i="1"/>
  <c r="F4500" i="1"/>
  <c r="G4500" i="1" s="1"/>
  <c r="A4501" i="1"/>
  <c r="B4501" i="1" s="1"/>
  <c r="C4501" i="1"/>
  <c r="D4501" i="1"/>
  <c r="E4501" i="1"/>
  <c r="F4501" i="1"/>
  <c r="G4501" i="1" s="1"/>
  <c r="A4502" i="1"/>
  <c r="B4502" i="1" s="1"/>
  <c r="C4502" i="1"/>
  <c r="D4502" i="1"/>
  <c r="E4502" i="1"/>
  <c r="F4502" i="1"/>
  <c r="G4502" i="1" s="1"/>
  <c r="A4503" i="1"/>
  <c r="B4503" i="1" s="1"/>
  <c r="C4503" i="1"/>
  <c r="D4503" i="1"/>
  <c r="E4503" i="1"/>
  <c r="F4503" i="1"/>
  <c r="G4503" i="1" s="1"/>
  <c r="A4504" i="1"/>
  <c r="B4504" i="1" s="1"/>
  <c r="C4504" i="1"/>
  <c r="D4504" i="1"/>
  <c r="E4504" i="1"/>
  <c r="F4504" i="1"/>
  <c r="G4504" i="1" s="1"/>
  <c r="A4505" i="1"/>
  <c r="B4505" i="1" s="1"/>
  <c r="C4505" i="1"/>
  <c r="D4505" i="1"/>
  <c r="E4505" i="1"/>
  <c r="F4505" i="1"/>
  <c r="G4505" i="1" s="1"/>
  <c r="A4506" i="1"/>
  <c r="B4506" i="1" s="1"/>
  <c r="C4506" i="1"/>
  <c r="D4506" i="1"/>
  <c r="E4506" i="1"/>
  <c r="F4506" i="1"/>
  <c r="G4506" i="1" s="1"/>
  <c r="A4507" i="1"/>
  <c r="B4507" i="1" s="1"/>
  <c r="C4507" i="1"/>
  <c r="D4507" i="1"/>
  <c r="E4507" i="1"/>
  <c r="F4507" i="1"/>
  <c r="G4507" i="1" s="1"/>
  <c r="A4508" i="1"/>
  <c r="B4508" i="1" s="1"/>
  <c r="C4508" i="1"/>
  <c r="D4508" i="1"/>
  <c r="E4508" i="1"/>
  <c r="F4508" i="1"/>
  <c r="G4508" i="1" s="1"/>
  <c r="A4509" i="1"/>
  <c r="B4509" i="1" s="1"/>
  <c r="C4509" i="1"/>
  <c r="D4509" i="1"/>
  <c r="E4509" i="1"/>
  <c r="F4509" i="1"/>
  <c r="G4509" i="1" s="1"/>
  <c r="A4510" i="1"/>
  <c r="B4510" i="1" s="1"/>
  <c r="C4510" i="1"/>
  <c r="D4510" i="1"/>
  <c r="E4510" i="1"/>
  <c r="F4510" i="1"/>
  <c r="G4510" i="1" s="1"/>
  <c r="A4511" i="1"/>
  <c r="B4511" i="1" s="1"/>
  <c r="C4511" i="1"/>
  <c r="D4511" i="1"/>
  <c r="E4511" i="1"/>
  <c r="F4511" i="1"/>
  <c r="G4511" i="1" s="1"/>
  <c r="A4512" i="1"/>
  <c r="B4512" i="1" s="1"/>
  <c r="C4512" i="1"/>
  <c r="D4512" i="1"/>
  <c r="E4512" i="1"/>
  <c r="F4512" i="1"/>
  <c r="G4512" i="1" s="1"/>
  <c r="A4513" i="1"/>
  <c r="B4513" i="1" s="1"/>
  <c r="C4513" i="1"/>
  <c r="D4513" i="1"/>
  <c r="E4513" i="1"/>
  <c r="F4513" i="1"/>
  <c r="G4513" i="1" s="1"/>
  <c r="A4514" i="1"/>
  <c r="B4514" i="1" s="1"/>
  <c r="C4514" i="1"/>
  <c r="D4514" i="1"/>
  <c r="E4514" i="1"/>
  <c r="F4514" i="1"/>
  <c r="G4514" i="1" s="1"/>
  <c r="A4515" i="1"/>
  <c r="B4515" i="1" s="1"/>
  <c r="C4515" i="1"/>
  <c r="D4515" i="1"/>
  <c r="E4515" i="1"/>
  <c r="F4515" i="1"/>
  <c r="G4515" i="1" s="1"/>
  <c r="A4516" i="1"/>
  <c r="B4516" i="1" s="1"/>
  <c r="C4516" i="1"/>
  <c r="D4516" i="1"/>
  <c r="E4516" i="1"/>
  <c r="F4516" i="1"/>
  <c r="G4516" i="1"/>
  <c r="A4517" i="1"/>
  <c r="B4517" i="1" s="1"/>
  <c r="C4517" i="1"/>
  <c r="D4517" i="1"/>
  <c r="E4517" i="1"/>
  <c r="F4517" i="1"/>
  <c r="G4517" i="1" s="1"/>
  <c r="A4518" i="1"/>
  <c r="B4518" i="1" s="1"/>
  <c r="C4518" i="1"/>
  <c r="D4518" i="1"/>
  <c r="E4518" i="1"/>
  <c r="F4518" i="1"/>
  <c r="G4518" i="1" s="1"/>
  <c r="A4519" i="1"/>
  <c r="B4519" i="1"/>
  <c r="C4519" i="1"/>
  <c r="D4519" i="1"/>
  <c r="E4519" i="1"/>
  <c r="F4519" i="1"/>
  <c r="G4519" i="1" s="1"/>
  <c r="A4520" i="1"/>
  <c r="B4520" i="1" s="1"/>
  <c r="C4520" i="1"/>
  <c r="D4520" i="1"/>
  <c r="E4520" i="1"/>
  <c r="F4520" i="1"/>
  <c r="G4520" i="1" s="1"/>
  <c r="A4521" i="1"/>
  <c r="B4521" i="1"/>
  <c r="C4521" i="1"/>
  <c r="D4521" i="1"/>
  <c r="E4521" i="1"/>
  <c r="F4521" i="1"/>
  <c r="G4521" i="1" s="1"/>
  <c r="A4522" i="1"/>
  <c r="B4522" i="1" s="1"/>
  <c r="C4522" i="1"/>
  <c r="D4522" i="1"/>
  <c r="E4522" i="1"/>
  <c r="F4522" i="1"/>
  <c r="G4522" i="1" s="1"/>
  <c r="A4523" i="1"/>
  <c r="B4523" i="1"/>
  <c r="C4523" i="1"/>
  <c r="D4523" i="1"/>
  <c r="E4523" i="1"/>
  <c r="F4523" i="1"/>
  <c r="G4523" i="1" s="1"/>
  <c r="A4524" i="1"/>
  <c r="B4524" i="1" s="1"/>
  <c r="C4524" i="1"/>
  <c r="D4524" i="1"/>
  <c r="E4524" i="1"/>
  <c r="F4524" i="1"/>
  <c r="G4524" i="1" s="1"/>
  <c r="A4525" i="1"/>
  <c r="B4525" i="1" s="1"/>
  <c r="C4525" i="1"/>
  <c r="D4525" i="1"/>
  <c r="E4525" i="1"/>
  <c r="F4525" i="1"/>
  <c r="G4525" i="1" s="1"/>
  <c r="A4526" i="1"/>
  <c r="B4526" i="1" s="1"/>
  <c r="C4526" i="1"/>
  <c r="D4526" i="1"/>
  <c r="E4526" i="1"/>
  <c r="F4526" i="1"/>
  <c r="G4526" i="1" s="1"/>
  <c r="A4527" i="1"/>
  <c r="B4527" i="1" s="1"/>
  <c r="C4527" i="1"/>
  <c r="D4527" i="1"/>
  <c r="E4527" i="1"/>
  <c r="F4527" i="1"/>
  <c r="G4527" i="1" s="1"/>
  <c r="A4528" i="1"/>
  <c r="B4528" i="1" s="1"/>
  <c r="C4528" i="1"/>
  <c r="D4528" i="1"/>
  <c r="E4528" i="1"/>
  <c r="F4528" i="1"/>
  <c r="G4528" i="1" s="1"/>
  <c r="A4529" i="1"/>
  <c r="B4529" i="1"/>
  <c r="C4529" i="1"/>
  <c r="D4529" i="1"/>
  <c r="E4529" i="1"/>
  <c r="F4529" i="1"/>
  <c r="G4529" i="1"/>
  <c r="A4530" i="1"/>
  <c r="B4530" i="1" s="1"/>
  <c r="C4530" i="1"/>
  <c r="D4530" i="1"/>
  <c r="E4530" i="1"/>
  <c r="F4530" i="1"/>
  <c r="G4530" i="1" s="1"/>
  <c r="A4531" i="1"/>
  <c r="B4531" i="1" s="1"/>
  <c r="C4531" i="1"/>
  <c r="D4531" i="1"/>
  <c r="E4531" i="1"/>
  <c r="F4531" i="1"/>
  <c r="G4531" i="1" s="1"/>
  <c r="A4532" i="1"/>
  <c r="B4532" i="1" s="1"/>
  <c r="C4532" i="1"/>
  <c r="D4532" i="1"/>
  <c r="E4532" i="1"/>
  <c r="F4532" i="1"/>
  <c r="G4532" i="1" s="1"/>
  <c r="A4533" i="1"/>
  <c r="B4533" i="1"/>
  <c r="C4533" i="1"/>
  <c r="D4533" i="1"/>
  <c r="E4533" i="1"/>
  <c r="F4533" i="1"/>
  <c r="G4533" i="1" s="1"/>
  <c r="A4534" i="1"/>
  <c r="B4534" i="1" s="1"/>
  <c r="C4534" i="1"/>
  <c r="D4534" i="1"/>
  <c r="E4534" i="1"/>
  <c r="F4534" i="1"/>
  <c r="G4534" i="1" s="1"/>
  <c r="A4535" i="1"/>
  <c r="B4535" i="1"/>
  <c r="C4535" i="1"/>
  <c r="D4535" i="1"/>
  <c r="E4535" i="1"/>
  <c r="F4535" i="1"/>
  <c r="G4535" i="1" s="1"/>
  <c r="A4536" i="1"/>
  <c r="B4536" i="1" s="1"/>
  <c r="C4536" i="1"/>
  <c r="D4536" i="1"/>
  <c r="E4536" i="1"/>
  <c r="F4536" i="1"/>
  <c r="G4536" i="1" s="1"/>
  <c r="A4537" i="1"/>
  <c r="B4537" i="1"/>
  <c r="C4537" i="1"/>
  <c r="D4537" i="1"/>
  <c r="E4537" i="1"/>
  <c r="F4537" i="1"/>
  <c r="G4537" i="1" s="1"/>
  <c r="A4538" i="1"/>
  <c r="B4538" i="1" s="1"/>
  <c r="C4538" i="1"/>
  <c r="D4538" i="1"/>
  <c r="E4538" i="1"/>
  <c r="F4538" i="1"/>
  <c r="G4538" i="1" s="1"/>
  <c r="A4539" i="1"/>
  <c r="B4539" i="1"/>
  <c r="C4539" i="1"/>
  <c r="D4539" i="1"/>
  <c r="E4539" i="1"/>
  <c r="F4539" i="1"/>
  <c r="G4539" i="1" s="1"/>
  <c r="A4540" i="1"/>
  <c r="B4540" i="1"/>
  <c r="C4540" i="1"/>
  <c r="D4540" i="1"/>
  <c r="E4540" i="1"/>
  <c r="F4540" i="1"/>
  <c r="G4540" i="1"/>
  <c r="A4541" i="1"/>
  <c r="B4541" i="1"/>
  <c r="C4541" i="1"/>
  <c r="D4541" i="1"/>
  <c r="E4541" i="1"/>
  <c r="F4541" i="1"/>
  <c r="G4541" i="1" s="1"/>
  <c r="A4542" i="1"/>
  <c r="B4542" i="1" s="1"/>
  <c r="C4542" i="1"/>
  <c r="D4542" i="1"/>
  <c r="E4542" i="1"/>
  <c r="F4542" i="1"/>
  <c r="G4542" i="1" s="1"/>
  <c r="A4543" i="1"/>
  <c r="B4543" i="1" s="1"/>
  <c r="C4543" i="1"/>
  <c r="D4543" i="1"/>
  <c r="E4543" i="1"/>
  <c r="F4543" i="1"/>
  <c r="G4543" i="1" s="1"/>
  <c r="A4544" i="1"/>
  <c r="B4544" i="1" s="1"/>
  <c r="C4544" i="1"/>
  <c r="D4544" i="1"/>
  <c r="E4544" i="1"/>
  <c r="F4544" i="1"/>
  <c r="G4544" i="1" s="1"/>
  <c r="A4545" i="1"/>
  <c r="B4545" i="1"/>
  <c r="C4545" i="1"/>
  <c r="D4545" i="1"/>
  <c r="E4545" i="1"/>
  <c r="F4545" i="1"/>
  <c r="G4545" i="1" s="1"/>
  <c r="A4546" i="1"/>
  <c r="B4546" i="1" s="1"/>
  <c r="C4546" i="1"/>
  <c r="D4546" i="1"/>
  <c r="E4546" i="1"/>
  <c r="F4546" i="1"/>
  <c r="G4546" i="1" s="1"/>
  <c r="A4547" i="1"/>
  <c r="B4547" i="1"/>
  <c r="C4547" i="1"/>
  <c r="D4547" i="1"/>
  <c r="E4547" i="1"/>
  <c r="F4547" i="1"/>
  <c r="G4547" i="1" s="1"/>
  <c r="A4548" i="1"/>
  <c r="B4548" i="1" s="1"/>
  <c r="C4548" i="1"/>
  <c r="D4548" i="1"/>
  <c r="E4548" i="1"/>
  <c r="F4548" i="1"/>
  <c r="G4548" i="1" s="1"/>
  <c r="A4549" i="1"/>
  <c r="B4549" i="1"/>
  <c r="C4549" i="1"/>
  <c r="D4549" i="1"/>
  <c r="E4549" i="1"/>
  <c r="F4549" i="1"/>
  <c r="G4549" i="1" s="1"/>
  <c r="A4550" i="1"/>
  <c r="B4550" i="1" s="1"/>
  <c r="C4550" i="1"/>
  <c r="D4550" i="1"/>
  <c r="E4550" i="1"/>
  <c r="F4550" i="1"/>
  <c r="G4550" i="1" s="1"/>
  <c r="A4551" i="1"/>
  <c r="B4551" i="1" s="1"/>
  <c r="C4551" i="1"/>
  <c r="D4551" i="1"/>
  <c r="E4551" i="1"/>
  <c r="F4551" i="1"/>
  <c r="G4551" i="1" s="1"/>
  <c r="A4552" i="1"/>
  <c r="B4552" i="1"/>
  <c r="C4552" i="1"/>
  <c r="D4552" i="1"/>
  <c r="E4552" i="1"/>
  <c r="F4552" i="1"/>
  <c r="G4552" i="1" s="1"/>
  <c r="A4553" i="1"/>
  <c r="B4553" i="1"/>
  <c r="C4553" i="1"/>
  <c r="D4553" i="1"/>
  <c r="E4553" i="1"/>
  <c r="F4553" i="1"/>
  <c r="G4553" i="1"/>
  <c r="A4554" i="1"/>
  <c r="B4554" i="1" s="1"/>
  <c r="C4554" i="1"/>
  <c r="D4554" i="1"/>
  <c r="E4554" i="1"/>
  <c r="F4554" i="1"/>
  <c r="G4554" i="1" s="1"/>
  <c r="A4555" i="1"/>
  <c r="B4555" i="1" s="1"/>
  <c r="C4555" i="1"/>
  <c r="D4555" i="1"/>
  <c r="E4555" i="1"/>
  <c r="F4555" i="1"/>
  <c r="G4555" i="1" s="1"/>
  <c r="A4556" i="1"/>
  <c r="B4556" i="1" s="1"/>
  <c r="C4556" i="1"/>
  <c r="D4556" i="1"/>
  <c r="E4556" i="1"/>
  <c r="F4556" i="1"/>
  <c r="G4556" i="1" s="1"/>
  <c r="A4557" i="1"/>
  <c r="B4557" i="1" s="1"/>
  <c r="C4557" i="1"/>
  <c r="D4557" i="1"/>
  <c r="E4557" i="1"/>
  <c r="F4557" i="1"/>
  <c r="G4557" i="1" s="1"/>
  <c r="A4558" i="1"/>
  <c r="B4558" i="1" s="1"/>
  <c r="C4558" i="1"/>
  <c r="D4558" i="1"/>
  <c r="E4558" i="1"/>
  <c r="F4558" i="1"/>
  <c r="G4558" i="1" s="1"/>
  <c r="A4559" i="1"/>
  <c r="B4559" i="1" s="1"/>
  <c r="C4559" i="1"/>
  <c r="D4559" i="1"/>
  <c r="E4559" i="1"/>
  <c r="F4559" i="1"/>
  <c r="G4559" i="1" s="1"/>
  <c r="A4560" i="1"/>
  <c r="B4560" i="1" s="1"/>
  <c r="C4560" i="1"/>
  <c r="D4560" i="1"/>
  <c r="E4560" i="1"/>
  <c r="F4560" i="1"/>
  <c r="G4560" i="1" s="1"/>
  <c r="A4561" i="1"/>
  <c r="B4561" i="1" s="1"/>
  <c r="C4561" i="1"/>
  <c r="D4561" i="1"/>
  <c r="E4561" i="1"/>
  <c r="F4561" i="1"/>
  <c r="G4561" i="1" s="1"/>
  <c r="A4562" i="1"/>
  <c r="B4562" i="1" s="1"/>
  <c r="C4562" i="1"/>
  <c r="D4562" i="1"/>
  <c r="E4562" i="1"/>
  <c r="F4562" i="1"/>
  <c r="G4562" i="1" s="1"/>
  <c r="A4563" i="1"/>
  <c r="B4563" i="1"/>
  <c r="C4563" i="1"/>
  <c r="D4563" i="1"/>
  <c r="E4563" i="1"/>
  <c r="F4563" i="1"/>
  <c r="G4563" i="1" s="1"/>
  <c r="A4564" i="1"/>
  <c r="B4564" i="1"/>
  <c r="C4564" i="1"/>
  <c r="D4564" i="1"/>
  <c r="E4564" i="1"/>
  <c r="F4564" i="1"/>
  <c r="G4564" i="1" s="1"/>
  <c r="A4565" i="1"/>
  <c r="B4565" i="1" s="1"/>
  <c r="C4565" i="1"/>
  <c r="D4565" i="1"/>
  <c r="E4565" i="1"/>
  <c r="F4565" i="1"/>
  <c r="G4565" i="1" s="1"/>
  <c r="A4566" i="1"/>
  <c r="B4566" i="1" s="1"/>
  <c r="C4566" i="1"/>
  <c r="D4566" i="1"/>
  <c r="E4566" i="1"/>
  <c r="F4566" i="1"/>
  <c r="G4566" i="1"/>
  <c r="A4567" i="1"/>
  <c r="B4567" i="1" s="1"/>
  <c r="C4567" i="1"/>
  <c r="D4567" i="1"/>
  <c r="E4567" i="1"/>
  <c r="F4567" i="1"/>
  <c r="G4567" i="1" s="1"/>
  <c r="A4568" i="1"/>
  <c r="B4568" i="1" s="1"/>
  <c r="C4568" i="1"/>
  <c r="D4568" i="1"/>
  <c r="E4568" i="1"/>
  <c r="F4568" i="1"/>
  <c r="G4568" i="1" s="1"/>
  <c r="A4569" i="1"/>
  <c r="B4569" i="1"/>
  <c r="C4569" i="1"/>
  <c r="D4569" i="1"/>
  <c r="E4569" i="1"/>
  <c r="F4569" i="1"/>
  <c r="G4569" i="1" s="1"/>
  <c r="A4570" i="1"/>
  <c r="B4570" i="1" s="1"/>
  <c r="C4570" i="1"/>
  <c r="D4570" i="1"/>
  <c r="E4570" i="1"/>
  <c r="F4570" i="1"/>
  <c r="G4570" i="1" s="1"/>
  <c r="A4571" i="1"/>
  <c r="B4571" i="1" s="1"/>
  <c r="C4571" i="1"/>
  <c r="D4571" i="1"/>
  <c r="E4571" i="1"/>
  <c r="F4571" i="1"/>
  <c r="G4571" i="1" s="1"/>
  <c r="A4572" i="1"/>
  <c r="B4572" i="1" s="1"/>
  <c r="C4572" i="1"/>
  <c r="D4572" i="1"/>
  <c r="E4572" i="1"/>
  <c r="F4572" i="1"/>
  <c r="G4572" i="1" s="1"/>
  <c r="A4573" i="1"/>
  <c r="B4573" i="1"/>
  <c r="C4573" i="1"/>
  <c r="D4573" i="1"/>
  <c r="E4573" i="1"/>
  <c r="F4573" i="1"/>
  <c r="G4573" i="1" s="1"/>
  <c r="A4574" i="1"/>
  <c r="B4574" i="1" s="1"/>
  <c r="C4574" i="1"/>
  <c r="D4574" i="1"/>
  <c r="E4574" i="1"/>
  <c r="F4574" i="1"/>
  <c r="G4574" i="1" s="1"/>
  <c r="A4575" i="1"/>
  <c r="B4575" i="1"/>
  <c r="C4575" i="1"/>
  <c r="D4575" i="1"/>
  <c r="E4575" i="1"/>
  <c r="F4575" i="1"/>
  <c r="G4575" i="1" s="1"/>
  <c r="A4576" i="1"/>
  <c r="B4576" i="1" s="1"/>
  <c r="C4576" i="1"/>
  <c r="D4576" i="1"/>
  <c r="E4576" i="1"/>
  <c r="F4576" i="1"/>
  <c r="G4576" i="1" s="1"/>
  <c r="A4577" i="1"/>
  <c r="B4577" i="1"/>
  <c r="C4577" i="1"/>
  <c r="D4577" i="1"/>
  <c r="E4577" i="1"/>
  <c r="F4577" i="1"/>
  <c r="G4577" i="1" s="1"/>
  <c r="A4578" i="1"/>
  <c r="B4578" i="1" s="1"/>
  <c r="C4578" i="1"/>
  <c r="D4578" i="1"/>
  <c r="E4578" i="1"/>
  <c r="F4578" i="1"/>
  <c r="G4578" i="1" s="1"/>
  <c r="A4579" i="1"/>
  <c r="B4579" i="1" s="1"/>
  <c r="C4579" i="1"/>
  <c r="D4579" i="1"/>
  <c r="E4579" i="1"/>
  <c r="F4579" i="1"/>
  <c r="G4579" i="1" s="1"/>
  <c r="A4580" i="1"/>
  <c r="B4580" i="1" s="1"/>
  <c r="C4580" i="1"/>
  <c r="D4580" i="1"/>
  <c r="E4580" i="1"/>
  <c r="F4580" i="1"/>
  <c r="G4580" i="1" s="1"/>
  <c r="A4581" i="1"/>
  <c r="B4581" i="1" s="1"/>
  <c r="C4581" i="1"/>
  <c r="D4581" i="1"/>
  <c r="E4581" i="1"/>
  <c r="F4581" i="1"/>
  <c r="G4581" i="1" s="1"/>
  <c r="A4582" i="1"/>
  <c r="B4582" i="1" s="1"/>
  <c r="C4582" i="1"/>
  <c r="D4582" i="1"/>
  <c r="E4582" i="1"/>
  <c r="F4582" i="1"/>
  <c r="G4582" i="1" s="1"/>
  <c r="A4583" i="1"/>
  <c r="B4583" i="1"/>
  <c r="C4583" i="1"/>
  <c r="D4583" i="1"/>
  <c r="E4583" i="1"/>
  <c r="F4583" i="1"/>
  <c r="G4583" i="1" s="1"/>
  <c r="A4584" i="1"/>
  <c r="B4584" i="1" s="1"/>
  <c r="C4584" i="1"/>
  <c r="D4584" i="1"/>
  <c r="E4584" i="1"/>
  <c r="F4584" i="1"/>
  <c r="G4584" i="1" s="1"/>
  <c r="A4585" i="1"/>
  <c r="B4585" i="1"/>
  <c r="C4585" i="1"/>
  <c r="D4585" i="1"/>
  <c r="E4585" i="1"/>
  <c r="F4585" i="1"/>
  <c r="G4585" i="1" s="1"/>
  <c r="A4586" i="1"/>
  <c r="B4586" i="1" s="1"/>
  <c r="C4586" i="1"/>
  <c r="D4586" i="1"/>
  <c r="E4586" i="1"/>
  <c r="F4586" i="1"/>
  <c r="G4586" i="1" s="1"/>
  <c r="A4587" i="1"/>
  <c r="B4587" i="1"/>
  <c r="C4587" i="1"/>
  <c r="D4587" i="1"/>
  <c r="E4587" i="1"/>
  <c r="F4587" i="1"/>
  <c r="G4587" i="1" s="1"/>
  <c r="A4588" i="1"/>
  <c r="B4588" i="1"/>
  <c r="C4588" i="1"/>
  <c r="D4588" i="1"/>
  <c r="E4588" i="1"/>
  <c r="F4588" i="1"/>
  <c r="G4588" i="1" s="1"/>
  <c r="A4589" i="1"/>
  <c r="B4589" i="1"/>
  <c r="C4589" i="1"/>
  <c r="D4589" i="1"/>
  <c r="E4589" i="1"/>
  <c r="F4589" i="1"/>
  <c r="G4589" i="1"/>
  <c r="A4590" i="1"/>
  <c r="B4590" i="1" s="1"/>
  <c r="C4590" i="1"/>
  <c r="D4590" i="1"/>
  <c r="E4590" i="1"/>
  <c r="F4590" i="1"/>
  <c r="G4590" i="1"/>
  <c r="A4591" i="1"/>
  <c r="B4591" i="1" s="1"/>
  <c r="C4591" i="1"/>
  <c r="D4591" i="1"/>
  <c r="E4591" i="1"/>
  <c r="F4591" i="1"/>
  <c r="G4591" i="1" s="1"/>
  <c r="A4592" i="1"/>
  <c r="B4592" i="1" s="1"/>
  <c r="C4592" i="1"/>
  <c r="D4592" i="1"/>
  <c r="E4592" i="1"/>
  <c r="F4592" i="1"/>
  <c r="G4592" i="1" s="1"/>
  <c r="A4593" i="1"/>
  <c r="B4593" i="1"/>
  <c r="C4593" i="1"/>
  <c r="D4593" i="1"/>
  <c r="E4593" i="1"/>
  <c r="F4593" i="1"/>
  <c r="G4593" i="1" s="1"/>
  <c r="A4594" i="1"/>
  <c r="B4594" i="1" s="1"/>
  <c r="C4594" i="1"/>
  <c r="D4594" i="1"/>
  <c r="E4594" i="1"/>
  <c r="F4594" i="1"/>
  <c r="G4594" i="1" s="1"/>
  <c r="A4595" i="1"/>
  <c r="B4595" i="1"/>
  <c r="C4595" i="1"/>
  <c r="D4595" i="1"/>
  <c r="E4595" i="1"/>
  <c r="F4595" i="1"/>
  <c r="G4595" i="1" s="1"/>
  <c r="A4596" i="1"/>
  <c r="B4596" i="1" s="1"/>
  <c r="C4596" i="1"/>
  <c r="D4596" i="1"/>
  <c r="E4596" i="1"/>
  <c r="F4596" i="1"/>
  <c r="G4596" i="1" s="1"/>
  <c r="A4597" i="1"/>
  <c r="B4597" i="1" s="1"/>
  <c r="C4597" i="1"/>
  <c r="D4597" i="1"/>
  <c r="E4597" i="1"/>
  <c r="F4597" i="1"/>
  <c r="G4597" i="1" s="1"/>
  <c r="A4598" i="1"/>
  <c r="B4598" i="1" s="1"/>
  <c r="C4598" i="1"/>
  <c r="D4598" i="1"/>
  <c r="E4598" i="1"/>
  <c r="F4598" i="1"/>
  <c r="G4598" i="1" s="1"/>
  <c r="A4599" i="1"/>
  <c r="B4599" i="1" s="1"/>
  <c r="C4599" i="1"/>
  <c r="D4599" i="1"/>
  <c r="E4599" i="1"/>
  <c r="F4599" i="1"/>
  <c r="G4599" i="1" s="1"/>
  <c r="A4600" i="1"/>
  <c r="B4600" i="1" s="1"/>
  <c r="C4600" i="1"/>
  <c r="D4600" i="1"/>
  <c r="E4600" i="1"/>
  <c r="F4600" i="1"/>
  <c r="G4600" i="1" s="1"/>
  <c r="A4601" i="1"/>
  <c r="B4601" i="1" s="1"/>
  <c r="C4601" i="1"/>
  <c r="D4601" i="1"/>
  <c r="E4601" i="1"/>
  <c r="F4601" i="1"/>
  <c r="G4601" i="1" s="1"/>
  <c r="A4602" i="1"/>
  <c r="B4602" i="1" s="1"/>
  <c r="C4602" i="1"/>
  <c r="D4602" i="1"/>
  <c r="E4602" i="1"/>
  <c r="F4602" i="1"/>
  <c r="G4602" i="1" s="1"/>
  <c r="A4603" i="1"/>
  <c r="B4603" i="1" s="1"/>
  <c r="C4603" i="1"/>
  <c r="D4603" i="1"/>
  <c r="E4603" i="1"/>
  <c r="F4603" i="1"/>
  <c r="G4603" i="1" s="1"/>
  <c r="A4604" i="1"/>
  <c r="B4604" i="1" s="1"/>
  <c r="C4604" i="1"/>
  <c r="D4604" i="1"/>
  <c r="E4604" i="1"/>
  <c r="F4604" i="1"/>
  <c r="G4604" i="1" s="1"/>
  <c r="A4605" i="1"/>
  <c r="B4605" i="1" s="1"/>
  <c r="C4605" i="1"/>
  <c r="D4605" i="1"/>
  <c r="E4605" i="1"/>
  <c r="F4605" i="1"/>
  <c r="G4605" i="1" s="1"/>
  <c r="A4606" i="1"/>
  <c r="B4606" i="1" s="1"/>
  <c r="C4606" i="1"/>
  <c r="D4606" i="1"/>
  <c r="E4606" i="1"/>
  <c r="F4606" i="1"/>
  <c r="G4606" i="1" s="1"/>
  <c r="A4607" i="1"/>
  <c r="B4607" i="1"/>
  <c r="C4607" i="1"/>
  <c r="D4607" i="1"/>
  <c r="E4607" i="1"/>
  <c r="F4607" i="1"/>
  <c r="G4607" i="1" s="1"/>
  <c r="A4608" i="1"/>
  <c r="B4608" i="1" s="1"/>
  <c r="C4608" i="1"/>
  <c r="D4608" i="1"/>
  <c r="E4608" i="1"/>
  <c r="F4608" i="1"/>
  <c r="G4608" i="1" s="1"/>
  <c r="A4609" i="1"/>
  <c r="B4609" i="1"/>
  <c r="C4609" i="1"/>
  <c r="D4609" i="1"/>
  <c r="E4609" i="1"/>
  <c r="F4609" i="1"/>
  <c r="G4609" i="1" s="1"/>
  <c r="A4610" i="1"/>
  <c r="B4610" i="1" s="1"/>
  <c r="C4610" i="1"/>
  <c r="D4610" i="1"/>
  <c r="E4610" i="1"/>
  <c r="F4610" i="1"/>
  <c r="G4610" i="1" s="1"/>
  <c r="A4611" i="1"/>
  <c r="B4611" i="1"/>
  <c r="C4611" i="1"/>
  <c r="D4611" i="1"/>
  <c r="E4611" i="1"/>
  <c r="F4611" i="1"/>
  <c r="G4611" i="1" s="1"/>
  <c r="A4612" i="1"/>
  <c r="B4612" i="1"/>
  <c r="C4612" i="1"/>
  <c r="D4612" i="1"/>
  <c r="E4612" i="1"/>
  <c r="F4612" i="1"/>
  <c r="G4612" i="1" s="1"/>
  <c r="A4613" i="1"/>
  <c r="B4613" i="1"/>
  <c r="C4613" i="1"/>
  <c r="D4613" i="1"/>
  <c r="E4613" i="1"/>
  <c r="F4613" i="1"/>
  <c r="G4613" i="1"/>
  <c r="A4614" i="1"/>
  <c r="B4614" i="1" s="1"/>
  <c r="C4614" i="1"/>
  <c r="D4614" i="1"/>
  <c r="E4614" i="1"/>
  <c r="F4614" i="1"/>
  <c r="G4614" i="1" s="1"/>
  <c r="A4615" i="1"/>
  <c r="B4615" i="1" s="1"/>
  <c r="C4615" i="1"/>
  <c r="D4615" i="1"/>
  <c r="E4615" i="1"/>
  <c r="F4615" i="1"/>
  <c r="G4615" i="1" s="1"/>
  <c r="A4616" i="1"/>
  <c r="B4616" i="1" s="1"/>
  <c r="C4616" i="1"/>
  <c r="D4616" i="1"/>
  <c r="E4616" i="1"/>
  <c r="F4616" i="1"/>
  <c r="G4616" i="1" s="1"/>
  <c r="A4617" i="1"/>
  <c r="B4617" i="1"/>
  <c r="C4617" i="1"/>
  <c r="D4617" i="1"/>
  <c r="E4617" i="1"/>
  <c r="F4617" i="1"/>
  <c r="G4617" i="1" s="1"/>
  <c r="A4618" i="1"/>
  <c r="B4618" i="1" s="1"/>
  <c r="C4618" i="1"/>
  <c r="D4618" i="1"/>
  <c r="E4618" i="1"/>
  <c r="F4618" i="1"/>
  <c r="G4618" i="1" s="1"/>
  <c r="A4619" i="1"/>
  <c r="B4619" i="1" s="1"/>
  <c r="C4619" i="1"/>
  <c r="D4619" i="1"/>
  <c r="E4619" i="1"/>
  <c r="F4619" i="1"/>
  <c r="G4619" i="1" s="1"/>
  <c r="A4620" i="1"/>
  <c r="B4620" i="1" s="1"/>
  <c r="C4620" i="1"/>
  <c r="D4620" i="1"/>
  <c r="E4620" i="1"/>
  <c r="F4620" i="1"/>
  <c r="G4620" i="1" s="1"/>
  <c r="A4621" i="1"/>
  <c r="B4621" i="1"/>
  <c r="C4621" i="1"/>
  <c r="D4621" i="1"/>
  <c r="E4621" i="1"/>
  <c r="F4621" i="1"/>
  <c r="G4621" i="1" s="1"/>
  <c r="A4622" i="1"/>
  <c r="B4622" i="1" s="1"/>
  <c r="C4622" i="1"/>
  <c r="D4622" i="1"/>
  <c r="E4622" i="1"/>
  <c r="F4622" i="1"/>
  <c r="G4622" i="1" s="1"/>
  <c r="A4623" i="1"/>
  <c r="B4623" i="1" s="1"/>
  <c r="C4623" i="1"/>
  <c r="D4623" i="1"/>
  <c r="E4623" i="1"/>
  <c r="F4623" i="1"/>
  <c r="G4623" i="1" s="1"/>
  <c r="A4624" i="1"/>
  <c r="B4624" i="1" s="1"/>
  <c r="C4624" i="1"/>
  <c r="D4624" i="1"/>
  <c r="E4624" i="1"/>
  <c r="F4624" i="1"/>
  <c r="G4624" i="1" s="1"/>
  <c r="A4625" i="1"/>
  <c r="B4625" i="1"/>
  <c r="C4625" i="1"/>
  <c r="D4625" i="1"/>
  <c r="E4625" i="1"/>
  <c r="F4625" i="1"/>
  <c r="G4625" i="1" s="1"/>
  <c r="A4626" i="1"/>
  <c r="B4626" i="1" s="1"/>
  <c r="C4626" i="1"/>
  <c r="D4626" i="1"/>
  <c r="E4626" i="1"/>
  <c r="F4626" i="1"/>
  <c r="G4626" i="1" s="1"/>
  <c r="A4627" i="1"/>
  <c r="B4627" i="1" s="1"/>
  <c r="C4627" i="1"/>
  <c r="D4627" i="1"/>
  <c r="E4627" i="1"/>
  <c r="F4627" i="1"/>
  <c r="G4627" i="1" s="1"/>
  <c r="A4628" i="1"/>
  <c r="B4628" i="1" s="1"/>
  <c r="C4628" i="1"/>
  <c r="D4628" i="1"/>
  <c r="E4628" i="1"/>
  <c r="F4628" i="1"/>
  <c r="G4628" i="1" s="1"/>
  <c r="A4629" i="1"/>
  <c r="B4629" i="1" s="1"/>
  <c r="C4629" i="1"/>
  <c r="D4629" i="1"/>
  <c r="E4629" i="1"/>
  <c r="F4629" i="1"/>
  <c r="G4629" i="1" s="1"/>
  <c r="A4630" i="1"/>
  <c r="B4630" i="1" s="1"/>
  <c r="C4630" i="1"/>
  <c r="D4630" i="1"/>
  <c r="E4630" i="1"/>
  <c r="F4630" i="1"/>
  <c r="G4630" i="1" s="1"/>
  <c r="A4631" i="1"/>
  <c r="B4631" i="1"/>
  <c r="C4631" i="1"/>
  <c r="D4631" i="1"/>
  <c r="E4631" i="1"/>
  <c r="F4631" i="1"/>
  <c r="G4631" i="1" s="1"/>
  <c r="A4632" i="1"/>
  <c r="B4632" i="1" s="1"/>
  <c r="C4632" i="1"/>
  <c r="D4632" i="1"/>
  <c r="E4632" i="1"/>
  <c r="F4632" i="1"/>
  <c r="G4632" i="1" s="1"/>
  <c r="A4633" i="1"/>
  <c r="B4633" i="1"/>
  <c r="C4633" i="1"/>
  <c r="D4633" i="1"/>
  <c r="E4633" i="1"/>
  <c r="F4633" i="1"/>
  <c r="G4633" i="1" s="1"/>
  <c r="A4634" i="1"/>
  <c r="B4634" i="1" s="1"/>
  <c r="C4634" i="1"/>
  <c r="D4634" i="1"/>
  <c r="E4634" i="1"/>
  <c r="F4634" i="1"/>
  <c r="G4634" i="1" s="1"/>
  <c r="A4635" i="1"/>
  <c r="B4635" i="1"/>
  <c r="C4635" i="1"/>
  <c r="D4635" i="1"/>
  <c r="E4635" i="1"/>
  <c r="F4635" i="1"/>
  <c r="G4635" i="1" s="1"/>
  <c r="A4636" i="1"/>
  <c r="B4636" i="1"/>
  <c r="C4636" i="1"/>
  <c r="D4636" i="1"/>
  <c r="E4636" i="1"/>
  <c r="F4636" i="1"/>
  <c r="G4636" i="1" s="1"/>
  <c r="A4637" i="1"/>
  <c r="B4637" i="1"/>
  <c r="C4637" i="1"/>
  <c r="D4637" i="1"/>
  <c r="E4637" i="1"/>
  <c r="F4637" i="1"/>
  <c r="G4637" i="1" s="1"/>
  <c r="A4638" i="1"/>
  <c r="B4638" i="1" s="1"/>
  <c r="C4638" i="1"/>
  <c r="D4638" i="1"/>
  <c r="E4638" i="1"/>
  <c r="F4638" i="1"/>
  <c r="G4638" i="1"/>
  <c r="A4639" i="1"/>
  <c r="B4639" i="1" s="1"/>
  <c r="C4639" i="1"/>
  <c r="D4639" i="1"/>
  <c r="E4639" i="1"/>
  <c r="F4639" i="1"/>
  <c r="G4639" i="1" s="1"/>
  <c r="A4640" i="1"/>
  <c r="B4640" i="1" s="1"/>
  <c r="C4640" i="1"/>
  <c r="D4640" i="1"/>
  <c r="E4640" i="1"/>
  <c r="F4640" i="1"/>
  <c r="G4640" i="1" s="1"/>
  <c r="A4641" i="1"/>
  <c r="B4641" i="1"/>
  <c r="C4641" i="1"/>
  <c r="D4641" i="1"/>
  <c r="E4641" i="1"/>
  <c r="F4641" i="1"/>
  <c r="G4641" i="1" s="1"/>
  <c r="A4642" i="1"/>
  <c r="B4642" i="1" s="1"/>
  <c r="C4642" i="1"/>
  <c r="D4642" i="1"/>
  <c r="E4642" i="1"/>
  <c r="F4642" i="1"/>
  <c r="G4642" i="1" s="1"/>
  <c r="A4643" i="1"/>
  <c r="B4643" i="1"/>
  <c r="C4643" i="1"/>
  <c r="D4643" i="1"/>
  <c r="E4643" i="1"/>
  <c r="F4643" i="1"/>
  <c r="G4643" i="1" s="1"/>
  <c r="A4644" i="1"/>
  <c r="B4644" i="1" s="1"/>
  <c r="C4644" i="1"/>
  <c r="D4644" i="1"/>
  <c r="E4644" i="1"/>
  <c r="F4644" i="1"/>
  <c r="G4644" i="1" s="1"/>
  <c r="A4645" i="1"/>
  <c r="B4645" i="1" s="1"/>
  <c r="C4645" i="1"/>
  <c r="D4645" i="1"/>
  <c r="E4645" i="1"/>
  <c r="F4645" i="1"/>
  <c r="G4645" i="1" s="1"/>
  <c r="A4646" i="1"/>
  <c r="B4646" i="1" s="1"/>
  <c r="C4646" i="1"/>
  <c r="D4646" i="1"/>
  <c r="E4646" i="1"/>
  <c r="F4646" i="1"/>
  <c r="G4646" i="1" s="1"/>
  <c r="A4647" i="1"/>
  <c r="B4647" i="1" s="1"/>
  <c r="C4647" i="1"/>
  <c r="D4647" i="1"/>
  <c r="E4647" i="1"/>
  <c r="F4647" i="1"/>
  <c r="G4647" i="1" s="1"/>
  <c r="A4648" i="1"/>
  <c r="B4648" i="1" s="1"/>
  <c r="C4648" i="1"/>
  <c r="D4648" i="1"/>
  <c r="E4648" i="1"/>
  <c r="F4648" i="1"/>
  <c r="G4648" i="1" s="1"/>
  <c r="A4649" i="1"/>
  <c r="B4649" i="1" s="1"/>
  <c r="C4649" i="1"/>
  <c r="D4649" i="1"/>
  <c r="E4649" i="1"/>
  <c r="F4649" i="1"/>
  <c r="G4649" i="1" s="1"/>
  <c r="A4650" i="1"/>
  <c r="B4650" i="1" s="1"/>
  <c r="C4650" i="1"/>
  <c r="D4650" i="1"/>
  <c r="E4650" i="1"/>
  <c r="F4650" i="1"/>
  <c r="G4650" i="1" s="1"/>
  <c r="A4651" i="1"/>
  <c r="B4651" i="1" s="1"/>
  <c r="C4651" i="1"/>
  <c r="D4651" i="1"/>
  <c r="E4651" i="1"/>
  <c r="F4651" i="1"/>
  <c r="G4651" i="1" s="1"/>
  <c r="A4652" i="1"/>
  <c r="B4652" i="1" s="1"/>
  <c r="C4652" i="1"/>
  <c r="D4652" i="1"/>
  <c r="E4652" i="1"/>
  <c r="F4652" i="1"/>
  <c r="G4652" i="1" s="1"/>
  <c r="A4653" i="1"/>
  <c r="B4653" i="1" s="1"/>
  <c r="C4653" i="1"/>
  <c r="D4653" i="1"/>
  <c r="E4653" i="1"/>
  <c r="F4653" i="1"/>
  <c r="G4653" i="1" s="1"/>
  <c r="A4654" i="1"/>
  <c r="B4654" i="1" s="1"/>
  <c r="C4654" i="1"/>
  <c r="D4654" i="1"/>
  <c r="E4654" i="1"/>
  <c r="F4654" i="1"/>
  <c r="G4654" i="1" s="1"/>
  <c r="A4655" i="1"/>
  <c r="B4655" i="1"/>
  <c r="C4655" i="1"/>
  <c r="D4655" i="1"/>
  <c r="E4655" i="1"/>
  <c r="F4655" i="1"/>
  <c r="G4655" i="1" s="1"/>
  <c r="A4656" i="1"/>
  <c r="B4656" i="1" s="1"/>
  <c r="C4656" i="1"/>
  <c r="D4656" i="1"/>
  <c r="E4656" i="1"/>
  <c r="F4656" i="1"/>
  <c r="G4656" i="1" s="1"/>
  <c r="A4657" i="1"/>
  <c r="B4657" i="1"/>
  <c r="C4657" i="1"/>
  <c r="D4657" i="1"/>
  <c r="E4657" i="1"/>
  <c r="F4657" i="1"/>
  <c r="G4657" i="1" s="1"/>
  <c r="A4658" i="1"/>
  <c r="B4658" i="1" s="1"/>
  <c r="C4658" i="1"/>
  <c r="D4658" i="1"/>
  <c r="E4658" i="1"/>
  <c r="F4658" i="1"/>
  <c r="G4658" i="1" s="1"/>
  <c r="A4659" i="1"/>
  <c r="B4659" i="1"/>
  <c r="C4659" i="1"/>
  <c r="D4659" i="1"/>
  <c r="E4659" i="1"/>
  <c r="F4659" i="1"/>
  <c r="G4659" i="1" s="1"/>
  <c r="A4660" i="1"/>
  <c r="B4660" i="1" s="1"/>
  <c r="C4660" i="1"/>
  <c r="D4660" i="1"/>
  <c r="E4660" i="1"/>
  <c r="F4660" i="1"/>
  <c r="G4660" i="1" s="1"/>
  <c r="A4661" i="1"/>
  <c r="B4661" i="1"/>
  <c r="C4661" i="1"/>
  <c r="D4661" i="1"/>
  <c r="E4661" i="1"/>
  <c r="F4661" i="1"/>
  <c r="G4661" i="1" s="1"/>
  <c r="A4662" i="1"/>
  <c r="B4662" i="1" s="1"/>
  <c r="C4662" i="1"/>
  <c r="D4662" i="1"/>
  <c r="E4662" i="1"/>
  <c r="F4662" i="1"/>
  <c r="G4662" i="1" s="1"/>
  <c r="A4663" i="1"/>
  <c r="B4663" i="1" s="1"/>
  <c r="C4663" i="1"/>
  <c r="D4663" i="1"/>
  <c r="E4663" i="1"/>
  <c r="F4663" i="1"/>
  <c r="G4663" i="1" s="1"/>
  <c r="A4664" i="1"/>
  <c r="B4664" i="1" s="1"/>
  <c r="C4664" i="1"/>
  <c r="D4664" i="1"/>
  <c r="E4664" i="1"/>
  <c r="F4664" i="1"/>
  <c r="G4664" i="1" s="1"/>
  <c r="A4665" i="1"/>
  <c r="B4665" i="1"/>
  <c r="C4665" i="1"/>
  <c r="D4665" i="1"/>
  <c r="E4665" i="1"/>
  <c r="F4665" i="1"/>
  <c r="G4665" i="1" s="1"/>
  <c r="A4666" i="1"/>
  <c r="B4666" i="1" s="1"/>
  <c r="C4666" i="1"/>
  <c r="D4666" i="1"/>
  <c r="E4666" i="1"/>
  <c r="F4666" i="1"/>
  <c r="G4666" i="1" s="1"/>
  <c r="A4667" i="1"/>
  <c r="B4667" i="1" s="1"/>
  <c r="C4667" i="1"/>
  <c r="D4667" i="1"/>
  <c r="E4667" i="1"/>
  <c r="F4667" i="1"/>
  <c r="G4667" i="1" s="1"/>
  <c r="A4668" i="1"/>
  <c r="B4668" i="1" s="1"/>
  <c r="C4668" i="1"/>
  <c r="D4668" i="1"/>
  <c r="E4668" i="1"/>
  <c r="F4668" i="1"/>
  <c r="G4668" i="1" s="1"/>
  <c r="A4669" i="1"/>
  <c r="B4669" i="1"/>
  <c r="C4669" i="1"/>
  <c r="D4669" i="1"/>
  <c r="E4669" i="1"/>
  <c r="F4669" i="1"/>
  <c r="G4669" i="1" s="1"/>
  <c r="A4670" i="1"/>
  <c r="B4670" i="1" s="1"/>
  <c r="C4670" i="1"/>
  <c r="D4670" i="1"/>
  <c r="E4670" i="1"/>
  <c r="F4670" i="1"/>
  <c r="G4670" i="1" s="1"/>
  <c r="A4671" i="1"/>
  <c r="B4671" i="1"/>
  <c r="C4671" i="1"/>
  <c r="D4671" i="1"/>
  <c r="E4671" i="1"/>
  <c r="F4671" i="1"/>
  <c r="G4671" i="1" s="1"/>
  <c r="A4672" i="1"/>
  <c r="B4672" i="1" s="1"/>
  <c r="C4672" i="1"/>
  <c r="D4672" i="1"/>
  <c r="E4672" i="1"/>
  <c r="F4672" i="1"/>
  <c r="G4672" i="1" s="1"/>
  <c r="A4673" i="1"/>
  <c r="B4673" i="1"/>
  <c r="C4673" i="1"/>
  <c r="D4673" i="1"/>
  <c r="E4673" i="1"/>
  <c r="F4673" i="1"/>
  <c r="G4673" i="1" s="1"/>
  <c r="A4674" i="1"/>
  <c r="B4674" i="1" s="1"/>
  <c r="C4674" i="1"/>
  <c r="D4674" i="1"/>
  <c r="E4674" i="1"/>
  <c r="F4674" i="1"/>
  <c r="G4674" i="1" s="1"/>
  <c r="A4675" i="1"/>
  <c r="B4675" i="1" s="1"/>
  <c r="C4675" i="1"/>
  <c r="D4675" i="1"/>
  <c r="E4675" i="1"/>
  <c r="F4675" i="1"/>
  <c r="G4675" i="1" s="1"/>
  <c r="A4676" i="1"/>
  <c r="B4676" i="1" s="1"/>
  <c r="C4676" i="1"/>
  <c r="D4676" i="1"/>
  <c r="E4676" i="1"/>
  <c r="F4676" i="1"/>
  <c r="G4676" i="1" s="1"/>
  <c r="A4677" i="1"/>
  <c r="B4677" i="1" s="1"/>
  <c r="C4677" i="1"/>
  <c r="D4677" i="1"/>
  <c r="E4677" i="1"/>
  <c r="F4677" i="1"/>
  <c r="G4677" i="1" s="1"/>
  <c r="A4678" i="1"/>
  <c r="B4678" i="1" s="1"/>
  <c r="C4678" i="1"/>
  <c r="D4678" i="1"/>
  <c r="E4678" i="1"/>
  <c r="F4678" i="1"/>
  <c r="G4678" i="1" s="1"/>
  <c r="A4679" i="1"/>
  <c r="B4679" i="1"/>
  <c r="C4679" i="1"/>
  <c r="D4679" i="1"/>
  <c r="E4679" i="1"/>
  <c r="F4679" i="1"/>
  <c r="G4679" i="1" s="1"/>
  <c r="A4680" i="1"/>
  <c r="B4680" i="1" s="1"/>
  <c r="C4680" i="1"/>
  <c r="D4680" i="1"/>
  <c r="E4680" i="1"/>
  <c r="F4680" i="1"/>
  <c r="G4680" i="1" s="1"/>
  <c r="A4681" i="1"/>
  <c r="B4681" i="1"/>
  <c r="C4681" i="1"/>
  <c r="D4681" i="1"/>
  <c r="E4681" i="1"/>
  <c r="F4681" i="1"/>
  <c r="G4681" i="1" s="1"/>
  <c r="A4682" i="1"/>
  <c r="B4682" i="1" s="1"/>
  <c r="C4682" i="1"/>
  <c r="D4682" i="1"/>
  <c r="E4682" i="1"/>
  <c r="F4682" i="1"/>
  <c r="G4682" i="1" s="1"/>
  <c r="A4683" i="1"/>
  <c r="B4683" i="1"/>
  <c r="C4683" i="1"/>
  <c r="D4683" i="1"/>
  <c r="E4683" i="1"/>
  <c r="F4683" i="1"/>
  <c r="G4683" i="1" s="1"/>
  <c r="A4684" i="1"/>
  <c r="B4684" i="1" s="1"/>
  <c r="C4684" i="1"/>
  <c r="D4684" i="1"/>
  <c r="E4684" i="1"/>
  <c r="F4684" i="1"/>
  <c r="G4684" i="1" s="1"/>
  <c r="A4685" i="1"/>
  <c r="B4685" i="1"/>
  <c r="C4685" i="1"/>
  <c r="D4685" i="1"/>
  <c r="E4685" i="1"/>
  <c r="F4685" i="1"/>
  <c r="G4685" i="1" s="1"/>
  <c r="A4686" i="1"/>
  <c r="B4686" i="1" s="1"/>
  <c r="C4686" i="1"/>
  <c r="D4686" i="1"/>
  <c r="E4686" i="1"/>
  <c r="F4686" i="1"/>
  <c r="G4686" i="1" s="1"/>
  <c r="A4687" i="1"/>
  <c r="B4687" i="1" s="1"/>
  <c r="C4687" i="1"/>
  <c r="D4687" i="1"/>
  <c r="E4687" i="1"/>
  <c r="F4687" i="1"/>
  <c r="G4687" i="1" s="1"/>
  <c r="A4688" i="1"/>
  <c r="B4688" i="1" s="1"/>
  <c r="C4688" i="1"/>
  <c r="D4688" i="1"/>
  <c r="E4688" i="1"/>
  <c r="F4688" i="1"/>
  <c r="G4688" i="1" s="1"/>
  <c r="A4689" i="1"/>
  <c r="B4689" i="1"/>
  <c r="C4689" i="1"/>
  <c r="D4689" i="1"/>
  <c r="E4689" i="1"/>
  <c r="F4689" i="1"/>
  <c r="G4689" i="1" s="1"/>
  <c r="A4690" i="1"/>
  <c r="B4690" i="1" s="1"/>
  <c r="C4690" i="1"/>
  <c r="D4690" i="1"/>
  <c r="E4690" i="1"/>
  <c r="F4690" i="1"/>
  <c r="G4690" i="1" s="1"/>
  <c r="A4691" i="1"/>
  <c r="B4691" i="1" s="1"/>
  <c r="C4691" i="1"/>
  <c r="D4691" i="1"/>
  <c r="E4691" i="1"/>
  <c r="F4691" i="1"/>
  <c r="G4691" i="1" s="1"/>
  <c r="A4692" i="1"/>
  <c r="B4692" i="1" s="1"/>
  <c r="C4692" i="1"/>
  <c r="D4692" i="1"/>
  <c r="E4692" i="1"/>
  <c r="F4692" i="1"/>
  <c r="G4692" i="1" s="1"/>
  <c r="A4693" i="1"/>
  <c r="B4693" i="1"/>
  <c r="C4693" i="1"/>
  <c r="D4693" i="1"/>
  <c r="E4693" i="1"/>
  <c r="F4693" i="1"/>
  <c r="G4693" i="1" s="1"/>
  <c r="A4694" i="1"/>
  <c r="B4694" i="1" s="1"/>
  <c r="C4694" i="1"/>
  <c r="D4694" i="1"/>
  <c r="E4694" i="1"/>
  <c r="F4694" i="1"/>
  <c r="G4694" i="1" s="1"/>
  <c r="A4695" i="1"/>
  <c r="B4695" i="1"/>
  <c r="C4695" i="1"/>
  <c r="D4695" i="1"/>
  <c r="E4695" i="1"/>
  <c r="F4695" i="1"/>
  <c r="G4695" i="1" s="1"/>
  <c r="A4696" i="1"/>
  <c r="B4696" i="1" s="1"/>
  <c r="C4696" i="1"/>
  <c r="D4696" i="1"/>
  <c r="E4696" i="1"/>
  <c r="F4696" i="1"/>
  <c r="G4696" i="1" s="1"/>
  <c r="A4697" i="1"/>
  <c r="B4697" i="1"/>
  <c r="C4697" i="1"/>
  <c r="D4697" i="1"/>
  <c r="E4697" i="1"/>
  <c r="F4697" i="1"/>
  <c r="G4697" i="1" s="1"/>
  <c r="A4698" i="1"/>
  <c r="B4698" i="1" s="1"/>
  <c r="C4698" i="1"/>
  <c r="D4698" i="1"/>
  <c r="E4698" i="1"/>
  <c r="F4698" i="1"/>
  <c r="G4698" i="1" s="1"/>
  <c r="A4699" i="1"/>
  <c r="B4699" i="1" s="1"/>
  <c r="C4699" i="1"/>
  <c r="D4699" i="1"/>
  <c r="E4699" i="1"/>
  <c r="F4699" i="1"/>
  <c r="G4699" i="1" s="1"/>
  <c r="A4700" i="1"/>
  <c r="B4700" i="1" s="1"/>
  <c r="C4700" i="1"/>
  <c r="D4700" i="1"/>
  <c r="E4700" i="1"/>
  <c r="F4700" i="1"/>
  <c r="G4700" i="1" s="1"/>
  <c r="A4701" i="1"/>
  <c r="B4701" i="1"/>
  <c r="C4701" i="1"/>
  <c r="D4701" i="1"/>
  <c r="E4701" i="1"/>
  <c r="F4701" i="1"/>
  <c r="G4701" i="1" s="1"/>
  <c r="A4702" i="1"/>
  <c r="B4702" i="1" s="1"/>
  <c r="C4702" i="1"/>
  <c r="D4702" i="1"/>
  <c r="E4702" i="1"/>
  <c r="F4702" i="1"/>
  <c r="G4702" i="1" s="1"/>
  <c r="A4703" i="1"/>
  <c r="B4703" i="1" s="1"/>
  <c r="C4703" i="1"/>
  <c r="D4703" i="1"/>
  <c r="E4703" i="1"/>
  <c r="F4703" i="1"/>
  <c r="G4703" i="1" s="1"/>
  <c r="A4704" i="1"/>
  <c r="B4704" i="1" s="1"/>
  <c r="C4704" i="1"/>
  <c r="D4704" i="1"/>
  <c r="E4704" i="1"/>
  <c r="F4704" i="1"/>
  <c r="G4704" i="1" s="1"/>
  <c r="A4705" i="1"/>
  <c r="B4705" i="1" s="1"/>
  <c r="C4705" i="1"/>
  <c r="D4705" i="1"/>
  <c r="E4705" i="1"/>
  <c r="F4705" i="1"/>
  <c r="G4705" i="1" s="1"/>
  <c r="A4706" i="1"/>
  <c r="B4706" i="1" s="1"/>
  <c r="C4706" i="1"/>
  <c r="D4706" i="1"/>
  <c r="E4706" i="1"/>
  <c r="F4706" i="1"/>
  <c r="G4706" i="1" s="1"/>
  <c r="A4707" i="1"/>
  <c r="B4707" i="1"/>
  <c r="C4707" i="1"/>
  <c r="D4707" i="1"/>
  <c r="E4707" i="1"/>
  <c r="F4707" i="1"/>
  <c r="G4707" i="1" s="1"/>
  <c r="A4708" i="1"/>
  <c r="B4708" i="1" s="1"/>
  <c r="C4708" i="1"/>
  <c r="D4708" i="1"/>
  <c r="E4708" i="1"/>
  <c r="F4708" i="1"/>
  <c r="G4708" i="1" s="1"/>
  <c r="A4709" i="1"/>
  <c r="B4709" i="1"/>
  <c r="C4709" i="1"/>
  <c r="D4709" i="1"/>
  <c r="E4709" i="1"/>
  <c r="F4709" i="1"/>
  <c r="G4709" i="1" s="1"/>
  <c r="A4710" i="1"/>
  <c r="B4710" i="1" s="1"/>
  <c r="C4710" i="1"/>
  <c r="D4710" i="1"/>
  <c r="E4710" i="1"/>
  <c r="F4710" i="1"/>
  <c r="G4710" i="1" s="1"/>
  <c r="A4711" i="1"/>
  <c r="B4711" i="1" s="1"/>
  <c r="C4711" i="1"/>
  <c r="D4711" i="1"/>
  <c r="E4711" i="1"/>
  <c r="F4711" i="1"/>
  <c r="G4711" i="1" s="1"/>
  <c r="A4712" i="1"/>
  <c r="B4712" i="1" s="1"/>
  <c r="C4712" i="1"/>
  <c r="D4712" i="1"/>
  <c r="E4712" i="1"/>
  <c r="F4712" i="1"/>
  <c r="G4712" i="1" s="1"/>
  <c r="A4713" i="1"/>
  <c r="B4713" i="1"/>
  <c r="C4713" i="1"/>
  <c r="D4713" i="1"/>
  <c r="E4713" i="1"/>
  <c r="F4713" i="1"/>
  <c r="G4713" i="1" s="1"/>
  <c r="A4714" i="1"/>
  <c r="B4714" i="1" s="1"/>
  <c r="C4714" i="1"/>
  <c r="D4714" i="1"/>
  <c r="E4714" i="1"/>
  <c r="F4714" i="1"/>
  <c r="G4714" i="1" s="1"/>
  <c r="A4715" i="1"/>
  <c r="B4715" i="1"/>
  <c r="C4715" i="1"/>
  <c r="D4715" i="1"/>
  <c r="E4715" i="1"/>
  <c r="F4715" i="1"/>
  <c r="G4715" i="1" s="1"/>
  <c r="A4716" i="1"/>
  <c r="B4716" i="1" s="1"/>
  <c r="C4716" i="1"/>
  <c r="D4716" i="1"/>
  <c r="E4716" i="1"/>
  <c r="F4716" i="1"/>
  <c r="G4716" i="1" s="1"/>
  <c r="A4717" i="1"/>
  <c r="B4717" i="1"/>
  <c r="C4717" i="1"/>
  <c r="D4717" i="1"/>
  <c r="E4717" i="1"/>
  <c r="F4717" i="1"/>
  <c r="G4717" i="1" s="1"/>
  <c r="A4718" i="1"/>
  <c r="B4718" i="1" s="1"/>
  <c r="C4718" i="1"/>
  <c r="D4718" i="1"/>
  <c r="E4718" i="1"/>
  <c r="F4718" i="1"/>
  <c r="G4718" i="1" s="1"/>
  <c r="A4719" i="1"/>
  <c r="B4719" i="1" s="1"/>
  <c r="C4719" i="1"/>
  <c r="D4719" i="1"/>
  <c r="E4719" i="1"/>
  <c r="F4719" i="1"/>
  <c r="G4719" i="1" s="1"/>
  <c r="A4720" i="1"/>
  <c r="B4720" i="1" s="1"/>
  <c r="C4720" i="1"/>
  <c r="D4720" i="1"/>
  <c r="E4720" i="1"/>
  <c r="F4720" i="1"/>
  <c r="G4720" i="1" s="1"/>
  <c r="A4721" i="1"/>
  <c r="B4721" i="1" s="1"/>
  <c r="C4721" i="1"/>
  <c r="D4721" i="1"/>
  <c r="E4721" i="1"/>
  <c r="F4721" i="1"/>
  <c r="G4721" i="1" s="1"/>
  <c r="A4722" i="1"/>
  <c r="B4722" i="1" s="1"/>
  <c r="C4722" i="1"/>
  <c r="D4722" i="1"/>
  <c r="E4722" i="1"/>
  <c r="F4722" i="1"/>
  <c r="G4722" i="1"/>
  <c r="A4723" i="1"/>
  <c r="B4723" i="1" s="1"/>
  <c r="C4723" i="1"/>
  <c r="D4723" i="1"/>
  <c r="E4723" i="1"/>
  <c r="F4723" i="1"/>
  <c r="G4723" i="1" s="1"/>
  <c r="A4724" i="1"/>
  <c r="B4724" i="1" s="1"/>
  <c r="C4724" i="1"/>
  <c r="D4724" i="1"/>
  <c r="E4724" i="1"/>
  <c r="F4724" i="1"/>
  <c r="G4724" i="1" s="1"/>
  <c r="A4725" i="1"/>
  <c r="B4725" i="1"/>
  <c r="C4725" i="1"/>
  <c r="D4725" i="1"/>
  <c r="E4725" i="1"/>
  <c r="F4725" i="1"/>
  <c r="G4725" i="1" s="1"/>
  <c r="A4726" i="1"/>
  <c r="B4726" i="1" s="1"/>
  <c r="C4726" i="1"/>
  <c r="D4726" i="1"/>
  <c r="E4726" i="1"/>
  <c r="F4726" i="1"/>
  <c r="G4726" i="1" s="1"/>
  <c r="A4727" i="1"/>
  <c r="B4727" i="1"/>
  <c r="C4727" i="1"/>
  <c r="D4727" i="1"/>
  <c r="E4727" i="1"/>
  <c r="F4727" i="1"/>
  <c r="G4727" i="1" s="1"/>
  <c r="A4728" i="1"/>
  <c r="B4728" i="1" s="1"/>
  <c r="C4728" i="1"/>
  <c r="D4728" i="1"/>
  <c r="E4728" i="1"/>
  <c r="F4728" i="1"/>
  <c r="G4728" i="1" s="1"/>
  <c r="A4729" i="1"/>
  <c r="B4729" i="1"/>
  <c r="C4729" i="1"/>
  <c r="D4729" i="1"/>
  <c r="E4729" i="1"/>
  <c r="F4729" i="1"/>
  <c r="G4729" i="1" s="1"/>
  <c r="A4730" i="1"/>
  <c r="B4730" i="1" s="1"/>
  <c r="C4730" i="1"/>
  <c r="D4730" i="1"/>
  <c r="E4730" i="1"/>
  <c r="F4730" i="1"/>
  <c r="G4730" i="1" s="1"/>
  <c r="A4731" i="1"/>
  <c r="B4731" i="1" s="1"/>
  <c r="C4731" i="1"/>
  <c r="D4731" i="1"/>
  <c r="E4731" i="1"/>
  <c r="F4731" i="1"/>
  <c r="G4731" i="1" s="1"/>
  <c r="A4732" i="1"/>
  <c r="B4732" i="1" s="1"/>
  <c r="C4732" i="1"/>
  <c r="D4732" i="1"/>
  <c r="E4732" i="1"/>
  <c r="F4732" i="1"/>
  <c r="G4732" i="1"/>
  <c r="A4733" i="1"/>
  <c r="B4733" i="1" s="1"/>
  <c r="C4733" i="1"/>
  <c r="D4733" i="1"/>
  <c r="E4733" i="1"/>
  <c r="F4733" i="1"/>
  <c r="G4733" i="1" s="1"/>
  <c r="A4734" i="1"/>
  <c r="B4734" i="1" s="1"/>
  <c r="C4734" i="1"/>
  <c r="D4734" i="1"/>
  <c r="E4734" i="1"/>
  <c r="F4734" i="1"/>
  <c r="G4734" i="1" s="1"/>
  <c r="A4735" i="1"/>
  <c r="B4735" i="1" s="1"/>
  <c r="C4735" i="1"/>
  <c r="D4735" i="1"/>
  <c r="E4735" i="1"/>
  <c r="F4735" i="1"/>
  <c r="G4735" i="1" s="1"/>
  <c r="A4736" i="1"/>
  <c r="B4736" i="1" s="1"/>
  <c r="C4736" i="1"/>
  <c r="D4736" i="1"/>
  <c r="E4736" i="1"/>
  <c r="F4736" i="1"/>
  <c r="G4736" i="1" s="1"/>
  <c r="A4737" i="1"/>
  <c r="B4737" i="1"/>
  <c r="C4737" i="1"/>
  <c r="D4737" i="1"/>
  <c r="E4737" i="1"/>
  <c r="F4737" i="1"/>
  <c r="G4737" i="1" s="1"/>
  <c r="A4738" i="1"/>
  <c r="B4738" i="1" s="1"/>
  <c r="C4738" i="1"/>
  <c r="D4738" i="1"/>
  <c r="E4738" i="1"/>
  <c r="F4738" i="1"/>
  <c r="G4738" i="1" s="1"/>
  <c r="A4739" i="1"/>
  <c r="B4739" i="1"/>
  <c r="C4739" i="1"/>
  <c r="D4739" i="1"/>
  <c r="E4739" i="1"/>
  <c r="F4739" i="1"/>
  <c r="G4739" i="1" s="1"/>
  <c r="A4740" i="1"/>
  <c r="B4740" i="1" s="1"/>
  <c r="C4740" i="1"/>
  <c r="D4740" i="1"/>
  <c r="E4740" i="1"/>
  <c r="F4740" i="1"/>
  <c r="G4740" i="1" s="1"/>
  <c r="A4741" i="1"/>
  <c r="B4741" i="1" s="1"/>
  <c r="C4741" i="1"/>
  <c r="D4741" i="1"/>
  <c r="E4741" i="1"/>
  <c r="F4741" i="1"/>
  <c r="G4741" i="1" s="1"/>
  <c r="A4742" i="1"/>
  <c r="B4742" i="1" s="1"/>
  <c r="C4742" i="1"/>
  <c r="D4742" i="1"/>
  <c r="E4742" i="1"/>
  <c r="F4742" i="1"/>
  <c r="G4742" i="1" s="1"/>
  <c r="A4743" i="1"/>
  <c r="B4743" i="1" s="1"/>
  <c r="C4743" i="1"/>
  <c r="D4743" i="1"/>
  <c r="E4743" i="1"/>
  <c r="F4743" i="1"/>
  <c r="G4743" i="1" s="1"/>
  <c r="A4744" i="1"/>
  <c r="B4744" i="1" s="1"/>
  <c r="C4744" i="1"/>
  <c r="D4744" i="1"/>
  <c r="E4744" i="1"/>
  <c r="F4744" i="1"/>
  <c r="G4744" i="1" s="1"/>
  <c r="A4745" i="1"/>
  <c r="B4745" i="1"/>
  <c r="C4745" i="1"/>
  <c r="D4745" i="1"/>
  <c r="E4745" i="1"/>
  <c r="F4745" i="1"/>
  <c r="G4745" i="1" s="1"/>
  <c r="A4746" i="1"/>
  <c r="B4746" i="1" s="1"/>
  <c r="C4746" i="1"/>
  <c r="D4746" i="1"/>
  <c r="E4746" i="1"/>
  <c r="F4746" i="1"/>
  <c r="G4746" i="1" s="1"/>
  <c r="A4747" i="1"/>
  <c r="B4747" i="1" s="1"/>
  <c r="C4747" i="1"/>
  <c r="D4747" i="1"/>
  <c r="E4747" i="1"/>
  <c r="F4747" i="1"/>
  <c r="G4747" i="1" s="1"/>
  <c r="A4748" i="1"/>
  <c r="B4748" i="1" s="1"/>
  <c r="C4748" i="1"/>
  <c r="D4748" i="1"/>
  <c r="E4748" i="1"/>
  <c r="F4748" i="1"/>
  <c r="G4748" i="1" s="1"/>
  <c r="A4749" i="1"/>
  <c r="B4749" i="1" s="1"/>
  <c r="C4749" i="1"/>
  <c r="D4749" i="1"/>
  <c r="E4749" i="1"/>
  <c r="F4749" i="1"/>
  <c r="G4749" i="1" s="1"/>
  <c r="A4750" i="1"/>
  <c r="B4750" i="1" s="1"/>
  <c r="C4750" i="1"/>
  <c r="D4750" i="1"/>
  <c r="E4750" i="1"/>
  <c r="F4750" i="1"/>
  <c r="G4750" i="1" s="1"/>
  <c r="A4751" i="1"/>
  <c r="B4751" i="1" s="1"/>
  <c r="C4751" i="1"/>
  <c r="D4751" i="1"/>
  <c r="E4751" i="1"/>
  <c r="F4751" i="1"/>
  <c r="G4751" i="1" s="1"/>
  <c r="A4752" i="1"/>
  <c r="B4752" i="1" s="1"/>
  <c r="C4752" i="1"/>
  <c r="D4752" i="1"/>
  <c r="E4752" i="1"/>
  <c r="F4752" i="1"/>
  <c r="G4752" i="1" s="1"/>
  <c r="A4753" i="1"/>
  <c r="B4753" i="1"/>
  <c r="C4753" i="1"/>
  <c r="D4753" i="1"/>
  <c r="E4753" i="1"/>
  <c r="F4753" i="1"/>
  <c r="G4753" i="1" s="1"/>
  <c r="A4754" i="1"/>
  <c r="B4754" i="1" s="1"/>
  <c r="C4754" i="1"/>
  <c r="D4754" i="1"/>
  <c r="E4754" i="1"/>
  <c r="F4754" i="1"/>
  <c r="G4754" i="1" s="1"/>
  <c r="A4755" i="1"/>
  <c r="B4755" i="1"/>
  <c r="C4755" i="1"/>
  <c r="D4755" i="1"/>
  <c r="E4755" i="1"/>
  <c r="F4755" i="1"/>
  <c r="G4755" i="1" s="1"/>
  <c r="A4756" i="1"/>
  <c r="B4756" i="1" s="1"/>
  <c r="C4756" i="1"/>
  <c r="D4756" i="1"/>
  <c r="E4756" i="1"/>
  <c r="F4756" i="1"/>
  <c r="G4756" i="1" s="1"/>
  <c r="A4757" i="1"/>
  <c r="B4757" i="1"/>
  <c r="C4757" i="1"/>
  <c r="D4757" i="1"/>
  <c r="E4757" i="1"/>
  <c r="F4757" i="1"/>
  <c r="G4757" i="1" s="1"/>
  <c r="A4758" i="1"/>
  <c r="B4758" i="1" s="1"/>
  <c r="C4758" i="1"/>
  <c r="D4758" i="1"/>
  <c r="E4758" i="1"/>
  <c r="F4758" i="1"/>
  <c r="G4758" i="1" s="1"/>
  <c r="A4759" i="1"/>
  <c r="B4759" i="1" s="1"/>
  <c r="C4759" i="1"/>
  <c r="D4759" i="1"/>
  <c r="E4759" i="1"/>
  <c r="F4759" i="1"/>
  <c r="G4759" i="1" s="1"/>
  <c r="A4760" i="1"/>
  <c r="B4760" i="1" s="1"/>
  <c r="C4760" i="1"/>
  <c r="D4760" i="1"/>
  <c r="E4760" i="1"/>
  <c r="F4760" i="1"/>
  <c r="G4760" i="1" s="1"/>
  <c r="A4761" i="1"/>
  <c r="B4761" i="1" s="1"/>
  <c r="C4761" i="1"/>
  <c r="D4761" i="1"/>
  <c r="E4761" i="1"/>
  <c r="F4761" i="1"/>
  <c r="G4761" i="1" s="1"/>
  <c r="A4762" i="1"/>
  <c r="B4762" i="1" s="1"/>
  <c r="C4762" i="1"/>
  <c r="D4762" i="1"/>
  <c r="E4762" i="1"/>
  <c r="F4762" i="1"/>
  <c r="G4762" i="1" s="1"/>
  <c r="A4763" i="1"/>
  <c r="B4763" i="1" s="1"/>
  <c r="C4763" i="1"/>
  <c r="D4763" i="1"/>
  <c r="E4763" i="1"/>
  <c r="F4763" i="1"/>
  <c r="G4763" i="1" s="1"/>
  <c r="A4764" i="1"/>
  <c r="B4764" i="1" s="1"/>
  <c r="C4764" i="1"/>
  <c r="D4764" i="1"/>
  <c r="E4764" i="1"/>
  <c r="F4764" i="1"/>
  <c r="G4764" i="1" s="1"/>
  <c r="A4765" i="1"/>
  <c r="B4765" i="1"/>
  <c r="C4765" i="1"/>
  <c r="D4765" i="1"/>
  <c r="E4765" i="1"/>
  <c r="F4765" i="1"/>
  <c r="G4765" i="1" s="1"/>
  <c r="A4766" i="1"/>
  <c r="B4766" i="1" s="1"/>
  <c r="C4766" i="1"/>
  <c r="D4766" i="1"/>
  <c r="E4766" i="1"/>
  <c r="F4766" i="1"/>
  <c r="G4766" i="1" s="1"/>
  <c r="A4767" i="1"/>
  <c r="B4767" i="1"/>
  <c r="C4767" i="1"/>
  <c r="D4767" i="1"/>
  <c r="E4767" i="1"/>
  <c r="F4767" i="1"/>
  <c r="G4767" i="1" s="1"/>
  <c r="A4768" i="1"/>
  <c r="B4768" i="1" s="1"/>
  <c r="C4768" i="1"/>
  <c r="D4768" i="1"/>
  <c r="E4768" i="1"/>
  <c r="F4768" i="1"/>
  <c r="G4768" i="1"/>
  <c r="A4769" i="1"/>
  <c r="B4769" i="1"/>
  <c r="C4769" i="1"/>
  <c r="D4769" i="1"/>
  <c r="E4769" i="1"/>
  <c r="F4769" i="1"/>
  <c r="G4769" i="1" s="1"/>
  <c r="A4770" i="1"/>
  <c r="B4770" i="1" s="1"/>
  <c r="C4770" i="1"/>
  <c r="D4770" i="1"/>
  <c r="E4770" i="1"/>
  <c r="F4770" i="1"/>
  <c r="G4770" i="1"/>
  <c r="A4771" i="1"/>
  <c r="B4771" i="1" s="1"/>
  <c r="C4771" i="1"/>
  <c r="D4771" i="1"/>
  <c r="E4771" i="1"/>
  <c r="F4771" i="1"/>
  <c r="G4771" i="1" s="1"/>
  <c r="A4772" i="1"/>
  <c r="B4772" i="1" s="1"/>
  <c r="C4772" i="1"/>
  <c r="D4772" i="1"/>
  <c r="E4772" i="1"/>
  <c r="F4772" i="1"/>
  <c r="G4772" i="1" s="1"/>
  <c r="A4773" i="1"/>
  <c r="B4773" i="1"/>
  <c r="C4773" i="1"/>
  <c r="D4773" i="1"/>
  <c r="E4773" i="1"/>
  <c r="F4773" i="1"/>
  <c r="G4773" i="1" s="1"/>
  <c r="A4774" i="1"/>
  <c r="B4774" i="1" s="1"/>
  <c r="C4774" i="1"/>
  <c r="D4774" i="1"/>
  <c r="E4774" i="1"/>
  <c r="F4774" i="1"/>
  <c r="G4774" i="1" s="1"/>
  <c r="A4775" i="1"/>
  <c r="B4775" i="1"/>
  <c r="C4775" i="1"/>
  <c r="D4775" i="1"/>
  <c r="E4775" i="1"/>
  <c r="F4775" i="1"/>
  <c r="G4775" i="1" s="1"/>
  <c r="A4776" i="1"/>
  <c r="B4776" i="1" s="1"/>
  <c r="C4776" i="1"/>
  <c r="D4776" i="1"/>
  <c r="E4776" i="1"/>
  <c r="F4776" i="1"/>
  <c r="G4776" i="1" s="1"/>
  <c r="A4777" i="1"/>
  <c r="B4777" i="1" s="1"/>
  <c r="C4777" i="1"/>
  <c r="D4777" i="1"/>
  <c r="E4777" i="1"/>
  <c r="F4777" i="1"/>
  <c r="G4777" i="1" s="1"/>
  <c r="A4778" i="1"/>
  <c r="B4778" i="1" s="1"/>
  <c r="C4778" i="1"/>
  <c r="D4778" i="1"/>
  <c r="E4778" i="1"/>
  <c r="F4778" i="1"/>
  <c r="G4778" i="1" s="1"/>
  <c r="A4779" i="1"/>
  <c r="B4779" i="1" s="1"/>
  <c r="C4779" i="1"/>
  <c r="D4779" i="1"/>
  <c r="E4779" i="1"/>
  <c r="F4779" i="1"/>
  <c r="G4779" i="1" s="1"/>
  <c r="A4780" i="1"/>
  <c r="B4780" i="1" s="1"/>
  <c r="C4780" i="1"/>
  <c r="D4780" i="1"/>
  <c r="E4780" i="1"/>
  <c r="F4780" i="1"/>
  <c r="G4780" i="1"/>
  <c r="A4781" i="1"/>
  <c r="B4781" i="1" s="1"/>
  <c r="C4781" i="1"/>
  <c r="D4781" i="1"/>
  <c r="E4781" i="1"/>
  <c r="F4781" i="1"/>
  <c r="G4781" i="1" s="1"/>
  <c r="A4782" i="1"/>
  <c r="B4782" i="1" s="1"/>
  <c r="C4782" i="1"/>
  <c r="D4782" i="1"/>
  <c r="E4782" i="1"/>
  <c r="F4782" i="1"/>
  <c r="G4782" i="1" s="1"/>
  <c r="A4783" i="1"/>
  <c r="B4783" i="1" s="1"/>
  <c r="C4783" i="1"/>
  <c r="D4783" i="1"/>
  <c r="E4783" i="1"/>
  <c r="F4783" i="1"/>
  <c r="G4783" i="1" s="1"/>
  <c r="A4784" i="1"/>
  <c r="B4784" i="1" s="1"/>
  <c r="C4784" i="1"/>
  <c r="D4784" i="1"/>
  <c r="E4784" i="1"/>
  <c r="F4784" i="1"/>
  <c r="G4784" i="1" s="1"/>
  <c r="A4785" i="1"/>
  <c r="B4785" i="1"/>
  <c r="C4785" i="1"/>
  <c r="D4785" i="1"/>
  <c r="E4785" i="1"/>
  <c r="F4785" i="1"/>
  <c r="G4785" i="1" s="1"/>
  <c r="A4786" i="1"/>
  <c r="B4786" i="1" s="1"/>
  <c r="C4786" i="1"/>
  <c r="D4786" i="1"/>
  <c r="E4786" i="1"/>
  <c r="F4786" i="1"/>
  <c r="G4786" i="1" s="1"/>
  <c r="A4787" i="1"/>
  <c r="B4787" i="1"/>
  <c r="C4787" i="1"/>
  <c r="D4787" i="1"/>
  <c r="E4787" i="1"/>
  <c r="F4787" i="1"/>
  <c r="G4787" i="1" s="1"/>
  <c r="A4788" i="1"/>
  <c r="B4788" i="1" s="1"/>
  <c r="C4788" i="1"/>
  <c r="D4788" i="1"/>
  <c r="E4788" i="1"/>
  <c r="F4788" i="1"/>
  <c r="G4788" i="1" s="1"/>
  <c r="A4789" i="1"/>
  <c r="B4789" i="1" s="1"/>
  <c r="C4789" i="1"/>
  <c r="D4789" i="1"/>
  <c r="E4789" i="1"/>
  <c r="F4789" i="1"/>
  <c r="G4789" i="1" s="1"/>
  <c r="A4790" i="1"/>
  <c r="B4790" i="1" s="1"/>
  <c r="C4790" i="1"/>
  <c r="D4790" i="1"/>
  <c r="E4790" i="1"/>
  <c r="F4790" i="1"/>
  <c r="G4790" i="1" s="1"/>
  <c r="A4791" i="1"/>
  <c r="B4791" i="1" s="1"/>
  <c r="C4791" i="1"/>
  <c r="D4791" i="1"/>
  <c r="E4791" i="1"/>
  <c r="F4791" i="1"/>
  <c r="G4791" i="1" s="1"/>
  <c r="A4792" i="1"/>
  <c r="B4792" i="1" s="1"/>
  <c r="C4792" i="1"/>
  <c r="D4792" i="1"/>
  <c r="E4792" i="1"/>
  <c r="F4792" i="1"/>
  <c r="G4792" i="1" s="1"/>
  <c r="A4793" i="1"/>
  <c r="B4793" i="1" s="1"/>
  <c r="C4793" i="1"/>
  <c r="D4793" i="1"/>
  <c r="E4793" i="1"/>
  <c r="F4793" i="1"/>
  <c r="G4793" i="1" s="1"/>
  <c r="A4794" i="1"/>
  <c r="B4794" i="1" s="1"/>
  <c r="C4794" i="1"/>
  <c r="D4794" i="1"/>
  <c r="E4794" i="1"/>
  <c r="F4794" i="1"/>
  <c r="G4794" i="1"/>
  <c r="A4795" i="1"/>
  <c r="B4795" i="1" s="1"/>
  <c r="C4795" i="1"/>
  <c r="D4795" i="1"/>
  <c r="E4795" i="1"/>
  <c r="F4795" i="1"/>
  <c r="G4795" i="1" s="1"/>
  <c r="A4796" i="1"/>
  <c r="B4796" i="1" s="1"/>
  <c r="C4796" i="1"/>
  <c r="D4796" i="1"/>
  <c r="E4796" i="1"/>
  <c r="F4796" i="1"/>
  <c r="G4796" i="1" s="1"/>
  <c r="A4797" i="1"/>
  <c r="B4797" i="1"/>
  <c r="C4797" i="1"/>
  <c r="D4797" i="1"/>
  <c r="E4797" i="1"/>
  <c r="F4797" i="1"/>
  <c r="G4797" i="1" s="1"/>
  <c r="A4798" i="1"/>
  <c r="B4798" i="1" s="1"/>
  <c r="C4798" i="1"/>
  <c r="D4798" i="1"/>
  <c r="E4798" i="1"/>
  <c r="F4798" i="1"/>
  <c r="G4798" i="1" s="1"/>
  <c r="A4799" i="1"/>
  <c r="B4799" i="1"/>
  <c r="C4799" i="1"/>
  <c r="D4799" i="1"/>
  <c r="E4799" i="1"/>
  <c r="F4799" i="1"/>
  <c r="G4799" i="1" s="1"/>
  <c r="A4800" i="1"/>
  <c r="B4800" i="1" s="1"/>
  <c r="C4800" i="1"/>
  <c r="D4800" i="1"/>
  <c r="E4800" i="1"/>
  <c r="F4800" i="1"/>
  <c r="G4800" i="1" s="1"/>
  <c r="A4801" i="1"/>
  <c r="B4801" i="1" s="1"/>
  <c r="C4801" i="1"/>
  <c r="D4801" i="1"/>
  <c r="E4801" i="1"/>
  <c r="F4801" i="1"/>
  <c r="G4801" i="1" s="1"/>
  <c r="A4802" i="1"/>
  <c r="B4802" i="1" s="1"/>
  <c r="C4802" i="1"/>
  <c r="D4802" i="1"/>
  <c r="E4802" i="1"/>
  <c r="F4802" i="1"/>
  <c r="G4802" i="1" s="1"/>
  <c r="A4803" i="1"/>
  <c r="B4803" i="1"/>
  <c r="C4803" i="1"/>
  <c r="D4803" i="1"/>
  <c r="E4803" i="1"/>
  <c r="F4803" i="1"/>
  <c r="G4803" i="1" s="1"/>
  <c r="A4804" i="1"/>
  <c r="B4804" i="1" s="1"/>
  <c r="C4804" i="1"/>
  <c r="D4804" i="1"/>
  <c r="E4804" i="1"/>
  <c r="F4804" i="1"/>
  <c r="G4804" i="1"/>
  <c r="A4805" i="1"/>
  <c r="B4805" i="1"/>
  <c r="C4805" i="1"/>
  <c r="D4805" i="1"/>
  <c r="E4805" i="1"/>
  <c r="F4805" i="1"/>
  <c r="G4805" i="1" s="1"/>
  <c r="A4806" i="1"/>
  <c r="B4806" i="1" s="1"/>
  <c r="C4806" i="1"/>
  <c r="D4806" i="1"/>
  <c r="E4806" i="1"/>
  <c r="F4806" i="1"/>
  <c r="G4806" i="1"/>
  <c r="A4807" i="1"/>
  <c r="B4807" i="1" s="1"/>
  <c r="C4807" i="1"/>
  <c r="D4807" i="1"/>
  <c r="E4807" i="1"/>
  <c r="F4807" i="1"/>
  <c r="G4807" i="1" s="1"/>
  <c r="A4808" i="1"/>
  <c r="B4808" i="1" s="1"/>
  <c r="C4808" i="1"/>
  <c r="D4808" i="1"/>
  <c r="E4808" i="1"/>
  <c r="F4808" i="1"/>
  <c r="G4808" i="1" s="1"/>
  <c r="A4809" i="1"/>
  <c r="B4809" i="1"/>
  <c r="C4809" i="1"/>
  <c r="D4809" i="1"/>
  <c r="E4809" i="1"/>
  <c r="F4809" i="1"/>
  <c r="G4809" i="1" s="1"/>
  <c r="A4810" i="1"/>
  <c r="B4810" i="1" s="1"/>
  <c r="C4810" i="1"/>
  <c r="D4810" i="1"/>
  <c r="E4810" i="1"/>
  <c r="F4810" i="1"/>
  <c r="G4810" i="1" s="1"/>
  <c r="A4811" i="1"/>
  <c r="B4811" i="1"/>
  <c r="C4811" i="1"/>
  <c r="D4811" i="1"/>
  <c r="E4811" i="1"/>
  <c r="F4811" i="1"/>
  <c r="G4811" i="1" s="1"/>
  <c r="A4812" i="1"/>
  <c r="B4812" i="1" s="1"/>
  <c r="C4812" i="1"/>
  <c r="D4812" i="1"/>
  <c r="E4812" i="1"/>
  <c r="F4812" i="1"/>
  <c r="G4812" i="1" s="1"/>
  <c r="A4813" i="1"/>
  <c r="B4813" i="1"/>
  <c r="C4813" i="1"/>
  <c r="D4813" i="1"/>
  <c r="E4813" i="1"/>
  <c r="F4813" i="1"/>
  <c r="G4813" i="1" s="1"/>
  <c r="A4814" i="1"/>
  <c r="B4814" i="1" s="1"/>
  <c r="C4814" i="1"/>
  <c r="D4814" i="1"/>
  <c r="E4814" i="1"/>
  <c r="F4814" i="1"/>
  <c r="G4814" i="1" s="1"/>
  <c r="A4815" i="1"/>
  <c r="B4815" i="1"/>
  <c r="C4815" i="1"/>
  <c r="D4815" i="1"/>
  <c r="E4815" i="1"/>
  <c r="F4815" i="1"/>
  <c r="G4815" i="1" s="1"/>
  <c r="A4816" i="1"/>
  <c r="B4816" i="1" s="1"/>
  <c r="C4816" i="1"/>
  <c r="D4816" i="1"/>
  <c r="E4816" i="1"/>
  <c r="F4816" i="1"/>
  <c r="G4816" i="1" s="1"/>
  <c r="A4817" i="1"/>
  <c r="B4817" i="1"/>
  <c r="C4817" i="1"/>
  <c r="D4817" i="1"/>
  <c r="E4817" i="1"/>
  <c r="F4817" i="1"/>
  <c r="G4817" i="1" s="1"/>
  <c r="A4818" i="1"/>
  <c r="B4818" i="1" s="1"/>
  <c r="C4818" i="1"/>
  <c r="D4818" i="1"/>
  <c r="E4818" i="1"/>
  <c r="F4818" i="1"/>
  <c r="G4818" i="1" s="1"/>
  <c r="A4819" i="1"/>
  <c r="B4819" i="1" s="1"/>
  <c r="C4819" i="1"/>
  <c r="D4819" i="1"/>
  <c r="E4819" i="1"/>
  <c r="F4819" i="1"/>
  <c r="G4819" i="1" s="1"/>
  <c r="A4820" i="1"/>
  <c r="B4820" i="1" s="1"/>
  <c r="C4820" i="1"/>
  <c r="D4820" i="1"/>
  <c r="E4820" i="1"/>
  <c r="F4820" i="1"/>
  <c r="G4820" i="1" s="1"/>
  <c r="A4821" i="1"/>
  <c r="B4821" i="1" s="1"/>
  <c r="C4821" i="1"/>
  <c r="D4821" i="1"/>
  <c r="E4821" i="1"/>
  <c r="F4821" i="1"/>
  <c r="G4821" i="1" s="1"/>
  <c r="A4822" i="1"/>
  <c r="B4822" i="1" s="1"/>
  <c r="C4822" i="1"/>
  <c r="D4822" i="1"/>
  <c r="E4822" i="1"/>
  <c r="F4822" i="1"/>
  <c r="G4822" i="1" s="1"/>
  <c r="A4823" i="1"/>
  <c r="B4823" i="1" s="1"/>
  <c r="C4823" i="1"/>
  <c r="D4823" i="1"/>
  <c r="E4823" i="1"/>
  <c r="F4823" i="1"/>
  <c r="G4823" i="1" s="1"/>
  <c r="A4824" i="1"/>
  <c r="B4824" i="1" s="1"/>
  <c r="C4824" i="1"/>
  <c r="D4824" i="1"/>
  <c r="E4824" i="1"/>
  <c r="F4824" i="1"/>
  <c r="G4824" i="1" s="1"/>
  <c r="A4825" i="1"/>
  <c r="B4825" i="1" s="1"/>
  <c r="C4825" i="1"/>
  <c r="D4825" i="1"/>
  <c r="E4825" i="1"/>
  <c r="F4825" i="1"/>
  <c r="G4825" i="1" s="1"/>
  <c r="A4826" i="1"/>
  <c r="B4826" i="1" s="1"/>
  <c r="C4826" i="1"/>
  <c r="D4826" i="1"/>
  <c r="E4826" i="1"/>
  <c r="F4826" i="1"/>
  <c r="G4826" i="1" s="1"/>
  <c r="A4827" i="1"/>
  <c r="B4827" i="1"/>
  <c r="C4827" i="1"/>
  <c r="D4827" i="1"/>
  <c r="E4827" i="1"/>
  <c r="F4827" i="1"/>
  <c r="G4827" i="1" s="1"/>
  <c r="A4828" i="1"/>
  <c r="B4828" i="1" s="1"/>
  <c r="C4828" i="1"/>
  <c r="D4828" i="1"/>
  <c r="E4828" i="1"/>
  <c r="F4828" i="1"/>
  <c r="G4828" i="1" s="1"/>
  <c r="A4829" i="1"/>
  <c r="B4829" i="1"/>
  <c r="C4829" i="1"/>
  <c r="D4829" i="1"/>
  <c r="E4829" i="1"/>
  <c r="F4829" i="1"/>
  <c r="G4829" i="1" s="1"/>
  <c r="A4830" i="1"/>
  <c r="B4830" i="1" s="1"/>
  <c r="C4830" i="1"/>
  <c r="D4830" i="1"/>
  <c r="E4830" i="1"/>
  <c r="F4830" i="1"/>
  <c r="G4830" i="1" s="1"/>
  <c r="A4831" i="1"/>
  <c r="B4831" i="1" s="1"/>
  <c r="C4831" i="1"/>
  <c r="D4831" i="1"/>
  <c r="E4831" i="1"/>
  <c r="F4831" i="1"/>
  <c r="G4831" i="1" s="1"/>
  <c r="A4832" i="1"/>
  <c r="B4832" i="1" s="1"/>
  <c r="C4832" i="1"/>
  <c r="D4832" i="1"/>
  <c r="E4832" i="1"/>
  <c r="F4832" i="1"/>
  <c r="G4832" i="1" s="1"/>
  <c r="A4833" i="1"/>
  <c r="B4833" i="1"/>
  <c r="C4833" i="1"/>
  <c r="D4833" i="1"/>
  <c r="E4833" i="1"/>
  <c r="F4833" i="1"/>
  <c r="G4833" i="1" s="1"/>
  <c r="A4834" i="1"/>
  <c r="B4834" i="1" s="1"/>
  <c r="C4834" i="1"/>
  <c r="D4834" i="1"/>
  <c r="E4834" i="1"/>
  <c r="F4834" i="1"/>
  <c r="G4834" i="1" s="1"/>
  <c r="A4835" i="1"/>
  <c r="B4835" i="1" s="1"/>
  <c r="C4835" i="1"/>
  <c r="D4835" i="1"/>
  <c r="E4835" i="1"/>
  <c r="F4835" i="1"/>
  <c r="G4835" i="1" s="1"/>
  <c r="A4836" i="1"/>
  <c r="B4836" i="1" s="1"/>
  <c r="C4836" i="1"/>
  <c r="D4836" i="1"/>
  <c r="E4836" i="1"/>
  <c r="F4836" i="1"/>
  <c r="G4836" i="1" s="1"/>
  <c r="A4837" i="1"/>
  <c r="B4837" i="1" s="1"/>
  <c r="C4837" i="1"/>
  <c r="D4837" i="1"/>
  <c r="E4837" i="1"/>
  <c r="F4837" i="1"/>
  <c r="G4837" i="1" s="1"/>
  <c r="A4838" i="1"/>
  <c r="B4838" i="1" s="1"/>
  <c r="C4838" i="1"/>
  <c r="D4838" i="1"/>
  <c r="E4838" i="1"/>
  <c r="F4838" i="1"/>
  <c r="G4838" i="1" s="1"/>
  <c r="A4839" i="1"/>
  <c r="B4839" i="1"/>
  <c r="C4839" i="1"/>
  <c r="D4839" i="1"/>
  <c r="E4839" i="1"/>
  <c r="F4839" i="1"/>
  <c r="G4839" i="1" s="1"/>
  <c r="A4840" i="1"/>
  <c r="B4840" i="1"/>
  <c r="C4840" i="1"/>
  <c r="D4840" i="1"/>
  <c r="E4840" i="1"/>
  <c r="F4840" i="1"/>
  <c r="G4840" i="1" s="1"/>
  <c r="A4841" i="1"/>
  <c r="B4841" i="1"/>
  <c r="C4841" i="1"/>
  <c r="D4841" i="1"/>
  <c r="E4841" i="1"/>
  <c r="F4841" i="1"/>
  <c r="G4841" i="1" s="1"/>
  <c r="A4842" i="1"/>
  <c r="B4842" i="1" s="1"/>
  <c r="C4842" i="1"/>
  <c r="D4842" i="1"/>
  <c r="E4842" i="1"/>
  <c r="F4842" i="1"/>
  <c r="G4842" i="1"/>
  <c r="A4843" i="1"/>
  <c r="B4843" i="1" s="1"/>
  <c r="C4843" i="1"/>
  <c r="D4843" i="1"/>
  <c r="E4843" i="1"/>
  <c r="F4843" i="1"/>
  <c r="G4843" i="1" s="1"/>
  <c r="A4844" i="1"/>
  <c r="B4844" i="1" s="1"/>
  <c r="C4844" i="1"/>
  <c r="D4844" i="1"/>
  <c r="E4844" i="1"/>
  <c r="F4844" i="1"/>
  <c r="G4844" i="1" s="1"/>
  <c r="A4845" i="1"/>
  <c r="B4845" i="1"/>
  <c r="C4845" i="1"/>
  <c r="D4845" i="1"/>
  <c r="E4845" i="1"/>
  <c r="F4845" i="1"/>
  <c r="G4845" i="1" s="1"/>
  <c r="A4846" i="1"/>
  <c r="B4846" i="1" s="1"/>
  <c r="C4846" i="1"/>
  <c r="D4846" i="1"/>
  <c r="E4846" i="1"/>
  <c r="F4846" i="1"/>
  <c r="G4846" i="1" s="1"/>
  <c r="A4847" i="1"/>
  <c r="B4847" i="1"/>
  <c r="C4847" i="1"/>
  <c r="D4847" i="1"/>
  <c r="E4847" i="1"/>
  <c r="F4847" i="1"/>
  <c r="G4847" i="1" s="1"/>
  <c r="A4848" i="1"/>
  <c r="B4848" i="1" s="1"/>
  <c r="C4848" i="1"/>
  <c r="D4848" i="1"/>
  <c r="E4848" i="1"/>
  <c r="F4848" i="1"/>
  <c r="G4848" i="1" s="1"/>
  <c r="A4849" i="1"/>
  <c r="B4849" i="1" s="1"/>
  <c r="C4849" i="1"/>
  <c r="D4849" i="1"/>
  <c r="E4849" i="1"/>
  <c r="F4849" i="1"/>
  <c r="G4849" i="1" s="1"/>
  <c r="A4850" i="1"/>
  <c r="B4850" i="1" s="1"/>
  <c r="C4850" i="1"/>
  <c r="D4850" i="1"/>
  <c r="E4850" i="1"/>
  <c r="F4850" i="1"/>
  <c r="G4850" i="1" s="1"/>
  <c r="A4851" i="1"/>
  <c r="B4851" i="1" s="1"/>
  <c r="C4851" i="1"/>
  <c r="D4851" i="1"/>
  <c r="E4851" i="1"/>
  <c r="F4851" i="1"/>
  <c r="G4851" i="1" s="1"/>
  <c r="A4852" i="1"/>
  <c r="B4852" i="1"/>
  <c r="C4852" i="1"/>
  <c r="D4852" i="1"/>
  <c r="E4852" i="1"/>
  <c r="F4852" i="1"/>
  <c r="G4852" i="1" s="1"/>
  <c r="A4853" i="1"/>
  <c r="B4853" i="1"/>
  <c r="C4853" i="1"/>
  <c r="D4853" i="1"/>
  <c r="E4853" i="1"/>
  <c r="F4853" i="1"/>
  <c r="G4853" i="1" s="1"/>
  <c r="A4854" i="1"/>
  <c r="B4854" i="1" s="1"/>
  <c r="C4854" i="1"/>
  <c r="D4854" i="1"/>
  <c r="E4854" i="1"/>
  <c r="F4854" i="1"/>
  <c r="G4854" i="1" s="1"/>
  <c r="A4855" i="1"/>
  <c r="B4855" i="1" s="1"/>
  <c r="C4855" i="1"/>
  <c r="D4855" i="1"/>
  <c r="E4855" i="1"/>
  <c r="F4855" i="1"/>
  <c r="G4855" i="1" s="1"/>
  <c r="A4856" i="1"/>
  <c r="B4856" i="1" s="1"/>
  <c r="C4856" i="1"/>
  <c r="D4856" i="1"/>
  <c r="E4856" i="1"/>
  <c r="F4856" i="1"/>
  <c r="G4856" i="1" s="1"/>
  <c r="A4857" i="1"/>
  <c r="B4857" i="1" s="1"/>
  <c r="C4857" i="1"/>
  <c r="D4857" i="1"/>
  <c r="E4857" i="1"/>
  <c r="F4857" i="1"/>
  <c r="G4857" i="1" s="1"/>
  <c r="A4858" i="1"/>
  <c r="B4858" i="1" s="1"/>
  <c r="C4858" i="1"/>
  <c r="D4858" i="1"/>
  <c r="E4858" i="1"/>
  <c r="F4858" i="1"/>
  <c r="G4858" i="1" s="1"/>
  <c r="A4859" i="1"/>
  <c r="B4859" i="1" s="1"/>
  <c r="C4859" i="1"/>
  <c r="D4859" i="1"/>
  <c r="E4859" i="1"/>
  <c r="F4859" i="1"/>
  <c r="G4859" i="1" s="1"/>
  <c r="A4860" i="1"/>
  <c r="B4860" i="1" s="1"/>
  <c r="C4860" i="1"/>
  <c r="D4860" i="1"/>
  <c r="E4860" i="1"/>
  <c r="F4860" i="1"/>
  <c r="G4860" i="1" s="1"/>
  <c r="A4861" i="1"/>
  <c r="B4861" i="1" s="1"/>
  <c r="C4861" i="1"/>
  <c r="D4861" i="1"/>
  <c r="E4861" i="1"/>
  <c r="F4861" i="1"/>
  <c r="G4861" i="1" s="1"/>
  <c r="A4862" i="1"/>
  <c r="B4862" i="1" s="1"/>
  <c r="C4862" i="1"/>
  <c r="D4862" i="1"/>
  <c r="E4862" i="1"/>
  <c r="F4862" i="1"/>
  <c r="G4862" i="1" s="1"/>
  <c r="A4863" i="1"/>
  <c r="B4863" i="1" s="1"/>
  <c r="C4863" i="1"/>
  <c r="D4863" i="1"/>
  <c r="E4863" i="1"/>
  <c r="F4863" i="1"/>
  <c r="G4863" i="1" s="1"/>
  <c r="A4864" i="1"/>
  <c r="B4864" i="1" s="1"/>
  <c r="C4864" i="1"/>
  <c r="D4864" i="1"/>
  <c r="E4864" i="1"/>
  <c r="F4864" i="1"/>
  <c r="G4864" i="1" s="1"/>
  <c r="A4865" i="1"/>
  <c r="B4865" i="1" s="1"/>
  <c r="C4865" i="1"/>
  <c r="D4865" i="1"/>
  <c r="E4865" i="1"/>
  <c r="F4865" i="1"/>
  <c r="G4865" i="1" s="1"/>
  <c r="A4866" i="1"/>
  <c r="B4866" i="1" s="1"/>
  <c r="C4866" i="1"/>
  <c r="D4866" i="1"/>
  <c r="E4866" i="1"/>
  <c r="F4866" i="1"/>
  <c r="G4866" i="1" s="1"/>
  <c r="A4867" i="1"/>
  <c r="B4867" i="1" s="1"/>
  <c r="C4867" i="1"/>
  <c r="D4867" i="1"/>
  <c r="E4867" i="1"/>
  <c r="F4867" i="1"/>
  <c r="G4867" i="1" s="1"/>
  <c r="A4868" i="1"/>
  <c r="B4868" i="1" s="1"/>
  <c r="C4868" i="1"/>
  <c r="D4868" i="1"/>
  <c r="E4868" i="1"/>
  <c r="F4868" i="1"/>
  <c r="G4868" i="1" s="1"/>
  <c r="A4869" i="1"/>
  <c r="B4869" i="1" s="1"/>
  <c r="C4869" i="1"/>
  <c r="D4869" i="1"/>
  <c r="E4869" i="1"/>
  <c r="F4869" i="1"/>
  <c r="G4869" i="1" s="1"/>
  <c r="A4870" i="1"/>
  <c r="B4870" i="1" s="1"/>
  <c r="C4870" i="1"/>
  <c r="D4870" i="1"/>
  <c r="E4870" i="1"/>
  <c r="F4870" i="1"/>
  <c r="G4870" i="1" s="1"/>
  <c r="A4871" i="1"/>
  <c r="B4871" i="1" s="1"/>
  <c r="C4871" i="1"/>
  <c r="D4871" i="1"/>
  <c r="E4871" i="1"/>
  <c r="F4871" i="1"/>
  <c r="G4871" i="1" s="1"/>
  <c r="A4872" i="1"/>
  <c r="B4872" i="1" s="1"/>
  <c r="C4872" i="1"/>
  <c r="D4872" i="1"/>
  <c r="E4872" i="1"/>
  <c r="F4872" i="1"/>
  <c r="G4872" i="1" s="1"/>
  <c r="A4873" i="1"/>
  <c r="B4873" i="1" s="1"/>
  <c r="C4873" i="1"/>
  <c r="D4873" i="1"/>
  <c r="E4873" i="1"/>
  <c r="F4873" i="1"/>
  <c r="G4873" i="1" s="1"/>
  <c r="A4874" i="1"/>
  <c r="B4874" i="1" s="1"/>
  <c r="C4874" i="1"/>
  <c r="D4874" i="1"/>
  <c r="E4874" i="1"/>
  <c r="F4874" i="1"/>
  <c r="G4874" i="1" s="1"/>
  <c r="A4875" i="1"/>
  <c r="B4875" i="1" s="1"/>
  <c r="C4875" i="1"/>
  <c r="D4875" i="1"/>
  <c r="E4875" i="1"/>
  <c r="F4875" i="1"/>
  <c r="G4875" i="1" s="1"/>
  <c r="A4876" i="1"/>
  <c r="B4876" i="1" s="1"/>
  <c r="C4876" i="1"/>
  <c r="D4876" i="1"/>
  <c r="E4876" i="1"/>
  <c r="F4876" i="1"/>
  <c r="G4876" i="1"/>
  <c r="A4877" i="1"/>
  <c r="B4877" i="1" s="1"/>
  <c r="C4877" i="1"/>
  <c r="D4877" i="1"/>
  <c r="E4877" i="1"/>
  <c r="F4877" i="1"/>
  <c r="G4877" i="1" s="1"/>
  <c r="A4878" i="1"/>
  <c r="B4878" i="1" s="1"/>
  <c r="C4878" i="1"/>
  <c r="D4878" i="1"/>
  <c r="E4878" i="1"/>
  <c r="F4878" i="1"/>
  <c r="G4878" i="1"/>
  <c r="A4879" i="1"/>
  <c r="B4879" i="1" s="1"/>
  <c r="C4879" i="1"/>
  <c r="D4879" i="1"/>
  <c r="E4879" i="1"/>
  <c r="F4879" i="1"/>
  <c r="G4879" i="1" s="1"/>
  <c r="A4880" i="1"/>
  <c r="B4880" i="1" s="1"/>
  <c r="C4880" i="1"/>
  <c r="D4880" i="1"/>
  <c r="E4880" i="1"/>
  <c r="F4880" i="1"/>
  <c r="G4880" i="1"/>
  <c r="A4881" i="1"/>
  <c r="B4881" i="1" s="1"/>
  <c r="C4881" i="1"/>
  <c r="D4881" i="1"/>
  <c r="E4881" i="1"/>
  <c r="F4881" i="1"/>
  <c r="G4881" i="1" s="1"/>
  <c r="A4882" i="1"/>
  <c r="B4882" i="1" s="1"/>
  <c r="C4882" i="1"/>
  <c r="D4882" i="1"/>
  <c r="E4882" i="1"/>
  <c r="F4882" i="1"/>
  <c r="G4882" i="1" s="1"/>
  <c r="A4883" i="1"/>
  <c r="B4883" i="1" s="1"/>
  <c r="C4883" i="1"/>
  <c r="D4883" i="1"/>
  <c r="E4883" i="1"/>
  <c r="F4883" i="1"/>
  <c r="G4883" i="1" s="1"/>
  <c r="A4884" i="1"/>
  <c r="B4884" i="1" s="1"/>
  <c r="C4884" i="1"/>
  <c r="D4884" i="1"/>
  <c r="E4884" i="1"/>
  <c r="F4884" i="1"/>
  <c r="G4884" i="1" s="1"/>
  <c r="A4885" i="1"/>
  <c r="B4885" i="1"/>
  <c r="C4885" i="1"/>
  <c r="D4885" i="1"/>
  <c r="E4885" i="1"/>
  <c r="F4885" i="1"/>
  <c r="G4885" i="1" s="1"/>
  <c r="A4886" i="1"/>
  <c r="B4886" i="1" s="1"/>
  <c r="C4886" i="1"/>
  <c r="D4886" i="1"/>
  <c r="E4886" i="1"/>
  <c r="F4886" i="1"/>
  <c r="G4886" i="1" s="1"/>
  <c r="A4887" i="1"/>
  <c r="B4887" i="1"/>
  <c r="C4887" i="1"/>
  <c r="D4887" i="1"/>
  <c r="E4887" i="1"/>
  <c r="F4887" i="1"/>
  <c r="G4887" i="1" s="1"/>
  <c r="A4888" i="1"/>
  <c r="B4888" i="1" s="1"/>
  <c r="C4888" i="1"/>
  <c r="D4888" i="1"/>
  <c r="E4888" i="1"/>
  <c r="F4888" i="1"/>
  <c r="G4888" i="1" s="1"/>
  <c r="A4889" i="1"/>
  <c r="B4889" i="1" s="1"/>
  <c r="C4889" i="1"/>
  <c r="D4889" i="1"/>
  <c r="E4889" i="1"/>
  <c r="F4889" i="1"/>
  <c r="G4889" i="1" s="1"/>
  <c r="A4890" i="1"/>
  <c r="B4890" i="1" s="1"/>
  <c r="C4890" i="1"/>
  <c r="D4890" i="1"/>
  <c r="E4890" i="1"/>
  <c r="F4890" i="1"/>
  <c r="G4890" i="1" s="1"/>
  <c r="A4891" i="1"/>
  <c r="B4891" i="1" s="1"/>
  <c r="C4891" i="1"/>
  <c r="D4891" i="1"/>
  <c r="E4891" i="1"/>
  <c r="F4891" i="1"/>
  <c r="G4891" i="1" s="1"/>
  <c r="A4892" i="1"/>
  <c r="B4892" i="1" s="1"/>
  <c r="C4892" i="1"/>
  <c r="D4892" i="1"/>
  <c r="E4892" i="1"/>
  <c r="F4892" i="1"/>
  <c r="G4892" i="1" s="1"/>
  <c r="A4893" i="1"/>
  <c r="B4893" i="1"/>
  <c r="C4893" i="1"/>
  <c r="D4893" i="1"/>
  <c r="E4893" i="1"/>
  <c r="F4893" i="1"/>
  <c r="G4893" i="1" s="1"/>
  <c r="A4894" i="1"/>
  <c r="B4894" i="1" s="1"/>
  <c r="C4894" i="1"/>
  <c r="D4894" i="1"/>
  <c r="E4894" i="1"/>
  <c r="F4894" i="1"/>
  <c r="G4894" i="1" s="1"/>
  <c r="A4895" i="1"/>
  <c r="B4895" i="1"/>
  <c r="C4895" i="1"/>
  <c r="D4895" i="1"/>
  <c r="E4895" i="1"/>
  <c r="F4895" i="1"/>
  <c r="G4895" i="1" s="1"/>
  <c r="A4896" i="1"/>
  <c r="B4896" i="1" s="1"/>
  <c r="C4896" i="1"/>
  <c r="D4896" i="1"/>
  <c r="E4896" i="1"/>
  <c r="F4896" i="1"/>
  <c r="G4896" i="1" s="1"/>
  <c r="A4897" i="1"/>
  <c r="B4897" i="1"/>
  <c r="C4897" i="1"/>
  <c r="D4897" i="1"/>
  <c r="E4897" i="1"/>
  <c r="F4897" i="1"/>
  <c r="G4897" i="1" s="1"/>
  <c r="A4898" i="1"/>
  <c r="B4898" i="1" s="1"/>
  <c r="C4898" i="1"/>
  <c r="D4898" i="1"/>
  <c r="E4898" i="1"/>
  <c r="F4898" i="1"/>
  <c r="G4898" i="1"/>
  <c r="A4899" i="1"/>
  <c r="B4899" i="1"/>
  <c r="C4899" i="1"/>
  <c r="D4899" i="1"/>
  <c r="E4899" i="1"/>
  <c r="F4899" i="1"/>
  <c r="G4899" i="1" s="1"/>
  <c r="A4900" i="1"/>
  <c r="B4900" i="1" s="1"/>
  <c r="C4900" i="1"/>
  <c r="D4900" i="1"/>
  <c r="E4900" i="1"/>
  <c r="F4900" i="1"/>
  <c r="G4900" i="1"/>
  <c r="A4901" i="1"/>
  <c r="B4901" i="1"/>
  <c r="C4901" i="1"/>
  <c r="D4901" i="1"/>
  <c r="E4901" i="1"/>
  <c r="F4901" i="1"/>
  <c r="G4901" i="1" s="1"/>
  <c r="A4902" i="1"/>
  <c r="B4902" i="1" s="1"/>
  <c r="C4902" i="1"/>
  <c r="D4902" i="1"/>
  <c r="E4902" i="1"/>
  <c r="F4902" i="1"/>
  <c r="G4902" i="1"/>
  <c r="A4903" i="1"/>
  <c r="B4903" i="1"/>
  <c r="C4903" i="1"/>
  <c r="D4903" i="1"/>
  <c r="E4903" i="1"/>
  <c r="F4903" i="1"/>
  <c r="G4903" i="1" s="1"/>
  <c r="A4904" i="1"/>
  <c r="B4904" i="1" s="1"/>
  <c r="C4904" i="1"/>
  <c r="D4904" i="1"/>
  <c r="E4904" i="1"/>
  <c r="F4904" i="1"/>
  <c r="G4904" i="1"/>
  <c r="A4905" i="1"/>
  <c r="B4905" i="1"/>
  <c r="C4905" i="1"/>
  <c r="D4905" i="1"/>
  <c r="E4905" i="1"/>
  <c r="F4905" i="1"/>
  <c r="G4905" i="1" s="1"/>
  <c r="A4906" i="1"/>
  <c r="B4906" i="1" s="1"/>
  <c r="C4906" i="1"/>
  <c r="D4906" i="1"/>
  <c r="E4906" i="1"/>
  <c r="F4906" i="1"/>
  <c r="G4906" i="1"/>
  <c r="A4907" i="1"/>
  <c r="B4907" i="1" s="1"/>
  <c r="C4907" i="1"/>
  <c r="D4907" i="1"/>
  <c r="E4907" i="1"/>
  <c r="F4907" i="1"/>
  <c r="G4907" i="1" s="1"/>
  <c r="A4908" i="1"/>
  <c r="B4908" i="1" s="1"/>
  <c r="C4908" i="1"/>
  <c r="D4908" i="1"/>
  <c r="E4908" i="1"/>
  <c r="F4908" i="1"/>
  <c r="G4908" i="1" s="1"/>
  <c r="A4909" i="1"/>
  <c r="B4909" i="1" s="1"/>
  <c r="C4909" i="1"/>
  <c r="D4909" i="1"/>
  <c r="E4909" i="1"/>
  <c r="F4909" i="1"/>
  <c r="G4909" i="1" s="1"/>
  <c r="A4910" i="1"/>
  <c r="B4910" i="1" s="1"/>
  <c r="C4910" i="1"/>
  <c r="D4910" i="1"/>
  <c r="E4910" i="1"/>
  <c r="F4910" i="1"/>
  <c r="G4910" i="1"/>
  <c r="A4911" i="1"/>
  <c r="B4911" i="1" s="1"/>
  <c r="C4911" i="1"/>
  <c r="D4911" i="1"/>
  <c r="E4911" i="1"/>
  <c r="F4911" i="1"/>
  <c r="G4911" i="1" s="1"/>
  <c r="A4912" i="1"/>
  <c r="B4912" i="1" s="1"/>
  <c r="C4912" i="1"/>
  <c r="D4912" i="1"/>
  <c r="E4912" i="1"/>
  <c r="F4912" i="1"/>
  <c r="G4912" i="1" s="1"/>
  <c r="A4913" i="1"/>
  <c r="B4913" i="1" s="1"/>
  <c r="C4913" i="1"/>
  <c r="D4913" i="1"/>
  <c r="E4913" i="1"/>
  <c r="F4913" i="1"/>
  <c r="G4913" i="1" s="1"/>
  <c r="A4914" i="1"/>
  <c r="B4914" i="1" s="1"/>
  <c r="C4914" i="1"/>
  <c r="D4914" i="1"/>
  <c r="E4914" i="1"/>
  <c r="F4914" i="1"/>
  <c r="G4914" i="1" s="1"/>
  <c r="A4915" i="1"/>
  <c r="B4915" i="1" s="1"/>
  <c r="C4915" i="1"/>
  <c r="D4915" i="1"/>
  <c r="E4915" i="1"/>
  <c r="F4915" i="1"/>
  <c r="G4915" i="1" s="1"/>
  <c r="A4916" i="1"/>
  <c r="B4916" i="1" s="1"/>
  <c r="C4916" i="1"/>
  <c r="D4916" i="1"/>
  <c r="E4916" i="1"/>
  <c r="F4916" i="1"/>
  <c r="G4916" i="1" s="1"/>
  <c r="A4917" i="1"/>
  <c r="B4917" i="1" s="1"/>
  <c r="C4917" i="1"/>
  <c r="D4917" i="1"/>
  <c r="E4917" i="1"/>
  <c r="F4917" i="1"/>
  <c r="G4917" i="1" s="1"/>
  <c r="A4918" i="1"/>
  <c r="B4918" i="1" s="1"/>
  <c r="C4918" i="1"/>
  <c r="D4918" i="1"/>
  <c r="E4918" i="1"/>
  <c r="F4918" i="1"/>
  <c r="G4918" i="1" s="1"/>
  <c r="A4919" i="1"/>
  <c r="B4919" i="1" s="1"/>
  <c r="C4919" i="1"/>
  <c r="D4919" i="1"/>
  <c r="E4919" i="1"/>
  <c r="F4919" i="1"/>
  <c r="G4919" i="1" s="1"/>
  <c r="A4920" i="1"/>
  <c r="B4920" i="1" s="1"/>
  <c r="C4920" i="1"/>
  <c r="D4920" i="1"/>
  <c r="E4920" i="1"/>
  <c r="F4920" i="1"/>
  <c r="G4920" i="1" s="1"/>
  <c r="A4921" i="1"/>
  <c r="B4921" i="1" s="1"/>
  <c r="C4921" i="1"/>
  <c r="D4921" i="1"/>
  <c r="E4921" i="1"/>
  <c r="F4921" i="1"/>
  <c r="G4921" i="1" s="1"/>
  <c r="A4922" i="1"/>
  <c r="B4922" i="1" s="1"/>
  <c r="C4922" i="1"/>
  <c r="D4922" i="1"/>
  <c r="E4922" i="1"/>
  <c r="F4922" i="1"/>
  <c r="G4922" i="1" s="1"/>
  <c r="A4923" i="1"/>
  <c r="B4923" i="1"/>
  <c r="C4923" i="1"/>
  <c r="D4923" i="1"/>
  <c r="E4923" i="1"/>
  <c r="F4923" i="1"/>
  <c r="G4923" i="1" s="1"/>
  <c r="A4924" i="1"/>
  <c r="B4924" i="1"/>
  <c r="C4924" i="1"/>
  <c r="D4924" i="1"/>
  <c r="E4924" i="1"/>
  <c r="F4924" i="1"/>
  <c r="G4924" i="1" s="1"/>
  <c r="A4925" i="1"/>
  <c r="B4925" i="1" s="1"/>
  <c r="C4925" i="1"/>
  <c r="D4925" i="1"/>
  <c r="E4925" i="1"/>
  <c r="F4925" i="1"/>
  <c r="G4925" i="1" s="1"/>
  <c r="A4926" i="1"/>
  <c r="B4926" i="1" s="1"/>
  <c r="C4926" i="1"/>
  <c r="D4926" i="1"/>
  <c r="E4926" i="1"/>
  <c r="F4926" i="1"/>
  <c r="G4926" i="1" s="1"/>
  <c r="A4927" i="1"/>
  <c r="B4927" i="1"/>
  <c r="C4927" i="1"/>
  <c r="D4927" i="1"/>
  <c r="E4927" i="1"/>
  <c r="F4927" i="1"/>
  <c r="G4927" i="1" s="1"/>
  <c r="A4928" i="1"/>
  <c r="B4928" i="1" s="1"/>
  <c r="C4928" i="1"/>
  <c r="D4928" i="1"/>
  <c r="E4928" i="1"/>
  <c r="F4928" i="1"/>
  <c r="G4928" i="1" s="1"/>
  <c r="A4929" i="1"/>
  <c r="B4929" i="1"/>
  <c r="C4929" i="1"/>
  <c r="D4929" i="1"/>
  <c r="E4929" i="1"/>
  <c r="F4929" i="1"/>
  <c r="G4929" i="1" s="1"/>
  <c r="A4930" i="1"/>
  <c r="B4930" i="1" s="1"/>
  <c r="C4930" i="1"/>
  <c r="D4930" i="1"/>
  <c r="E4930" i="1"/>
  <c r="F4930" i="1"/>
  <c r="G4930" i="1" s="1"/>
  <c r="A4931" i="1"/>
  <c r="B4931" i="1"/>
  <c r="C4931" i="1"/>
  <c r="D4931" i="1"/>
  <c r="E4931" i="1"/>
  <c r="F4931" i="1"/>
  <c r="G4931" i="1" s="1"/>
  <c r="A4932" i="1"/>
  <c r="B4932" i="1" s="1"/>
  <c r="C4932" i="1"/>
  <c r="D4932" i="1"/>
  <c r="E4932" i="1"/>
  <c r="F4932" i="1"/>
  <c r="G4932" i="1" s="1"/>
  <c r="A4933" i="1"/>
  <c r="B4933" i="1"/>
  <c r="C4933" i="1"/>
  <c r="D4933" i="1"/>
  <c r="E4933" i="1"/>
  <c r="F4933" i="1"/>
  <c r="G4933" i="1" s="1"/>
  <c r="A4934" i="1"/>
  <c r="B4934" i="1" s="1"/>
  <c r="C4934" i="1"/>
  <c r="D4934" i="1"/>
  <c r="E4934" i="1"/>
  <c r="F4934" i="1"/>
  <c r="G4934" i="1" s="1"/>
  <c r="A4935" i="1"/>
  <c r="B4935" i="1"/>
  <c r="C4935" i="1"/>
  <c r="D4935" i="1"/>
  <c r="E4935" i="1"/>
  <c r="F4935" i="1"/>
  <c r="G4935" i="1" s="1"/>
  <c r="A4936" i="1"/>
  <c r="B4936" i="1" s="1"/>
  <c r="C4936" i="1"/>
  <c r="D4936" i="1"/>
  <c r="E4936" i="1"/>
  <c r="F4936" i="1"/>
  <c r="G4936" i="1" s="1"/>
  <c r="A4937" i="1"/>
  <c r="B4937" i="1"/>
  <c r="C4937" i="1"/>
  <c r="D4937" i="1"/>
  <c r="E4937" i="1"/>
  <c r="F4937" i="1"/>
  <c r="G4937" i="1" s="1"/>
  <c r="A4938" i="1"/>
  <c r="B4938" i="1" s="1"/>
  <c r="C4938" i="1"/>
  <c r="D4938" i="1"/>
  <c r="E4938" i="1"/>
  <c r="F4938" i="1"/>
  <c r="G4938" i="1" s="1"/>
  <c r="A4939" i="1"/>
  <c r="B4939" i="1" s="1"/>
  <c r="C4939" i="1"/>
  <c r="D4939" i="1"/>
  <c r="E4939" i="1"/>
  <c r="F4939" i="1"/>
  <c r="G4939" i="1" s="1"/>
  <c r="A4940" i="1"/>
  <c r="B4940" i="1" s="1"/>
  <c r="C4940" i="1"/>
  <c r="D4940" i="1"/>
  <c r="E4940" i="1"/>
  <c r="F4940" i="1"/>
  <c r="G4940" i="1" s="1"/>
  <c r="A4941" i="1"/>
  <c r="B4941" i="1" s="1"/>
  <c r="C4941" i="1"/>
  <c r="D4941" i="1"/>
  <c r="E4941" i="1"/>
  <c r="F4941" i="1"/>
  <c r="G4941" i="1" s="1"/>
  <c r="A4942" i="1"/>
  <c r="B4942" i="1" s="1"/>
  <c r="C4942" i="1"/>
  <c r="D4942" i="1"/>
  <c r="E4942" i="1"/>
  <c r="F4942" i="1"/>
  <c r="G4942" i="1" s="1"/>
  <c r="A4943" i="1"/>
  <c r="B4943" i="1" s="1"/>
  <c r="C4943" i="1"/>
  <c r="D4943" i="1"/>
  <c r="E4943" i="1"/>
  <c r="F4943" i="1"/>
  <c r="G4943" i="1" s="1"/>
  <c r="A4944" i="1"/>
  <c r="B4944" i="1" s="1"/>
  <c r="C4944" i="1"/>
  <c r="D4944" i="1"/>
  <c r="E4944" i="1"/>
  <c r="F4944" i="1"/>
  <c r="G4944" i="1" s="1"/>
  <c r="A4945" i="1"/>
  <c r="B4945" i="1"/>
  <c r="C4945" i="1"/>
  <c r="D4945" i="1"/>
  <c r="E4945" i="1"/>
  <c r="F4945" i="1"/>
  <c r="G4945" i="1" s="1"/>
  <c r="A4946" i="1"/>
  <c r="B4946" i="1" s="1"/>
  <c r="C4946" i="1"/>
  <c r="D4946" i="1"/>
  <c r="E4946" i="1"/>
  <c r="F4946" i="1"/>
  <c r="G4946" i="1" s="1"/>
  <c r="A4947" i="1"/>
  <c r="B4947" i="1"/>
  <c r="C4947" i="1"/>
  <c r="D4947" i="1"/>
  <c r="E4947" i="1"/>
  <c r="F4947" i="1"/>
  <c r="G4947" i="1" s="1"/>
  <c r="A4948" i="1"/>
  <c r="B4948" i="1" s="1"/>
  <c r="C4948" i="1"/>
  <c r="D4948" i="1"/>
  <c r="E4948" i="1"/>
  <c r="F4948" i="1"/>
  <c r="G4948" i="1" s="1"/>
  <c r="A4949" i="1"/>
  <c r="B4949" i="1"/>
  <c r="C4949" i="1"/>
  <c r="D4949" i="1"/>
  <c r="E4949" i="1"/>
  <c r="F4949" i="1"/>
  <c r="G4949" i="1" s="1"/>
  <c r="A4950" i="1"/>
  <c r="B4950" i="1" s="1"/>
  <c r="C4950" i="1"/>
  <c r="D4950" i="1"/>
  <c r="E4950" i="1"/>
  <c r="F4950" i="1"/>
  <c r="G4950" i="1" s="1"/>
  <c r="A4951" i="1"/>
  <c r="B4951" i="1"/>
  <c r="C4951" i="1"/>
  <c r="D4951" i="1"/>
  <c r="E4951" i="1"/>
  <c r="F4951" i="1"/>
  <c r="G4951" i="1" s="1"/>
  <c r="A4952" i="1"/>
  <c r="B4952" i="1" s="1"/>
  <c r="C4952" i="1"/>
  <c r="D4952" i="1"/>
  <c r="E4952" i="1"/>
  <c r="F4952" i="1"/>
  <c r="G4952" i="1" s="1"/>
  <c r="A4953" i="1"/>
  <c r="B4953" i="1"/>
  <c r="C4953" i="1"/>
  <c r="D4953" i="1"/>
  <c r="E4953" i="1"/>
  <c r="F4953" i="1"/>
  <c r="G4953" i="1" s="1"/>
  <c r="A4954" i="1"/>
  <c r="B4954" i="1" s="1"/>
  <c r="C4954" i="1"/>
  <c r="D4954" i="1"/>
  <c r="E4954" i="1"/>
  <c r="F4954" i="1"/>
  <c r="G4954" i="1" s="1"/>
  <c r="A4955" i="1"/>
  <c r="B4955" i="1" s="1"/>
  <c r="C4955" i="1"/>
  <c r="D4955" i="1"/>
  <c r="E4955" i="1"/>
  <c r="F4955" i="1"/>
  <c r="G4955" i="1" s="1"/>
  <c r="A4956" i="1"/>
  <c r="B4956" i="1" s="1"/>
  <c r="C4956" i="1"/>
  <c r="D4956" i="1"/>
  <c r="E4956" i="1"/>
  <c r="F4956" i="1"/>
  <c r="G4956" i="1" s="1"/>
  <c r="A4957" i="1"/>
  <c r="B4957" i="1" s="1"/>
  <c r="C4957" i="1"/>
  <c r="D4957" i="1"/>
  <c r="E4957" i="1"/>
  <c r="F4957" i="1"/>
  <c r="G4957" i="1" s="1"/>
  <c r="A4958" i="1"/>
  <c r="B4958" i="1" s="1"/>
  <c r="C4958" i="1"/>
  <c r="D4958" i="1"/>
  <c r="E4958" i="1"/>
  <c r="F4958" i="1"/>
  <c r="G4958" i="1" s="1"/>
  <c r="A4959" i="1"/>
  <c r="B4959" i="1"/>
  <c r="C4959" i="1"/>
  <c r="D4959" i="1"/>
  <c r="E4959" i="1"/>
  <c r="F4959" i="1"/>
  <c r="G4959" i="1" s="1"/>
  <c r="A4960" i="1"/>
  <c r="B4960" i="1"/>
  <c r="C4960" i="1"/>
  <c r="D4960" i="1"/>
  <c r="E4960" i="1"/>
  <c r="F4960" i="1"/>
  <c r="G4960" i="1" s="1"/>
  <c r="A4961" i="1"/>
  <c r="B4961" i="1" s="1"/>
  <c r="C4961" i="1"/>
  <c r="D4961" i="1"/>
  <c r="E4961" i="1"/>
  <c r="F4961" i="1"/>
  <c r="G4961" i="1" s="1"/>
  <c r="A4962" i="1"/>
  <c r="B4962" i="1" s="1"/>
  <c r="C4962" i="1"/>
  <c r="D4962" i="1"/>
  <c r="E4962" i="1"/>
  <c r="F4962" i="1"/>
  <c r="G4962" i="1" s="1"/>
  <c r="A4963" i="1"/>
  <c r="B4963" i="1" s="1"/>
  <c r="C4963" i="1"/>
  <c r="D4963" i="1"/>
  <c r="E4963" i="1"/>
  <c r="F4963" i="1"/>
  <c r="G4963" i="1" s="1"/>
  <c r="A4964" i="1"/>
  <c r="B4964" i="1" s="1"/>
  <c r="C4964" i="1"/>
  <c r="D4964" i="1"/>
  <c r="E4964" i="1"/>
  <c r="F4964" i="1"/>
  <c r="G4964" i="1" s="1"/>
  <c r="A4965" i="1"/>
  <c r="B4965" i="1" s="1"/>
  <c r="C4965" i="1"/>
  <c r="D4965" i="1"/>
  <c r="E4965" i="1"/>
  <c r="F4965" i="1"/>
  <c r="G4965" i="1" s="1"/>
  <c r="A4966" i="1"/>
  <c r="B4966" i="1" s="1"/>
  <c r="C4966" i="1"/>
  <c r="D4966" i="1"/>
  <c r="E4966" i="1"/>
  <c r="F4966" i="1"/>
  <c r="G4966" i="1" s="1"/>
  <c r="A4967" i="1"/>
  <c r="B4967" i="1"/>
  <c r="C4967" i="1"/>
  <c r="D4967" i="1"/>
  <c r="E4967" i="1"/>
  <c r="F4967" i="1"/>
  <c r="G4967" i="1" s="1"/>
  <c r="A4968" i="1"/>
  <c r="B4968" i="1" s="1"/>
  <c r="C4968" i="1"/>
  <c r="D4968" i="1"/>
  <c r="E4968" i="1"/>
  <c r="F4968" i="1"/>
  <c r="G4968" i="1" s="1"/>
  <c r="A4969" i="1"/>
  <c r="B4969" i="1" s="1"/>
  <c r="C4969" i="1"/>
  <c r="D4969" i="1"/>
  <c r="E4969" i="1"/>
  <c r="F4969" i="1"/>
  <c r="G4969" i="1" s="1"/>
  <c r="A4970" i="1"/>
  <c r="B4970" i="1" s="1"/>
  <c r="C4970" i="1"/>
  <c r="D4970" i="1"/>
  <c r="E4970" i="1"/>
  <c r="F4970" i="1"/>
  <c r="G4970" i="1" s="1"/>
  <c r="A4971" i="1"/>
  <c r="B4971" i="1" s="1"/>
  <c r="C4971" i="1"/>
  <c r="D4971" i="1"/>
  <c r="E4971" i="1"/>
  <c r="F4971" i="1"/>
  <c r="G4971" i="1" s="1"/>
  <c r="A4972" i="1"/>
  <c r="B4972" i="1" s="1"/>
  <c r="C4972" i="1"/>
  <c r="D4972" i="1"/>
  <c r="E4972" i="1"/>
  <c r="F4972" i="1"/>
  <c r="G4972" i="1" s="1"/>
  <c r="A4973" i="1"/>
  <c r="B4973" i="1"/>
  <c r="C4973" i="1"/>
  <c r="D4973" i="1"/>
  <c r="E4973" i="1"/>
  <c r="F4973" i="1"/>
  <c r="G4973" i="1" s="1"/>
  <c r="A4974" i="1"/>
  <c r="B4974" i="1" s="1"/>
  <c r="C4974" i="1"/>
  <c r="D4974" i="1"/>
  <c r="E4974" i="1"/>
  <c r="F4974" i="1"/>
  <c r="G4974" i="1" s="1"/>
  <c r="A4975" i="1"/>
  <c r="B4975" i="1" s="1"/>
  <c r="C4975" i="1"/>
  <c r="D4975" i="1"/>
  <c r="E4975" i="1"/>
  <c r="F4975" i="1"/>
  <c r="G4975" i="1" s="1"/>
  <c r="A4976" i="1"/>
  <c r="B4976" i="1" s="1"/>
  <c r="C4976" i="1"/>
  <c r="D4976" i="1"/>
  <c r="E4976" i="1"/>
  <c r="F4976" i="1"/>
  <c r="G4976" i="1" s="1"/>
  <c r="A4977" i="1"/>
  <c r="B4977" i="1" s="1"/>
  <c r="C4977" i="1"/>
  <c r="D4977" i="1"/>
  <c r="E4977" i="1"/>
  <c r="F4977" i="1"/>
  <c r="G4977" i="1" s="1"/>
  <c r="A4978" i="1"/>
  <c r="B4978" i="1" s="1"/>
  <c r="C4978" i="1"/>
  <c r="D4978" i="1"/>
  <c r="E4978" i="1"/>
  <c r="F4978" i="1"/>
  <c r="G4978" i="1" s="1"/>
  <c r="A4979" i="1"/>
  <c r="B4979" i="1" s="1"/>
  <c r="C4979" i="1"/>
  <c r="D4979" i="1"/>
  <c r="E4979" i="1"/>
  <c r="F4979" i="1"/>
  <c r="G4979" i="1" s="1"/>
  <c r="A4980" i="1"/>
  <c r="B4980" i="1" s="1"/>
  <c r="C4980" i="1"/>
  <c r="D4980" i="1"/>
  <c r="E4980" i="1"/>
  <c r="F4980" i="1"/>
  <c r="G4980" i="1" s="1"/>
  <c r="A4981" i="1"/>
  <c r="B4981" i="1" s="1"/>
  <c r="C4981" i="1"/>
  <c r="D4981" i="1"/>
  <c r="E4981" i="1"/>
  <c r="F4981" i="1"/>
  <c r="G4981" i="1" s="1"/>
  <c r="A4982" i="1"/>
  <c r="B4982" i="1" s="1"/>
  <c r="C4982" i="1"/>
  <c r="D4982" i="1"/>
  <c r="E4982" i="1"/>
  <c r="F4982" i="1"/>
  <c r="G4982" i="1" s="1"/>
  <c r="A4983" i="1"/>
  <c r="B4983" i="1" s="1"/>
  <c r="C4983" i="1"/>
  <c r="D4983" i="1"/>
  <c r="E4983" i="1"/>
  <c r="F4983" i="1"/>
  <c r="G4983" i="1" s="1"/>
  <c r="A4984" i="1"/>
  <c r="B4984" i="1"/>
  <c r="C4984" i="1"/>
  <c r="D4984" i="1"/>
  <c r="E4984" i="1"/>
  <c r="F4984" i="1"/>
  <c r="G4984" i="1" s="1"/>
  <c r="A4985" i="1"/>
  <c r="B4985" i="1" s="1"/>
  <c r="C4985" i="1"/>
  <c r="D4985" i="1"/>
  <c r="E4985" i="1"/>
  <c r="F4985" i="1"/>
  <c r="G4985" i="1" s="1"/>
  <c r="A4986" i="1"/>
  <c r="B4986" i="1" s="1"/>
  <c r="C4986" i="1"/>
  <c r="D4986" i="1"/>
  <c r="E4986" i="1"/>
  <c r="F4986" i="1"/>
  <c r="G4986" i="1" s="1"/>
  <c r="A4987" i="1"/>
  <c r="B4987" i="1" s="1"/>
  <c r="C4987" i="1"/>
  <c r="D4987" i="1"/>
  <c r="E4987" i="1"/>
  <c r="F4987" i="1"/>
  <c r="G4987" i="1" s="1"/>
  <c r="A4988" i="1"/>
  <c r="B4988" i="1" s="1"/>
  <c r="C4988" i="1"/>
  <c r="D4988" i="1"/>
  <c r="E4988" i="1"/>
  <c r="F4988" i="1"/>
  <c r="G4988" i="1" s="1"/>
  <c r="A4989" i="1"/>
  <c r="B4989" i="1" s="1"/>
  <c r="C4989" i="1"/>
  <c r="D4989" i="1"/>
  <c r="E4989" i="1"/>
  <c r="F4989" i="1"/>
  <c r="G4989" i="1" s="1"/>
  <c r="A4990" i="1"/>
  <c r="B4990" i="1" s="1"/>
  <c r="C4990" i="1"/>
  <c r="D4990" i="1"/>
  <c r="E4990" i="1"/>
  <c r="F4990" i="1"/>
  <c r="G4990" i="1" s="1"/>
  <c r="A4991" i="1"/>
  <c r="B4991" i="1" s="1"/>
  <c r="C4991" i="1"/>
  <c r="D4991" i="1"/>
  <c r="E4991" i="1"/>
  <c r="F4991" i="1"/>
  <c r="G4991" i="1" s="1"/>
  <c r="A4992" i="1"/>
  <c r="B4992" i="1" s="1"/>
  <c r="C4992" i="1"/>
  <c r="D4992" i="1"/>
  <c r="E4992" i="1"/>
  <c r="F4992" i="1"/>
  <c r="G4992" i="1" s="1"/>
  <c r="A4993" i="1"/>
  <c r="B4993" i="1" s="1"/>
  <c r="C4993" i="1"/>
  <c r="D4993" i="1"/>
  <c r="E4993" i="1"/>
  <c r="F4993" i="1"/>
  <c r="G4993" i="1" s="1"/>
  <c r="A4994" i="1"/>
  <c r="B4994" i="1" s="1"/>
  <c r="C4994" i="1"/>
  <c r="D4994" i="1"/>
  <c r="E4994" i="1"/>
  <c r="F4994" i="1"/>
  <c r="G4994" i="1" s="1"/>
  <c r="A4995" i="1"/>
  <c r="B4995" i="1" s="1"/>
  <c r="C4995" i="1"/>
  <c r="D4995" i="1"/>
  <c r="E4995" i="1"/>
  <c r="F4995" i="1"/>
  <c r="G4995" i="1" s="1"/>
  <c r="A4996" i="1"/>
  <c r="B4996" i="1" s="1"/>
  <c r="C4996" i="1"/>
  <c r="D4996" i="1"/>
  <c r="E4996" i="1"/>
  <c r="F4996" i="1"/>
  <c r="G4996" i="1" s="1"/>
  <c r="A4997" i="1"/>
  <c r="B4997" i="1" s="1"/>
  <c r="C4997" i="1"/>
  <c r="D4997" i="1"/>
  <c r="E4997" i="1"/>
  <c r="F4997" i="1"/>
  <c r="G4997" i="1" s="1"/>
  <c r="A4998" i="1"/>
  <c r="B4998" i="1" s="1"/>
  <c r="C4998" i="1"/>
  <c r="D4998" i="1"/>
  <c r="E4998" i="1"/>
  <c r="F4998" i="1"/>
  <c r="G4998" i="1" s="1"/>
  <c r="A4999" i="1"/>
  <c r="B4999" i="1" s="1"/>
  <c r="C4999" i="1"/>
  <c r="D4999" i="1"/>
  <c r="E4999" i="1"/>
  <c r="F4999" i="1"/>
  <c r="G4999" i="1" s="1"/>
  <c r="A5000" i="1"/>
  <c r="B5000" i="1" s="1"/>
  <c r="C5000" i="1"/>
  <c r="D5000" i="1"/>
  <c r="E5000" i="1"/>
  <c r="F5000" i="1"/>
  <c r="G5000" i="1"/>
  <c r="A5001" i="1"/>
  <c r="B5001" i="1" s="1"/>
  <c r="C5001" i="1"/>
  <c r="D5001" i="1"/>
  <c r="E5001" i="1"/>
  <c r="F5001" i="1"/>
  <c r="G5001" i="1" s="1"/>
  <c r="A5002" i="1"/>
  <c r="B5002" i="1" s="1"/>
  <c r="C5002" i="1"/>
  <c r="D5002" i="1"/>
  <c r="E5002" i="1"/>
  <c r="F5002" i="1"/>
  <c r="G5002" i="1" s="1"/>
  <c r="A5003" i="1"/>
  <c r="B5003" i="1" s="1"/>
  <c r="C5003" i="1"/>
  <c r="D5003" i="1"/>
  <c r="E5003" i="1"/>
  <c r="F5003" i="1"/>
  <c r="G5003" i="1" s="1"/>
  <c r="A5004" i="1"/>
  <c r="B5004" i="1" s="1"/>
  <c r="C5004" i="1"/>
  <c r="D5004" i="1"/>
  <c r="E5004" i="1"/>
  <c r="F5004" i="1"/>
  <c r="G5004" i="1" s="1"/>
  <c r="A5005" i="1"/>
  <c r="B5005" i="1" s="1"/>
  <c r="C5005" i="1"/>
  <c r="D5005" i="1"/>
  <c r="E5005" i="1"/>
  <c r="F5005" i="1"/>
  <c r="G5005" i="1" s="1"/>
  <c r="A5006" i="1"/>
  <c r="B5006" i="1" s="1"/>
  <c r="C5006" i="1"/>
  <c r="D5006" i="1"/>
  <c r="E5006" i="1"/>
  <c r="F5006" i="1"/>
  <c r="G5006" i="1" s="1"/>
  <c r="A5007" i="1"/>
  <c r="B5007" i="1" s="1"/>
  <c r="C5007" i="1"/>
  <c r="D5007" i="1"/>
  <c r="E5007" i="1"/>
  <c r="F5007" i="1"/>
  <c r="G5007" i="1" s="1"/>
  <c r="A5008" i="1"/>
  <c r="B5008" i="1" s="1"/>
  <c r="C5008" i="1"/>
  <c r="D5008" i="1"/>
  <c r="E5008" i="1"/>
  <c r="F5008" i="1"/>
  <c r="G5008" i="1" s="1"/>
  <c r="A5009" i="1"/>
  <c r="B5009" i="1" s="1"/>
  <c r="C5009" i="1"/>
  <c r="D5009" i="1"/>
  <c r="E5009" i="1"/>
  <c r="F5009" i="1"/>
  <c r="G5009" i="1" s="1"/>
  <c r="A5010" i="1"/>
  <c r="B5010" i="1" s="1"/>
  <c r="C5010" i="1"/>
  <c r="D5010" i="1"/>
  <c r="E5010" i="1"/>
  <c r="F5010" i="1"/>
  <c r="G5010" i="1" s="1"/>
  <c r="A5011" i="1"/>
  <c r="B5011" i="1" s="1"/>
  <c r="C5011" i="1"/>
  <c r="D5011" i="1"/>
  <c r="E5011" i="1"/>
  <c r="F5011" i="1"/>
  <c r="G5011" i="1" s="1"/>
  <c r="A5012" i="1"/>
  <c r="B5012" i="1" s="1"/>
  <c r="C5012" i="1"/>
  <c r="D5012" i="1"/>
  <c r="E5012" i="1"/>
  <c r="F5012" i="1"/>
  <c r="G5012" i="1" s="1"/>
  <c r="A5013" i="1"/>
  <c r="B5013" i="1" s="1"/>
  <c r="C5013" i="1"/>
  <c r="D5013" i="1"/>
  <c r="E5013" i="1"/>
  <c r="F5013" i="1"/>
  <c r="G5013" i="1" s="1"/>
  <c r="A5014" i="1"/>
  <c r="B5014" i="1" s="1"/>
  <c r="C5014" i="1"/>
  <c r="D5014" i="1"/>
  <c r="E5014" i="1"/>
  <c r="F5014" i="1"/>
  <c r="G5014" i="1" s="1"/>
  <c r="A5015" i="1"/>
  <c r="B5015" i="1" s="1"/>
  <c r="C5015" i="1"/>
  <c r="D5015" i="1"/>
  <c r="E5015" i="1"/>
  <c r="F5015" i="1"/>
  <c r="G5015" i="1" s="1"/>
  <c r="A5016" i="1"/>
  <c r="B5016" i="1" s="1"/>
  <c r="C5016" i="1"/>
  <c r="D5016" i="1"/>
  <c r="E5016" i="1"/>
  <c r="F5016" i="1"/>
  <c r="G5016" i="1" s="1"/>
  <c r="A5017" i="1"/>
  <c r="B5017" i="1" s="1"/>
  <c r="C5017" i="1"/>
  <c r="D5017" i="1"/>
  <c r="E5017" i="1"/>
  <c r="F5017" i="1"/>
  <c r="G5017" i="1" s="1"/>
  <c r="A5018" i="1"/>
  <c r="B5018" i="1" s="1"/>
  <c r="C5018" i="1"/>
  <c r="D5018" i="1"/>
  <c r="E5018" i="1"/>
  <c r="F5018" i="1"/>
  <c r="G5018" i="1" s="1"/>
  <c r="A5019" i="1"/>
  <c r="B5019" i="1" s="1"/>
  <c r="C5019" i="1"/>
  <c r="D5019" i="1"/>
  <c r="E5019" i="1"/>
  <c r="F5019" i="1"/>
  <c r="G5019" i="1" s="1"/>
  <c r="A5020" i="1"/>
  <c r="B5020" i="1" s="1"/>
  <c r="C5020" i="1"/>
  <c r="D5020" i="1"/>
  <c r="E5020" i="1"/>
  <c r="F5020" i="1"/>
  <c r="G5020" i="1" s="1"/>
  <c r="A5021" i="1"/>
  <c r="B5021" i="1" s="1"/>
  <c r="C5021" i="1"/>
  <c r="D5021" i="1"/>
  <c r="E5021" i="1"/>
  <c r="F5021" i="1"/>
  <c r="G5021" i="1" s="1"/>
  <c r="A5022" i="1"/>
  <c r="B5022" i="1" s="1"/>
  <c r="C5022" i="1"/>
  <c r="D5022" i="1"/>
  <c r="E5022" i="1"/>
  <c r="F5022" i="1"/>
  <c r="G5022" i="1" s="1"/>
  <c r="A5023" i="1"/>
  <c r="B5023" i="1" s="1"/>
  <c r="C5023" i="1"/>
  <c r="D5023" i="1"/>
  <c r="E5023" i="1"/>
  <c r="F5023" i="1"/>
  <c r="G5023" i="1" s="1"/>
  <c r="A5024" i="1"/>
  <c r="B5024" i="1" s="1"/>
  <c r="C5024" i="1"/>
  <c r="D5024" i="1"/>
  <c r="E5024" i="1"/>
  <c r="F5024" i="1"/>
  <c r="G5024" i="1" s="1"/>
  <c r="A5025" i="1"/>
  <c r="B5025" i="1" s="1"/>
  <c r="C5025" i="1"/>
  <c r="D5025" i="1"/>
  <c r="E5025" i="1"/>
  <c r="F5025" i="1"/>
  <c r="G5025" i="1" s="1"/>
  <c r="A5026" i="1"/>
  <c r="B5026" i="1" s="1"/>
  <c r="C5026" i="1"/>
  <c r="D5026" i="1"/>
  <c r="E5026" i="1"/>
  <c r="F5026" i="1"/>
  <c r="G5026" i="1" s="1"/>
  <c r="A5027" i="1"/>
  <c r="B5027" i="1" s="1"/>
  <c r="C5027" i="1"/>
  <c r="D5027" i="1"/>
  <c r="E5027" i="1"/>
  <c r="F5027" i="1"/>
  <c r="G5027" i="1" s="1"/>
  <c r="A5028" i="1"/>
  <c r="B5028" i="1" s="1"/>
  <c r="C5028" i="1"/>
  <c r="D5028" i="1"/>
  <c r="E5028" i="1"/>
  <c r="F5028" i="1"/>
  <c r="G5028" i="1" s="1"/>
  <c r="A5029" i="1"/>
  <c r="B5029" i="1"/>
  <c r="C5029" i="1"/>
  <c r="D5029" i="1"/>
  <c r="E5029" i="1"/>
  <c r="F5029" i="1"/>
  <c r="G5029" i="1" s="1"/>
  <c r="A5030" i="1"/>
  <c r="B5030" i="1" s="1"/>
  <c r="C5030" i="1"/>
  <c r="D5030" i="1"/>
  <c r="E5030" i="1"/>
  <c r="F5030" i="1"/>
  <c r="G5030" i="1" s="1"/>
  <c r="A5031" i="1"/>
  <c r="B5031" i="1"/>
  <c r="C5031" i="1"/>
  <c r="D5031" i="1"/>
  <c r="E5031" i="1"/>
  <c r="F5031" i="1"/>
  <c r="G5031" i="1" s="1"/>
  <c r="A5032" i="1"/>
  <c r="B5032" i="1" s="1"/>
  <c r="C5032" i="1"/>
  <c r="D5032" i="1"/>
  <c r="E5032" i="1"/>
  <c r="F5032" i="1"/>
  <c r="G5032" i="1" s="1"/>
  <c r="A5033" i="1"/>
  <c r="B5033" i="1" s="1"/>
  <c r="C5033" i="1"/>
  <c r="D5033" i="1"/>
  <c r="E5033" i="1"/>
  <c r="F5033" i="1"/>
  <c r="G5033" i="1"/>
  <c r="A5034" i="1"/>
  <c r="B5034" i="1" s="1"/>
  <c r="C5034" i="1"/>
  <c r="D5034" i="1"/>
  <c r="E5034" i="1"/>
  <c r="F5034" i="1"/>
  <c r="G5034" i="1" s="1"/>
  <c r="A5035" i="1"/>
  <c r="B5035" i="1" s="1"/>
  <c r="C5035" i="1"/>
  <c r="D5035" i="1"/>
  <c r="E5035" i="1"/>
  <c r="F5035" i="1"/>
  <c r="G5035" i="1" s="1"/>
  <c r="A5036" i="1"/>
  <c r="B5036" i="1" s="1"/>
  <c r="C5036" i="1"/>
  <c r="D5036" i="1"/>
  <c r="E5036" i="1"/>
  <c r="F5036" i="1"/>
  <c r="G5036" i="1" s="1"/>
  <c r="A5037" i="1"/>
  <c r="B5037" i="1" s="1"/>
  <c r="C5037" i="1"/>
  <c r="D5037" i="1"/>
  <c r="E5037" i="1"/>
  <c r="F5037" i="1"/>
  <c r="G5037" i="1" s="1"/>
  <c r="A5038" i="1"/>
  <c r="B5038" i="1" s="1"/>
  <c r="C5038" i="1"/>
  <c r="D5038" i="1"/>
  <c r="E5038" i="1"/>
  <c r="F5038" i="1"/>
  <c r="G5038" i="1" s="1"/>
  <c r="A5039" i="1"/>
  <c r="B5039" i="1" s="1"/>
  <c r="C5039" i="1"/>
  <c r="D5039" i="1"/>
  <c r="E5039" i="1"/>
  <c r="F5039" i="1"/>
  <c r="G5039" i="1" s="1"/>
  <c r="A5040" i="1"/>
  <c r="B5040" i="1" s="1"/>
  <c r="C5040" i="1"/>
  <c r="D5040" i="1"/>
  <c r="E5040" i="1"/>
  <c r="F5040" i="1"/>
  <c r="G5040" i="1" s="1"/>
  <c r="A5041" i="1"/>
  <c r="B5041" i="1" s="1"/>
  <c r="C5041" i="1"/>
  <c r="D5041" i="1"/>
  <c r="E5041" i="1"/>
  <c r="F5041" i="1"/>
  <c r="G5041" i="1" s="1"/>
  <c r="A5042" i="1"/>
  <c r="B5042" i="1" s="1"/>
  <c r="C5042" i="1"/>
  <c r="D5042" i="1"/>
  <c r="E5042" i="1"/>
  <c r="F5042" i="1"/>
  <c r="G5042" i="1" s="1"/>
  <c r="A5043" i="1"/>
  <c r="B5043" i="1" s="1"/>
  <c r="C5043" i="1"/>
  <c r="D5043" i="1"/>
  <c r="E5043" i="1"/>
  <c r="F5043" i="1"/>
  <c r="G5043" i="1" s="1"/>
  <c r="A5044" i="1"/>
  <c r="B5044" i="1" s="1"/>
  <c r="C5044" i="1"/>
  <c r="D5044" i="1"/>
  <c r="E5044" i="1"/>
  <c r="F5044" i="1"/>
  <c r="G5044" i="1"/>
  <c r="A5045" i="1"/>
  <c r="B5045" i="1" s="1"/>
  <c r="C5045" i="1"/>
  <c r="D5045" i="1"/>
  <c r="E5045" i="1"/>
  <c r="F5045" i="1"/>
  <c r="G5045" i="1" s="1"/>
  <c r="A5046" i="1"/>
  <c r="B5046" i="1" s="1"/>
  <c r="C5046" i="1"/>
  <c r="D5046" i="1"/>
  <c r="E5046" i="1"/>
  <c r="F5046" i="1"/>
  <c r="G5046" i="1" s="1"/>
  <c r="A5047" i="1"/>
  <c r="B5047" i="1" s="1"/>
  <c r="C5047" i="1"/>
  <c r="D5047" i="1"/>
  <c r="E5047" i="1"/>
  <c r="F5047" i="1"/>
  <c r="G5047" i="1" s="1"/>
  <c r="A5048" i="1"/>
  <c r="B5048" i="1" s="1"/>
  <c r="C5048" i="1"/>
  <c r="D5048" i="1"/>
  <c r="E5048" i="1"/>
  <c r="F5048" i="1"/>
  <c r="G5048" i="1" s="1"/>
  <c r="A5049" i="1"/>
  <c r="B5049" i="1" s="1"/>
  <c r="C5049" i="1"/>
  <c r="D5049" i="1"/>
  <c r="E5049" i="1"/>
  <c r="F5049" i="1"/>
  <c r="G5049" i="1" s="1"/>
  <c r="A5050" i="1"/>
  <c r="B5050" i="1" s="1"/>
  <c r="C5050" i="1"/>
  <c r="D5050" i="1"/>
  <c r="E5050" i="1"/>
  <c r="F5050" i="1"/>
  <c r="G5050" i="1" s="1"/>
  <c r="A5051" i="1"/>
  <c r="B5051" i="1" s="1"/>
  <c r="C5051" i="1"/>
  <c r="D5051" i="1"/>
  <c r="E5051" i="1"/>
  <c r="F5051" i="1"/>
  <c r="G5051" i="1" s="1"/>
  <c r="A5052" i="1"/>
  <c r="B5052" i="1" s="1"/>
  <c r="C5052" i="1"/>
  <c r="D5052" i="1"/>
  <c r="E5052" i="1"/>
  <c r="F5052" i="1"/>
  <c r="G5052" i="1"/>
  <c r="A5053" i="1"/>
  <c r="B5053" i="1" s="1"/>
  <c r="C5053" i="1"/>
  <c r="D5053" i="1"/>
  <c r="E5053" i="1"/>
  <c r="F5053" i="1"/>
  <c r="G5053" i="1" s="1"/>
  <c r="A5054" i="1"/>
  <c r="B5054" i="1" s="1"/>
  <c r="C5054" i="1"/>
  <c r="D5054" i="1"/>
  <c r="E5054" i="1"/>
  <c r="F5054" i="1"/>
  <c r="G5054" i="1" s="1"/>
  <c r="A5055" i="1"/>
  <c r="B5055" i="1" s="1"/>
  <c r="C5055" i="1"/>
  <c r="D5055" i="1"/>
  <c r="E5055" i="1"/>
  <c r="F5055" i="1"/>
  <c r="G5055" i="1" s="1"/>
  <c r="A5056" i="1"/>
  <c r="B5056" i="1" s="1"/>
  <c r="C5056" i="1"/>
  <c r="D5056" i="1"/>
  <c r="E5056" i="1"/>
  <c r="F5056" i="1"/>
  <c r="G5056" i="1" s="1"/>
  <c r="A5057" i="1"/>
  <c r="B5057" i="1" s="1"/>
  <c r="C5057" i="1"/>
  <c r="D5057" i="1"/>
  <c r="E5057" i="1"/>
  <c r="F5057" i="1"/>
  <c r="G5057" i="1" s="1"/>
  <c r="A5058" i="1"/>
  <c r="B5058" i="1" s="1"/>
  <c r="C5058" i="1"/>
  <c r="D5058" i="1"/>
  <c r="E5058" i="1"/>
  <c r="F5058" i="1"/>
  <c r="G5058" i="1" s="1"/>
  <c r="A5059" i="1"/>
  <c r="B5059" i="1" s="1"/>
  <c r="C5059" i="1"/>
  <c r="D5059" i="1"/>
  <c r="E5059" i="1"/>
  <c r="F5059" i="1"/>
  <c r="G5059" i="1" s="1"/>
  <c r="A5060" i="1"/>
  <c r="B5060" i="1" s="1"/>
  <c r="C5060" i="1"/>
  <c r="D5060" i="1"/>
  <c r="E5060" i="1"/>
  <c r="F5060" i="1"/>
  <c r="G5060" i="1" s="1"/>
  <c r="A5061" i="1"/>
  <c r="B5061" i="1" s="1"/>
  <c r="C5061" i="1"/>
  <c r="D5061" i="1"/>
  <c r="E5061" i="1"/>
  <c r="F5061" i="1"/>
  <c r="G5061" i="1" s="1"/>
  <c r="A5062" i="1"/>
  <c r="B5062" i="1" s="1"/>
  <c r="C5062" i="1"/>
  <c r="D5062" i="1"/>
  <c r="E5062" i="1"/>
  <c r="F5062" i="1"/>
  <c r="G5062" i="1"/>
  <c r="A5063" i="1"/>
  <c r="B5063" i="1" s="1"/>
  <c r="C5063" i="1"/>
  <c r="D5063" i="1"/>
  <c r="E5063" i="1"/>
  <c r="F5063" i="1"/>
  <c r="G5063" i="1" s="1"/>
  <c r="A5064" i="1"/>
  <c r="B5064" i="1" s="1"/>
  <c r="C5064" i="1"/>
  <c r="D5064" i="1"/>
  <c r="E5064" i="1"/>
  <c r="F5064" i="1"/>
  <c r="G5064" i="1" s="1"/>
  <c r="A5065" i="1"/>
  <c r="B5065" i="1"/>
  <c r="C5065" i="1"/>
  <c r="D5065" i="1"/>
  <c r="E5065" i="1"/>
  <c r="F5065" i="1"/>
  <c r="G5065" i="1" s="1"/>
  <c r="A5066" i="1"/>
  <c r="B5066" i="1" s="1"/>
  <c r="C5066" i="1"/>
  <c r="D5066" i="1"/>
  <c r="E5066" i="1"/>
  <c r="F5066" i="1"/>
  <c r="G5066" i="1" s="1"/>
  <c r="A5067" i="1"/>
  <c r="B5067" i="1"/>
  <c r="C5067" i="1"/>
  <c r="D5067" i="1"/>
  <c r="E5067" i="1"/>
  <c r="F5067" i="1"/>
  <c r="G5067" i="1" s="1"/>
  <c r="A5068" i="1"/>
  <c r="B5068" i="1"/>
  <c r="C5068" i="1"/>
  <c r="D5068" i="1"/>
  <c r="E5068" i="1"/>
  <c r="F5068" i="1"/>
  <c r="G5068" i="1" s="1"/>
  <c r="A5069" i="1"/>
  <c r="B5069" i="1" s="1"/>
  <c r="C5069" i="1"/>
  <c r="D5069" i="1"/>
  <c r="E5069" i="1"/>
  <c r="F5069" i="1"/>
  <c r="G5069" i="1" s="1"/>
  <c r="A5070" i="1"/>
  <c r="B5070" i="1" s="1"/>
  <c r="C5070" i="1"/>
  <c r="D5070" i="1"/>
  <c r="E5070" i="1"/>
  <c r="F5070" i="1"/>
  <c r="G5070" i="1" s="1"/>
  <c r="A5071" i="1"/>
  <c r="B5071" i="1"/>
  <c r="C5071" i="1"/>
  <c r="D5071" i="1"/>
  <c r="E5071" i="1"/>
  <c r="F5071" i="1"/>
  <c r="G5071" i="1" s="1"/>
  <c r="A5072" i="1"/>
  <c r="B5072" i="1" s="1"/>
  <c r="C5072" i="1"/>
  <c r="D5072" i="1"/>
  <c r="E5072" i="1"/>
  <c r="F5072" i="1"/>
  <c r="G5072" i="1" s="1"/>
  <c r="A5073" i="1"/>
  <c r="B5073" i="1"/>
  <c r="C5073" i="1"/>
  <c r="D5073" i="1"/>
  <c r="E5073" i="1"/>
  <c r="F5073" i="1"/>
  <c r="G5073" i="1" s="1"/>
  <c r="A5074" i="1"/>
  <c r="B5074" i="1" s="1"/>
  <c r="C5074" i="1"/>
  <c r="D5074" i="1"/>
  <c r="E5074" i="1"/>
  <c r="F5074" i="1"/>
  <c r="G5074" i="1" s="1"/>
  <c r="A5075" i="1"/>
  <c r="B5075" i="1"/>
  <c r="C5075" i="1"/>
  <c r="D5075" i="1"/>
  <c r="E5075" i="1"/>
  <c r="F5075" i="1"/>
  <c r="G5075" i="1" s="1"/>
  <c r="A5076" i="1"/>
  <c r="B5076" i="1" s="1"/>
  <c r="C5076" i="1"/>
  <c r="D5076" i="1"/>
  <c r="E5076" i="1"/>
  <c r="F5076" i="1"/>
  <c r="G5076" i="1" s="1"/>
  <c r="A5077" i="1"/>
  <c r="B5077" i="1" s="1"/>
  <c r="C5077" i="1"/>
  <c r="D5077" i="1"/>
  <c r="E5077" i="1"/>
  <c r="F5077" i="1"/>
  <c r="G5077" i="1" s="1"/>
  <c r="A5078" i="1"/>
  <c r="B5078" i="1" s="1"/>
  <c r="C5078" i="1"/>
  <c r="D5078" i="1"/>
  <c r="E5078" i="1"/>
  <c r="F5078" i="1"/>
  <c r="G5078" i="1" s="1"/>
  <c r="A5079" i="1"/>
  <c r="B5079" i="1"/>
  <c r="C5079" i="1"/>
  <c r="D5079" i="1"/>
  <c r="E5079" i="1"/>
  <c r="F5079" i="1"/>
  <c r="G5079" i="1" s="1"/>
  <c r="A5080" i="1"/>
  <c r="B5080" i="1" s="1"/>
  <c r="C5080" i="1"/>
  <c r="D5080" i="1"/>
  <c r="E5080" i="1"/>
  <c r="F5080" i="1"/>
  <c r="G5080" i="1" s="1"/>
  <c r="A5081" i="1"/>
  <c r="B5081" i="1"/>
  <c r="C5081" i="1"/>
  <c r="D5081" i="1"/>
  <c r="E5081" i="1"/>
  <c r="F5081" i="1"/>
  <c r="G5081" i="1" s="1"/>
  <c r="A5082" i="1"/>
  <c r="B5082" i="1" s="1"/>
  <c r="C5082" i="1"/>
  <c r="D5082" i="1"/>
  <c r="E5082" i="1"/>
  <c r="F5082" i="1"/>
  <c r="G5082" i="1" s="1"/>
  <c r="A5083" i="1"/>
  <c r="B5083" i="1" s="1"/>
  <c r="C5083" i="1"/>
  <c r="D5083" i="1"/>
  <c r="E5083" i="1"/>
  <c r="F5083" i="1"/>
  <c r="G5083" i="1" s="1"/>
  <c r="A5084" i="1"/>
  <c r="B5084" i="1" s="1"/>
  <c r="C5084" i="1"/>
  <c r="D5084" i="1"/>
  <c r="E5084" i="1"/>
  <c r="F5084" i="1"/>
  <c r="G5084" i="1" s="1"/>
  <c r="A5085" i="1"/>
  <c r="B5085" i="1"/>
  <c r="C5085" i="1"/>
  <c r="D5085" i="1"/>
  <c r="E5085" i="1"/>
  <c r="F5085" i="1"/>
  <c r="G5085" i="1" s="1"/>
  <c r="A5086" i="1"/>
  <c r="B5086" i="1" s="1"/>
  <c r="C5086" i="1"/>
  <c r="D5086" i="1"/>
  <c r="E5086" i="1"/>
  <c r="F5086" i="1"/>
  <c r="G5086" i="1" s="1"/>
  <c r="A5087" i="1"/>
  <c r="B5087" i="1" s="1"/>
  <c r="C5087" i="1"/>
  <c r="D5087" i="1"/>
  <c r="E5087" i="1"/>
  <c r="F5087" i="1"/>
  <c r="G5087" i="1" s="1"/>
  <c r="A5088" i="1"/>
  <c r="B5088" i="1" s="1"/>
  <c r="C5088" i="1"/>
  <c r="D5088" i="1"/>
  <c r="E5088" i="1"/>
  <c r="F5088" i="1"/>
  <c r="G5088" i="1" s="1"/>
  <c r="A5089" i="1"/>
  <c r="B5089" i="1"/>
  <c r="C5089" i="1"/>
  <c r="D5089" i="1"/>
  <c r="E5089" i="1"/>
  <c r="F5089" i="1"/>
  <c r="G5089" i="1" s="1"/>
  <c r="A5090" i="1"/>
  <c r="B5090" i="1" s="1"/>
  <c r="C5090" i="1"/>
  <c r="D5090" i="1"/>
  <c r="E5090" i="1"/>
  <c r="F5090" i="1"/>
  <c r="G5090" i="1" s="1"/>
  <c r="A5091" i="1"/>
  <c r="B5091" i="1"/>
  <c r="C5091" i="1"/>
  <c r="D5091" i="1"/>
  <c r="E5091" i="1"/>
  <c r="F5091" i="1"/>
  <c r="G5091" i="1" s="1"/>
  <c r="A5092" i="1"/>
  <c r="B5092" i="1" s="1"/>
  <c r="C5092" i="1"/>
  <c r="D5092" i="1"/>
  <c r="E5092" i="1"/>
  <c r="F5092" i="1"/>
  <c r="G5092" i="1"/>
  <c r="A5093" i="1"/>
  <c r="B5093" i="1"/>
  <c r="C5093" i="1"/>
  <c r="D5093" i="1"/>
  <c r="E5093" i="1"/>
  <c r="F5093" i="1"/>
  <c r="G5093" i="1" s="1"/>
  <c r="A5094" i="1"/>
  <c r="B5094" i="1" s="1"/>
  <c r="C5094" i="1"/>
  <c r="D5094" i="1"/>
  <c r="E5094" i="1"/>
  <c r="F5094" i="1"/>
  <c r="G5094" i="1" s="1"/>
  <c r="A5095" i="1"/>
  <c r="B5095" i="1"/>
  <c r="C5095" i="1"/>
  <c r="D5095" i="1"/>
  <c r="E5095" i="1"/>
  <c r="F5095" i="1"/>
  <c r="G5095" i="1" s="1"/>
  <c r="A5096" i="1"/>
  <c r="B5096" i="1" s="1"/>
  <c r="C5096" i="1"/>
  <c r="D5096" i="1"/>
  <c r="E5096" i="1"/>
  <c r="F5096" i="1"/>
  <c r="G5096" i="1" s="1"/>
  <c r="A5097" i="1"/>
  <c r="B5097" i="1"/>
  <c r="C5097" i="1"/>
  <c r="D5097" i="1"/>
  <c r="E5097" i="1"/>
  <c r="F5097" i="1"/>
  <c r="G5097" i="1" s="1"/>
  <c r="A5098" i="1"/>
  <c r="B5098" i="1" s="1"/>
  <c r="C5098" i="1"/>
  <c r="D5098" i="1"/>
  <c r="E5098" i="1"/>
  <c r="F5098" i="1"/>
  <c r="G5098" i="1" s="1"/>
  <c r="A5099" i="1"/>
  <c r="B5099" i="1"/>
  <c r="C5099" i="1"/>
  <c r="D5099" i="1"/>
  <c r="E5099" i="1"/>
  <c r="F5099" i="1"/>
  <c r="G5099" i="1" s="1"/>
  <c r="A5100" i="1"/>
  <c r="B5100" i="1" s="1"/>
  <c r="C5100" i="1"/>
  <c r="D5100" i="1"/>
  <c r="E5100" i="1"/>
  <c r="F5100" i="1"/>
  <c r="G5100" i="1" s="1"/>
  <c r="A5101" i="1"/>
  <c r="B5101" i="1"/>
  <c r="C5101" i="1"/>
  <c r="D5101" i="1"/>
  <c r="E5101" i="1"/>
  <c r="F5101" i="1"/>
  <c r="G5101" i="1" s="1"/>
  <c r="A5102" i="1"/>
  <c r="B5102" i="1" s="1"/>
  <c r="C5102" i="1"/>
  <c r="D5102" i="1"/>
  <c r="E5102" i="1"/>
  <c r="F5102" i="1"/>
  <c r="G5102" i="1" s="1"/>
  <c r="A5103" i="1"/>
  <c r="B5103" i="1" s="1"/>
  <c r="C5103" i="1"/>
  <c r="D5103" i="1"/>
  <c r="E5103" i="1"/>
  <c r="F5103" i="1"/>
  <c r="G5103" i="1" s="1"/>
  <c r="A5104" i="1"/>
  <c r="B5104" i="1" s="1"/>
  <c r="C5104" i="1"/>
  <c r="D5104" i="1"/>
  <c r="E5104" i="1"/>
  <c r="F5104" i="1"/>
  <c r="G5104" i="1" s="1"/>
  <c r="A5105" i="1"/>
  <c r="B5105" i="1" s="1"/>
  <c r="C5105" i="1"/>
  <c r="D5105" i="1"/>
  <c r="E5105" i="1"/>
  <c r="F5105" i="1"/>
  <c r="G5105" i="1" s="1"/>
  <c r="A5106" i="1"/>
  <c r="B5106" i="1" s="1"/>
  <c r="C5106" i="1"/>
  <c r="D5106" i="1"/>
  <c r="E5106" i="1"/>
  <c r="F5106" i="1"/>
  <c r="G5106" i="1" s="1"/>
  <c r="A5107" i="1"/>
  <c r="B5107" i="1" s="1"/>
  <c r="C5107" i="1"/>
  <c r="D5107" i="1"/>
  <c r="E5107" i="1"/>
  <c r="F5107" i="1"/>
  <c r="G5107" i="1" s="1"/>
  <c r="A5108" i="1"/>
  <c r="B5108" i="1" s="1"/>
  <c r="C5108" i="1"/>
  <c r="D5108" i="1"/>
  <c r="E5108" i="1"/>
  <c r="F5108" i="1"/>
  <c r="G5108" i="1" s="1"/>
  <c r="A5109" i="1"/>
  <c r="B5109" i="1" s="1"/>
  <c r="C5109" i="1"/>
  <c r="D5109" i="1"/>
  <c r="E5109" i="1"/>
  <c r="F5109" i="1"/>
  <c r="G5109" i="1" s="1"/>
  <c r="A5110" i="1"/>
  <c r="B5110" i="1" s="1"/>
  <c r="C5110" i="1"/>
  <c r="D5110" i="1"/>
  <c r="E5110" i="1"/>
  <c r="F5110" i="1"/>
  <c r="G5110" i="1" s="1"/>
  <c r="A5111" i="1"/>
  <c r="B5111" i="1" s="1"/>
  <c r="C5111" i="1"/>
  <c r="D5111" i="1"/>
  <c r="E5111" i="1"/>
  <c r="F5111" i="1"/>
  <c r="G5111" i="1" s="1"/>
  <c r="A5112" i="1"/>
  <c r="B5112" i="1" s="1"/>
  <c r="C5112" i="1"/>
  <c r="D5112" i="1"/>
  <c r="E5112" i="1"/>
  <c r="F5112" i="1"/>
  <c r="G5112" i="1" s="1"/>
  <c r="A5113" i="1"/>
  <c r="B5113" i="1"/>
  <c r="C5113" i="1"/>
  <c r="D5113" i="1"/>
  <c r="E5113" i="1"/>
  <c r="F5113" i="1"/>
  <c r="G5113" i="1" s="1"/>
  <c r="A5114" i="1"/>
  <c r="B5114" i="1" s="1"/>
  <c r="C5114" i="1"/>
  <c r="D5114" i="1"/>
  <c r="E5114" i="1"/>
  <c r="F5114" i="1"/>
  <c r="G5114" i="1" s="1"/>
  <c r="A5115" i="1"/>
  <c r="B5115" i="1"/>
  <c r="C5115" i="1"/>
  <c r="D5115" i="1"/>
  <c r="E5115" i="1"/>
  <c r="F5115" i="1"/>
  <c r="G5115" i="1" s="1"/>
  <c r="A5116" i="1"/>
  <c r="B5116" i="1" s="1"/>
  <c r="C5116" i="1"/>
  <c r="D5116" i="1"/>
  <c r="E5116" i="1"/>
  <c r="F5116" i="1"/>
  <c r="G5116" i="1" s="1"/>
  <c r="A5117" i="1"/>
  <c r="B5117" i="1" s="1"/>
  <c r="C5117" i="1"/>
  <c r="D5117" i="1"/>
  <c r="E5117" i="1"/>
  <c r="F5117" i="1"/>
  <c r="G5117" i="1" s="1"/>
  <c r="A5118" i="1"/>
  <c r="B5118" i="1" s="1"/>
  <c r="C5118" i="1"/>
  <c r="D5118" i="1"/>
  <c r="E5118" i="1"/>
  <c r="F5118" i="1"/>
  <c r="G5118" i="1" s="1"/>
  <c r="A5119" i="1"/>
  <c r="B5119" i="1"/>
  <c r="C5119" i="1"/>
  <c r="D5119" i="1"/>
  <c r="E5119" i="1"/>
  <c r="F5119" i="1"/>
  <c r="G5119" i="1" s="1"/>
  <c r="A5120" i="1"/>
  <c r="B5120" i="1" s="1"/>
  <c r="C5120" i="1"/>
  <c r="D5120" i="1"/>
  <c r="E5120" i="1"/>
  <c r="F5120" i="1"/>
  <c r="G5120" i="1"/>
  <c r="A5121" i="1"/>
  <c r="B5121" i="1"/>
  <c r="C5121" i="1"/>
  <c r="D5121" i="1"/>
  <c r="E5121" i="1"/>
  <c r="F5121" i="1"/>
  <c r="G5121" i="1" s="1"/>
  <c r="A5122" i="1"/>
  <c r="B5122" i="1" s="1"/>
  <c r="C5122" i="1"/>
  <c r="D5122" i="1"/>
  <c r="E5122" i="1"/>
  <c r="F5122" i="1"/>
  <c r="G5122" i="1"/>
  <c r="A5123" i="1"/>
  <c r="B5123" i="1"/>
  <c r="C5123" i="1"/>
  <c r="D5123" i="1"/>
  <c r="E5123" i="1"/>
  <c r="F5123" i="1"/>
  <c r="G5123" i="1" s="1"/>
  <c r="A5124" i="1"/>
  <c r="B5124" i="1" s="1"/>
  <c r="C5124" i="1"/>
  <c r="D5124" i="1"/>
  <c r="E5124" i="1"/>
  <c r="F5124" i="1"/>
  <c r="G5124" i="1"/>
  <c r="A5125" i="1"/>
  <c r="B5125" i="1"/>
  <c r="C5125" i="1"/>
  <c r="D5125" i="1"/>
  <c r="E5125" i="1"/>
  <c r="F5125" i="1"/>
  <c r="G5125" i="1" s="1"/>
  <c r="A5126" i="1"/>
  <c r="B5126" i="1" s="1"/>
  <c r="C5126" i="1"/>
  <c r="D5126" i="1"/>
  <c r="E5126" i="1"/>
  <c r="F5126" i="1"/>
  <c r="G5126" i="1"/>
  <c r="A5127" i="1"/>
  <c r="B5127" i="1"/>
  <c r="C5127" i="1"/>
  <c r="D5127" i="1"/>
  <c r="E5127" i="1"/>
  <c r="F5127" i="1"/>
  <c r="G5127" i="1" s="1"/>
  <c r="A5128" i="1"/>
  <c r="B5128" i="1" s="1"/>
  <c r="C5128" i="1"/>
  <c r="D5128" i="1"/>
  <c r="E5128" i="1"/>
  <c r="F5128" i="1"/>
  <c r="G5128" i="1" s="1"/>
  <c r="A5129" i="1"/>
  <c r="B5129" i="1" s="1"/>
  <c r="C5129" i="1"/>
  <c r="D5129" i="1"/>
  <c r="E5129" i="1"/>
  <c r="F5129" i="1"/>
  <c r="G5129" i="1" s="1"/>
  <c r="A5130" i="1"/>
  <c r="B5130" i="1" s="1"/>
  <c r="C5130" i="1"/>
  <c r="D5130" i="1"/>
  <c r="E5130" i="1"/>
  <c r="F5130" i="1"/>
  <c r="G5130" i="1" s="1"/>
  <c r="A5131" i="1"/>
  <c r="B5131" i="1"/>
  <c r="C5131" i="1"/>
  <c r="D5131" i="1"/>
  <c r="E5131" i="1"/>
  <c r="F5131" i="1"/>
  <c r="G5131" i="1" s="1"/>
  <c r="A5132" i="1"/>
  <c r="B5132" i="1" s="1"/>
  <c r="C5132" i="1"/>
  <c r="D5132" i="1"/>
  <c r="E5132" i="1"/>
  <c r="F5132" i="1"/>
  <c r="G5132" i="1" s="1"/>
  <c r="A5133" i="1"/>
  <c r="B5133" i="1"/>
  <c r="C5133" i="1"/>
  <c r="D5133" i="1"/>
  <c r="E5133" i="1"/>
  <c r="F5133" i="1"/>
  <c r="G5133" i="1" s="1"/>
  <c r="A5134" i="1"/>
  <c r="B5134" i="1" s="1"/>
  <c r="C5134" i="1"/>
  <c r="D5134" i="1"/>
  <c r="E5134" i="1"/>
  <c r="F5134" i="1"/>
  <c r="G5134" i="1" s="1"/>
  <c r="A5135" i="1"/>
  <c r="B5135" i="1"/>
  <c r="C5135" i="1"/>
  <c r="D5135" i="1"/>
  <c r="E5135" i="1"/>
  <c r="F5135" i="1"/>
  <c r="G5135" i="1" s="1"/>
  <c r="A5136" i="1"/>
  <c r="B5136" i="1" s="1"/>
  <c r="C5136" i="1"/>
  <c r="D5136" i="1"/>
  <c r="E5136" i="1"/>
  <c r="F5136" i="1"/>
  <c r="G5136" i="1" s="1"/>
  <c r="A5137" i="1"/>
  <c r="B5137" i="1"/>
  <c r="C5137" i="1"/>
  <c r="D5137" i="1"/>
  <c r="E5137" i="1"/>
  <c r="F5137" i="1"/>
  <c r="G5137" i="1" s="1"/>
  <c r="A5138" i="1"/>
  <c r="B5138" i="1" s="1"/>
  <c r="C5138" i="1"/>
  <c r="D5138" i="1"/>
  <c r="E5138" i="1"/>
  <c r="F5138" i="1"/>
  <c r="G5138" i="1" s="1"/>
  <c r="A5139" i="1"/>
  <c r="B5139" i="1"/>
  <c r="C5139" i="1"/>
  <c r="D5139" i="1"/>
  <c r="E5139" i="1"/>
  <c r="F5139" i="1"/>
  <c r="G5139" i="1" s="1"/>
  <c r="A5140" i="1"/>
  <c r="B5140" i="1" s="1"/>
  <c r="C5140" i="1"/>
  <c r="D5140" i="1"/>
  <c r="E5140" i="1"/>
  <c r="F5140" i="1"/>
  <c r="G5140" i="1" s="1"/>
  <c r="A5141" i="1"/>
  <c r="B5141" i="1" s="1"/>
  <c r="C5141" i="1"/>
  <c r="D5141" i="1"/>
  <c r="E5141" i="1"/>
  <c r="F5141" i="1"/>
  <c r="G5141" i="1" s="1"/>
  <c r="A5142" i="1"/>
  <c r="B5142" i="1" s="1"/>
  <c r="C5142" i="1"/>
  <c r="D5142" i="1"/>
  <c r="E5142" i="1"/>
  <c r="F5142" i="1"/>
  <c r="G5142" i="1" s="1"/>
  <c r="A5143" i="1"/>
  <c r="B5143" i="1"/>
  <c r="C5143" i="1"/>
  <c r="D5143" i="1"/>
  <c r="E5143" i="1"/>
  <c r="F5143" i="1"/>
  <c r="G5143" i="1" s="1"/>
  <c r="A5144" i="1"/>
  <c r="B5144" i="1" s="1"/>
  <c r="C5144" i="1"/>
  <c r="D5144" i="1"/>
  <c r="E5144" i="1"/>
  <c r="F5144" i="1"/>
  <c r="G5144" i="1" s="1"/>
  <c r="A5145" i="1"/>
  <c r="B5145" i="1"/>
  <c r="C5145" i="1"/>
  <c r="D5145" i="1"/>
  <c r="E5145" i="1"/>
  <c r="F5145" i="1"/>
  <c r="G5145" i="1" s="1"/>
  <c r="A5146" i="1"/>
  <c r="B5146" i="1" s="1"/>
  <c r="C5146" i="1"/>
  <c r="D5146" i="1"/>
  <c r="E5146" i="1"/>
  <c r="F5146" i="1"/>
  <c r="G5146" i="1" s="1"/>
  <c r="A5147" i="1"/>
  <c r="B5147" i="1"/>
  <c r="C5147" i="1"/>
  <c r="D5147" i="1"/>
  <c r="E5147" i="1"/>
  <c r="F5147" i="1"/>
  <c r="G5147" i="1" s="1"/>
  <c r="A5148" i="1"/>
  <c r="B5148" i="1" s="1"/>
  <c r="C5148" i="1"/>
  <c r="D5148" i="1"/>
  <c r="E5148" i="1"/>
  <c r="F5148" i="1"/>
  <c r="G5148" i="1" s="1"/>
  <c r="A5149" i="1"/>
  <c r="B5149" i="1"/>
  <c r="C5149" i="1"/>
  <c r="D5149" i="1"/>
  <c r="E5149" i="1"/>
  <c r="F5149" i="1"/>
  <c r="G5149" i="1" s="1"/>
  <c r="A5150" i="1"/>
  <c r="B5150" i="1" s="1"/>
  <c r="C5150" i="1"/>
  <c r="D5150" i="1"/>
  <c r="E5150" i="1"/>
  <c r="F5150" i="1"/>
  <c r="G5150" i="1" s="1"/>
  <c r="A5151" i="1"/>
  <c r="B5151" i="1"/>
  <c r="C5151" i="1"/>
  <c r="D5151" i="1"/>
  <c r="E5151" i="1"/>
  <c r="F5151" i="1"/>
  <c r="G5151" i="1" s="1"/>
  <c r="A5152" i="1"/>
  <c r="B5152" i="1" s="1"/>
  <c r="C5152" i="1"/>
  <c r="D5152" i="1"/>
  <c r="E5152" i="1"/>
  <c r="F5152" i="1"/>
  <c r="G5152" i="1" s="1"/>
  <c r="A5153" i="1"/>
  <c r="B5153" i="1"/>
  <c r="C5153" i="1"/>
  <c r="D5153" i="1"/>
  <c r="E5153" i="1"/>
  <c r="F5153" i="1"/>
  <c r="G5153" i="1" s="1"/>
  <c r="A5154" i="1"/>
  <c r="B5154" i="1" s="1"/>
  <c r="C5154" i="1"/>
  <c r="D5154" i="1"/>
  <c r="E5154" i="1"/>
  <c r="F5154" i="1"/>
  <c r="G5154" i="1" s="1"/>
  <c r="A5155" i="1"/>
  <c r="B5155" i="1" s="1"/>
  <c r="C5155" i="1"/>
  <c r="D5155" i="1"/>
  <c r="E5155" i="1"/>
  <c r="F5155" i="1"/>
  <c r="G5155" i="1" s="1"/>
  <c r="A5156" i="1"/>
  <c r="B5156" i="1" s="1"/>
  <c r="C5156" i="1"/>
  <c r="D5156" i="1"/>
  <c r="E5156" i="1"/>
  <c r="F5156" i="1"/>
  <c r="G5156" i="1"/>
  <c r="A5157" i="1"/>
  <c r="B5157" i="1" s="1"/>
  <c r="C5157" i="1"/>
  <c r="D5157" i="1"/>
  <c r="E5157" i="1"/>
  <c r="F5157" i="1"/>
  <c r="G5157" i="1" s="1"/>
  <c r="A5158" i="1"/>
  <c r="B5158" i="1" s="1"/>
  <c r="C5158" i="1"/>
  <c r="D5158" i="1"/>
  <c r="E5158" i="1"/>
  <c r="F5158" i="1"/>
  <c r="G5158" i="1" s="1"/>
  <c r="A5159" i="1"/>
  <c r="B5159" i="1" s="1"/>
  <c r="C5159" i="1"/>
  <c r="D5159" i="1"/>
  <c r="E5159" i="1"/>
  <c r="F5159" i="1"/>
  <c r="G5159" i="1" s="1"/>
  <c r="A5160" i="1"/>
  <c r="B5160" i="1" s="1"/>
  <c r="C5160" i="1"/>
  <c r="D5160" i="1"/>
  <c r="E5160" i="1"/>
  <c r="F5160" i="1"/>
  <c r="G5160" i="1" s="1"/>
  <c r="A5161" i="1"/>
  <c r="B5161" i="1" s="1"/>
  <c r="C5161" i="1"/>
  <c r="D5161" i="1"/>
  <c r="E5161" i="1"/>
  <c r="F5161" i="1"/>
  <c r="G5161" i="1" s="1"/>
  <c r="A5162" i="1"/>
  <c r="B5162" i="1" s="1"/>
  <c r="C5162" i="1"/>
  <c r="D5162" i="1"/>
  <c r="E5162" i="1"/>
  <c r="F5162" i="1"/>
  <c r="G5162" i="1" s="1"/>
  <c r="A5163" i="1"/>
  <c r="B5163" i="1" s="1"/>
  <c r="C5163" i="1"/>
  <c r="D5163" i="1"/>
  <c r="E5163" i="1"/>
  <c r="F5163" i="1"/>
  <c r="G5163" i="1" s="1"/>
  <c r="A5164" i="1"/>
  <c r="B5164" i="1" s="1"/>
  <c r="C5164" i="1"/>
  <c r="D5164" i="1"/>
  <c r="E5164" i="1"/>
  <c r="F5164" i="1"/>
  <c r="G5164" i="1"/>
  <c r="A5165" i="1"/>
  <c r="B5165" i="1"/>
  <c r="C5165" i="1"/>
  <c r="D5165" i="1"/>
  <c r="E5165" i="1"/>
  <c r="F5165" i="1"/>
  <c r="G5165" i="1" s="1"/>
  <c r="A5166" i="1"/>
  <c r="B5166" i="1" s="1"/>
  <c r="C5166" i="1"/>
  <c r="D5166" i="1"/>
  <c r="E5166" i="1"/>
  <c r="F5166" i="1"/>
  <c r="G5166" i="1" s="1"/>
  <c r="A5167" i="1"/>
  <c r="B5167" i="1"/>
  <c r="C5167" i="1"/>
  <c r="D5167" i="1"/>
  <c r="E5167" i="1"/>
  <c r="F5167" i="1"/>
  <c r="G5167" i="1" s="1"/>
  <c r="A5168" i="1"/>
  <c r="B5168" i="1" s="1"/>
  <c r="C5168" i="1"/>
  <c r="D5168" i="1"/>
  <c r="E5168" i="1"/>
  <c r="F5168" i="1"/>
  <c r="G5168" i="1" s="1"/>
  <c r="A5169" i="1"/>
  <c r="B5169" i="1"/>
  <c r="C5169" i="1"/>
  <c r="D5169" i="1"/>
  <c r="E5169" i="1"/>
  <c r="F5169" i="1"/>
  <c r="G5169" i="1" s="1"/>
  <c r="A5170" i="1"/>
  <c r="B5170" i="1" s="1"/>
  <c r="C5170" i="1"/>
  <c r="D5170" i="1"/>
  <c r="E5170" i="1"/>
  <c r="F5170" i="1"/>
  <c r="G5170" i="1" s="1"/>
  <c r="A5171" i="1"/>
  <c r="B5171" i="1"/>
  <c r="C5171" i="1"/>
  <c r="D5171" i="1"/>
  <c r="E5171" i="1"/>
  <c r="F5171" i="1"/>
  <c r="G5171" i="1" s="1"/>
  <c r="A5172" i="1"/>
  <c r="B5172" i="1" s="1"/>
  <c r="C5172" i="1"/>
  <c r="D5172" i="1"/>
  <c r="E5172" i="1"/>
  <c r="F5172" i="1"/>
  <c r="G5172" i="1" s="1"/>
  <c r="A5173" i="1"/>
  <c r="B5173" i="1" s="1"/>
  <c r="C5173" i="1"/>
  <c r="D5173" i="1"/>
  <c r="E5173" i="1"/>
  <c r="F5173" i="1"/>
  <c r="G5173" i="1" s="1"/>
  <c r="A5174" i="1"/>
  <c r="B5174" i="1" s="1"/>
  <c r="C5174" i="1"/>
  <c r="D5174" i="1"/>
  <c r="E5174" i="1"/>
  <c r="F5174" i="1"/>
  <c r="G5174" i="1" s="1"/>
  <c r="A5175" i="1"/>
  <c r="B5175" i="1" s="1"/>
  <c r="C5175" i="1"/>
  <c r="D5175" i="1"/>
  <c r="E5175" i="1"/>
  <c r="F5175" i="1"/>
  <c r="G5175" i="1" s="1"/>
  <c r="A5176" i="1"/>
  <c r="B5176" i="1" s="1"/>
  <c r="C5176" i="1"/>
  <c r="D5176" i="1"/>
  <c r="E5176" i="1"/>
  <c r="F5176" i="1"/>
  <c r="G5176" i="1" s="1"/>
  <c r="A5177" i="1"/>
  <c r="B5177" i="1" s="1"/>
  <c r="C5177" i="1"/>
  <c r="D5177" i="1"/>
  <c r="E5177" i="1"/>
  <c r="F5177" i="1"/>
  <c r="G5177" i="1" s="1"/>
  <c r="A5178" i="1"/>
  <c r="B5178" i="1" s="1"/>
  <c r="C5178" i="1"/>
  <c r="D5178" i="1"/>
  <c r="E5178" i="1"/>
  <c r="F5178" i="1"/>
  <c r="G5178" i="1" s="1"/>
  <c r="A5179" i="1"/>
  <c r="B5179" i="1" s="1"/>
  <c r="C5179" i="1"/>
  <c r="D5179" i="1"/>
  <c r="E5179" i="1"/>
  <c r="F5179" i="1"/>
  <c r="G5179" i="1" s="1"/>
  <c r="A5180" i="1"/>
  <c r="B5180" i="1" s="1"/>
  <c r="C5180" i="1"/>
  <c r="D5180" i="1"/>
  <c r="E5180" i="1"/>
  <c r="F5180" i="1"/>
  <c r="G5180" i="1" s="1"/>
  <c r="A5181" i="1"/>
  <c r="B5181" i="1" s="1"/>
  <c r="C5181" i="1"/>
  <c r="D5181" i="1"/>
  <c r="E5181" i="1"/>
  <c r="F5181" i="1"/>
  <c r="G5181" i="1" s="1"/>
  <c r="A5182" i="1"/>
  <c r="B5182" i="1" s="1"/>
  <c r="C5182" i="1"/>
  <c r="D5182" i="1"/>
  <c r="E5182" i="1"/>
  <c r="F5182" i="1"/>
  <c r="G5182" i="1"/>
  <c r="A5183" i="1"/>
  <c r="B5183" i="1" s="1"/>
  <c r="C5183" i="1"/>
  <c r="D5183" i="1"/>
  <c r="E5183" i="1"/>
  <c r="F5183" i="1"/>
  <c r="G5183" i="1" s="1"/>
  <c r="A5184" i="1"/>
  <c r="B5184" i="1" s="1"/>
  <c r="C5184" i="1"/>
  <c r="D5184" i="1"/>
  <c r="E5184" i="1"/>
  <c r="F5184" i="1"/>
  <c r="G5184" i="1" s="1"/>
  <c r="A5185" i="1"/>
  <c r="B5185" i="1" s="1"/>
  <c r="C5185" i="1"/>
  <c r="D5185" i="1"/>
  <c r="E5185" i="1"/>
  <c r="F5185" i="1"/>
  <c r="G5185" i="1" s="1"/>
  <c r="A5186" i="1"/>
  <c r="B5186" i="1" s="1"/>
  <c r="C5186" i="1"/>
  <c r="D5186" i="1"/>
  <c r="E5186" i="1"/>
  <c r="F5186" i="1"/>
  <c r="G5186" i="1" s="1"/>
  <c r="A5187" i="1"/>
  <c r="B5187" i="1" s="1"/>
  <c r="C5187" i="1"/>
  <c r="D5187" i="1"/>
  <c r="E5187" i="1"/>
  <c r="F5187" i="1"/>
  <c r="G5187" i="1" s="1"/>
  <c r="A5188" i="1"/>
  <c r="B5188" i="1" s="1"/>
  <c r="C5188" i="1"/>
  <c r="D5188" i="1"/>
  <c r="E5188" i="1"/>
  <c r="F5188" i="1"/>
  <c r="G5188" i="1"/>
  <c r="A5189" i="1"/>
  <c r="B5189" i="1" s="1"/>
  <c r="C5189" i="1"/>
  <c r="D5189" i="1"/>
  <c r="E5189" i="1"/>
  <c r="F5189" i="1"/>
  <c r="G5189" i="1" s="1"/>
  <c r="A5190" i="1"/>
  <c r="B5190" i="1" s="1"/>
  <c r="C5190" i="1"/>
  <c r="D5190" i="1"/>
  <c r="E5190" i="1"/>
  <c r="F5190" i="1"/>
  <c r="G5190" i="1" s="1"/>
  <c r="A5191" i="1"/>
  <c r="B5191" i="1"/>
  <c r="C5191" i="1"/>
  <c r="D5191" i="1"/>
  <c r="E5191" i="1"/>
  <c r="F5191" i="1"/>
  <c r="G5191" i="1" s="1"/>
  <c r="A5192" i="1"/>
  <c r="B5192" i="1" s="1"/>
  <c r="C5192" i="1"/>
  <c r="D5192" i="1"/>
  <c r="E5192" i="1"/>
  <c r="F5192" i="1"/>
  <c r="G5192" i="1" s="1"/>
  <c r="A5193" i="1"/>
  <c r="B5193" i="1"/>
  <c r="C5193" i="1"/>
  <c r="D5193" i="1"/>
  <c r="E5193" i="1"/>
  <c r="F5193" i="1"/>
  <c r="G5193" i="1" s="1"/>
  <c r="A5194" i="1"/>
  <c r="B5194" i="1" s="1"/>
  <c r="C5194" i="1"/>
  <c r="D5194" i="1"/>
  <c r="E5194" i="1"/>
  <c r="F5194" i="1"/>
  <c r="G5194" i="1" s="1"/>
  <c r="A5195" i="1"/>
  <c r="B5195" i="1"/>
  <c r="C5195" i="1"/>
  <c r="D5195" i="1"/>
  <c r="E5195" i="1"/>
  <c r="F5195" i="1"/>
  <c r="G5195" i="1" s="1"/>
  <c r="A5196" i="1"/>
  <c r="B5196" i="1" s="1"/>
  <c r="C5196" i="1"/>
  <c r="D5196" i="1"/>
  <c r="E5196" i="1"/>
  <c r="F5196" i="1"/>
  <c r="G5196" i="1" s="1"/>
  <c r="A5197" i="1"/>
  <c r="B5197" i="1"/>
  <c r="C5197" i="1"/>
  <c r="D5197" i="1"/>
  <c r="E5197" i="1"/>
  <c r="F5197" i="1"/>
  <c r="G5197" i="1" s="1"/>
  <c r="A5198" i="1"/>
  <c r="B5198" i="1" s="1"/>
  <c r="C5198" i="1"/>
  <c r="D5198" i="1"/>
  <c r="E5198" i="1"/>
  <c r="F5198" i="1"/>
  <c r="G5198" i="1" s="1"/>
  <c r="A5199" i="1"/>
  <c r="B5199" i="1"/>
  <c r="C5199" i="1"/>
  <c r="D5199" i="1"/>
  <c r="E5199" i="1"/>
  <c r="F5199" i="1"/>
  <c r="G5199" i="1" s="1"/>
  <c r="A5200" i="1"/>
  <c r="B5200" i="1"/>
  <c r="C5200" i="1"/>
  <c r="D5200" i="1"/>
  <c r="E5200" i="1"/>
  <c r="F5200" i="1"/>
  <c r="G5200" i="1" s="1"/>
  <c r="A5201" i="1"/>
  <c r="B5201" i="1" s="1"/>
  <c r="C5201" i="1"/>
  <c r="D5201" i="1"/>
  <c r="E5201" i="1"/>
  <c r="F5201" i="1"/>
  <c r="G5201" i="1"/>
  <c r="A5202" i="1"/>
  <c r="B5202" i="1" s="1"/>
  <c r="C5202" i="1"/>
  <c r="D5202" i="1"/>
  <c r="E5202" i="1"/>
  <c r="F5202" i="1"/>
  <c r="G5202" i="1" s="1"/>
  <c r="A5203" i="1"/>
  <c r="B5203" i="1" s="1"/>
  <c r="C5203" i="1"/>
  <c r="D5203" i="1"/>
  <c r="E5203" i="1"/>
  <c r="F5203" i="1"/>
  <c r="G5203" i="1" s="1"/>
  <c r="A5204" i="1"/>
  <c r="B5204" i="1" s="1"/>
  <c r="C5204" i="1"/>
  <c r="D5204" i="1"/>
  <c r="E5204" i="1"/>
  <c r="F5204" i="1"/>
  <c r="G5204" i="1"/>
  <c r="A5205" i="1"/>
  <c r="B5205" i="1" s="1"/>
  <c r="C5205" i="1"/>
  <c r="D5205" i="1"/>
  <c r="E5205" i="1"/>
  <c r="F5205" i="1"/>
  <c r="G5205" i="1" s="1"/>
  <c r="A5206" i="1"/>
  <c r="B5206" i="1" s="1"/>
  <c r="C5206" i="1"/>
  <c r="D5206" i="1"/>
  <c r="E5206" i="1"/>
  <c r="F5206" i="1"/>
  <c r="G5206" i="1" s="1"/>
  <c r="A5207" i="1"/>
  <c r="B5207" i="1" s="1"/>
  <c r="C5207" i="1"/>
  <c r="D5207" i="1"/>
  <c r="E5207" i="1"/>
  <c r="F5207" i="1"/>
  <c r="G5207" i="1" s="1"/>
  <c r="A5208" i="1"/>
  <c r="B5208" i="1" s="1"/>
  <c r="C5208" i="1"/>
  <c r="D5208" i="1"/>
  <c r="E5208" i="1"/>
  <c r="F5208" i="1"/>
  <c r="G5208" i="1" s="1"/>
  <c r="A5209" i="1"/>
  <c r="B5209" i="1" s="1"/>
  <c r="C5209" i="1"/>
  <c r="D5209" i="1"/>
  <c r="E5209" i="1"/>
  <c r="F5209" i="1"/>
  <c r="G5209" i="1" s="1"/>
  <c r="A5210" i="1"/>
  <c r="B5210" i="1" s="1"/>
  <c r="C5210" i="1"/>
  <c r="D5210" i="1"/>
  <c r="E5210" i="1"/>
  <c r="F5210" i="1"/>
  <c r="G5210" i="1"/>
  <c r="A5211" i="1"/>
  <c r="B5211" i="1" s="1"/>
  <c r="C5211" i="1"/>
  <c r="D5211" i="1"/>
  <c r="E5211" i="1"/>
  <c r="F5211" i="1"/>
  <c r="G5211" i="1" s="1"/>
  <c r="A5212" i="1"/>
  <c r="B5212" i="1"/>
  <c r="C5212" i="1"/>
  <c r="D5212" i="1"/>
  <c r="E5212" i="1"/>
  <c r="F5212" i="1"/>
  <c r="G5212" i="1"/>
  <c r="A5213" i="1"/>
  <c r="B5213" i="1" s="1"/>
  <c r="C5213" i="1"/>
  <c r="D5213" i="1"/>
  <c r="E5213" i="1"/>
  <c r="F5213" i="1"/>
  <c r="G5213" i="1" s="1"/>
  <c r="A5214" i="1"/>
  <c r="B5214" i="1" s="1"/>
  <c r="C5214" i="1"/>
  <c r="D5214" i="1"/>
  <c r="E5214" i="1"/>
  <c r="F5214" i="1"/>
  <c r="G5214" i="1" s="1"/>
  <c r="A5215" i="1"/>
  <c r="B5215" i="1" s="1"/>
  <c r="C5215" i="1"/>
  <c r="D5215" i="1"/>
  <c r="E5215" i="1"/>
  <c r="F5215" i="1"/>
  <c r="G5215" i="1" s="1"/>
  <c r="A5216" i="1"/>
  <c r="B5216" i="1" s="1"/>
  <c r="C5216" i="1"/>
  <c r="D5216" i="1"/>
  <c r="E5216" i="1"/>
  <c r="F5216" i="1"/>
  <c r="G5216" i="1" s="1"/>
  <c r="A5217" i="1"/>
  <c r="B5217" i="1" s="1"/>
  <c r="C5217" i="1"/>
  <c r="D5217" i="1"/>
  <c r="E5217" i="1"/>
  <c r="F5217" i="1"/>
  <c r="G5217" i="1" s="1"/>
  <c r="A5218" i="1"/>
  <c r="B5218" i="1" s="1"/>
  <c r="C5218" i="1"/>
  <c r="D5218" i="1"/>
  <c r="E5218" i="1"/>
  <c r="F5218" i="1"/>
  <c r="G5218" i="1" s="1"/>
  <c r="A5219" i="1"/>
  <c r="B5219" i="1"/>
  <c r="C5219" i="1"/>
  <c r="D5219" i="1"/>
  <c r="E5219" i="1"/>
  <c r="F5219" i="1"/>
  <c r="G5219" i="1" s="1"/>
  <c r="A5220" i="1"/>
  <c r="B5220" i="1" s="1"/>
  <c r="C5220" i="1"/>
  <c r="D5220" i="1"/>
  <c r="E5220" i="1"/>
  <c r="F5220" i="1"/>
  <c r="G5220" i="1" s="1"/>
  <c r="A5221" i="1"/>
  <c r="B5221" i="1"/>
  <c r="C5221" i="1"/>
  <c r="D5221" i="1"/>
  <c r="E5221" i="1"/>
  <c r="F5221" i="1"/>
  <c r="G5221" i="1" s="1"/>
  <c r="A5222" i="1"/>
  <c r="B5222" i="1" s="1"/>
  <c r="C5222" i="1"/>
  <c r="D5222" i="1"/>
  <c r="E5222" i="1"/>
  <c r="F5222" i="1"/>
  <c r="G5222" i="1" s="1"/>
  <c r="A5223" i="1"/>
  <c r="B5223" i="1"/>
  <c r="C5223" i="1"/>
  <c r="D5223" i="1"/>
  <c r="E5223" i="1"/>
  <c r="F5223" i="1"/>
  <c r="G5223" i="1" s="1"/>
  <c r="A5224" i="1"/>
  <c r="B5224" i="1" s="1"/>
  <c r="C5224" i="1"/>
  <c r="D5224" i="1"/>
  <c r="E5224" i="1"/>
  <c r="F5224" i="1"/>
  <c r="G5224" i="1" s="1"/>
  <c r="A5225" i="1"/>
  <c r="B5225" i="1"/>
  <c r="C5225" i="1"/>
  <c r="D5225" i="1"/>
  <c r="E5225" i="1"/>
  <c r="F5225" i="1"/>
  <c r="G5225" i="1" s="1"/>
  <c r="A5226" i="1"/>
  <c r="B5226" i="1" s="1"/>
  <c r="C5226" i="1"/>
  <c r="D5226" i="1"/>
  <c r="E5226" i="1"/>
  <c r="F5226" i="1"/>
  <c r="G5226" i="1" s="1"/>
  <c r="A5227" i="1"/>
  <c r="B5227" i="1"/>
  <c r="C5227" i="1"/>
  <c r="D5227" i="1"/>
  <c r="E5227" i="1"/>
  <c r="F5227" i="1"/>
  <c r="G5227" i="1" s="1"/>
  <c r="A5228" i="1"/>
  <c r="B5228" i="1" s="1"/>
  <c r="C5228" i="1"/>
  <c r="D5228" i="1"/>
  <c r="E5228" i="1"/>
  <c r="F5228" i="1"/>
  <c r="G5228" i="1" s="1"/>
  <c r="A5229" i="1"/>
  <c r="B5229" i="1" s="1"/>
  <c r="C5229" i="1"/>
  <c r="D5229" i="1"/>
  <c r="E5229" i="1"/>
  <c r="F5229" i="1"/>
  <c r="G5229" i="1" s="1"/>
  <c r="A5230" i="1"/>
  <c r="B5230" i="1" s="1"/>
  <c r="C5230" i="1"/>
  <c r="D5230" i="1"/>
  <c r="E5230" i="1"/>
  <c r="F5230" i="1"/>
  <c r="G5230" i="1" s="1"/>
  <c r="A5231" i="1"/>
  <c r="B5231" i="1"/>
  <c r="C5231" i="1"/>
  <c r="D5231" i="1"/>
  <c r="E5231" i="1"/>
  <c r="F5231" i="1"/>
  <c r="G5231" i="1" s="1"/>
  <c r="A5232" i="1"/>
  <c r="B5232" i="1" s="1"/>
  <c r="C5232" i="1"/>
  <c r="D5232" i="1"/>
  <c r="E5232" i="1"/>
  <c r="F5232" i="1"/>
  <c r="G5232" i="1" s="1"/>
  <c r="A5233" i="1"/>
  <c r="B5233" i="1"/>
  <c r="C5233" i="1"/>
  <c r="D5233" i="1"/>
  <c r="E5233" i="1"/>
  <c r="F5233" i="1"/>
  <c r="G5233" i="1" s="1"/>
  <c r="A5234" i="1"/>
  <c r="B5234" i="1" s="1"/>
  <c r="C5234" i="1"/>
  <c r="D5234" i="1"/>
  <c r="E5234" i="1"/>
  <c r="F5234" i="1"/>
  <c r="G5234" i="1" s="1"/>
  <c r="A5235" i="1"/>
  <c r="B5235" i="1"/>
  <c r="C5235" i="1"/>
  <c r="D5235" i="1"/>
  <c r="E5235" i="1"/>
  <c r="F5235" i="1"/>
  <c r="G5235" i="1" s="1"/>
  <c r="A5236" i="1"/>
  <c r="B5236" i="1"/>
  <c r="C5236" i="1"/>
  <c r="D5236" i="1"/>
  <c r="E5236" i="1"/>
  <c r="F5236" i="1"/>
  <c r="G5236" i="1" s="1"/>
  <c r="A5237" i="1"/>
  <c r="B5237" i="1"/>
  <c r="C5237" i="1"/>
  <c r="D5237" i="1"/>
  <c r="E5237" i="1"/>
  <c r="F5237" i="1"/>
  <c r="G5237" i="1" s="1"/>
  <c r="A5238" i="1"/>
  <c r="B5238" i="1" s="1"/>
  <c r="C5238" i="1"/>
  <c r="D5238" i="1"/>
  <c r="E5238" i="1"/>
  <c r="F5238" i="1"/>
  <c r="G5238" i="1" s="1"/>
  <c r="A5239" i="1"/>
  <c r="B5239" i="1"/>
  <c r="C5239" i="1"/>
  <c r="D5239" i="1"/>
  <c r="E5239" i="1"/>
  <c r="F5239" i="1"/>
  <c r="G5239" i="1" s="1"/>
  <c r="A5240" i="1"/>
  <c r="B5240" i="1" s="1"/>
  <c r="C5240" i="1"/>
  <c r="D5240" i="1"/>
  <c r="E5240" i="1"/>
  <c r="F5240" i="1"/>
  <c r="G5240" i="1"/>
  <c r="A5241" i="1"/>
  <c r="B5241" i="1"/>
  <c r="C5241" i="1"/>
  <c r="D5241" i="1"/>
  <c r="E5241" i="1"/>
  <c r="F5241" i="1"/>
  <c r="G5241" i="1" s="1"/>
  <c r="A5242" i="1"/>
  <c r="B5242" i="1" s="1"/>
  <c r="C5242" i="1"/>
  <c r="D5242" i="1"/>
  <c r="E5242" i="1"/>
  <c r="F5242" i="1"/>
  <c r="G5242" i="1"/>
  <c r="A5243" i="1"/>
  <c r="B5243" i="1"/>
  <c r="C5243" i="1"/>
  <c r="D5243" i="1"/>
  <c r="E5243" i="1"/>
  <c r="F5243" i="1"/>
  <c r="G5243" i="1" s="1"/>
  <c r="A5244" i="1"/>
  <c r="B5244" i="1" s="1"/>
  <c r="C5244" i="1"/>
  <c r="D5244" i="1"/>
  <c r="E5244" i="1"/>
  <c r="F5244" i="1"/>
  <c r="G5244" i="1" s="1"/>
  <c r="A5245" i="1"/>
  <c r="B5245" i="1"/>
  <c r="C5245" i="1"/>
  <c r="D5245" i="1"/>
  <c r="E5245" i="1"/>
  <c r="F5245" i="1"/>
  <c r="G5245" i="1" s="1"/>
  <c r="A5246" i="1"/>
  <c r="B5246" i="1" s="1"/>
  <c r="C5246" i="1"/>
  <c r="D5246" i="1"/>
  <c r="E5246" i="1"/>
  <c r="F5246" i="1"/>
  <c r="G5246" i="1" s="1"/>
  <c r="A5247" i="1"/>
  <c r="B5247" i="1"/>
  <c r="C5247" i="1"/>
  <c r="D5247" i="1"/>
  <c r="E5247" i="1"/>
  <c r="F5247" i="1"/>
  <c r="G5247" i="1" s="1"/>
  <c r="A5248" i="1"/>
  <c r="B5248" i="1"/>
  <c r="C5248" i="1"/>
  <c r="D5248" i="1"/>
  <c r="E5248" i="1"/>
  <c r="F5248" i="1"/>
  <c r="G5248" i="1" s="1"/>
  <c r="A5249" i="1"/>
  <c r="B5249" i="1" s="1"/>
  <c r="C5249" i="1"/>
  <c r="D5249" i="1"/>
  <c r="E5249" i="1"/>
  <c r="F5249" i="1"/>
  <c r="G5249" i="1" s="1"/>
  <c r="A5250" i="1"/>
  <c r="B5250" i="1" s="1"/>
  <c r="C5250" i="1"/>
  <c r="D5250" i="1"/>
  <c r="E5250" i="1"/>
  <c r="F5250" i="1"/>
  <c r="G5250" i="1" s="1"/>
  <c r="A5251" i="1"/>
  <c r="B5251" i="1"/>
  <c r="C5251" i="1"/>
  <c r="D5251" i="1"/>
  <c r="E5251" i="1"/>
  <c r="F5251" i="1"/>
  <c r="G5251" i="1" s="1"/>
  <c r="A5252" i="1"/>
  <c r="B5252" i="1" s="1"/>
  <c r="C5252" i="1"/>
  <c r="D5252" i="1"/>
  <c r="E5252" i="1"/>
  <c r="F5252" i="1"/>
  <c r="G5252" i="1" s="1"/>
  <c r="A5253" i="1"/>
  <c r="B5253" i="1" s="1"/>
  <c r="C5253" i="1"/>
  <c r="D5253" i="1"/>
  <c r="E5253" i="1"/>
  <c r="F5253" i="1"/>
  <c r="G5253" i="1" s="1"/>
  <c r="A5254" i="1"/>
  <c r="B5254" i="1" s="1"/>
  <c r="C5254" i="1"/>
  <c r="D5254" i="1"/>
  <c r="E5254" i="1"/>
  <c r="F5254" i="1"/>
  <c r="G5254" i="1" s="1"/>
  <c r="A5255" i="1"/>
  <c r="B5255" i="1" s="1"/>
  <c r="C5255" i="1"/>
  <c r="D5255" i="1"/>
  <c r="E5255" i="1"/>
  <c r="F5255" i="1"/>
  <c r="G5255" i="1" s="1"/>
  <c r="A5256" i="1"/>
  <c r="B5256" i="1" s="1"/>
  <c r="C5256" i="1"/>
  <c r="D5256" i="1"/>
  <c r="E5256" i="1"/>
  <c r="F5256" i="1"/>
  <c r="G5256" i="1" s="1"/>
  <c r="A5257" i="1"/>
  <c r="B5257" i="1"/>
  <c r="C5257" i="1"/>
  <c r="D5257" i="1"/>
  <c r="E5257" i="1"/>
  <c r="F5257" i="1"/>
  <c r="G5257" i="1" s="1"/>
  <c r="A5258" i="1"/>
  <c r="B5258" i="1" s="1"/>
  <c r="C5258" i="1"/>
  <c r="D5258" i="1"/>
  <c r="E5258" i="1"/>
  <c r="F5258" i="1"/>
  <c r="G5258" i="1" s="1"/>
  <c r="A5259" i="1"/>
  <c r="B5259" i="1"/>
  <c r="C5259" i="1"/>
  <c r="D5259" i="1"/>
  <c r="E5259" i="1"/>
  <c r="F5259" i="1"/>
  <c r="G5259" i="1" s="1"/>
  <c r="A5260" i="1"/>
  <c r="B5260" i="1" s="1"/>
  <c r="C5260" i="1"/>
  <c r="D5260" i="1"/>
  <c r="E5260" i="1"/>
  <c r="F5260" i="1"/>
  <c r="G5260" i="1" s="1"/>
  <c r="A5261" i="1"/>
  <c r="B5261" i="1"/>
  <c r="C5261" i="1"/>
  <c r="D5261" i="1"/>
  <c r="E5261" i="1"/>
  <c r="F5261" i="1"/>
  <c r="G5261" i="1" s="1"/>
  <c r="A5262" i="1"/>
  <c r="B5262" i="1" s="1"/>
  <c r="C5262" i="1"/>
  <c r="D5262" i="1"/>
  <c r="E5262" i="1"/>
  <c r="F5262" i="1"/>
  <c r="G5262" i="1" s="1"/>
  <c r="A5263" i="1"/>
  <c r="B5263" i="1"/>
  <c r="C5263" i="1"/>
  <c r="D5263" i="1"/>
  <c r="E5263" i="1"/>
  <c r="F5263" i="1"/>
  <c r="G5263" i="1" s="1"/>
  <c r="A5264" i="1"/>
  <c r="B5264" i="1" s="1"/>
  <c r="C5264" i="1"/>
  <c r="D5264" i="1"/>
  <c r="E5264" i="1"/>
  <c r="F5264" i="1"/>
  <c r="G5264" i="1" s="1"/>
  <c r="A5265" i="1"/>
  <c r="B5265" i="1"/>
  <c r="C5265" i="1"/>
  <c r="D5265" i="1"/>
  <c r="E5265" i="1"/>
  <c r="F5265" i="1"/>
  <c r="G5265" i="1" s="1"/>
  <c r="A5266" i="1"/>
  <c r="B5266" i="1" s="1"/>
  <c r="C5266" i="1"/>
  <c r="D5266" i="1"/>
  <c r="E5266" i="1"/>
  <c r="F5266" i="1"/>
  <c r="G5266" i="1" s="1"/>
  <c r="A5267" i="1"/>
  <c r="B5267" i="1" s="1"/>
  <c r="C5267" i="1"/>
  <c r="D5267" i="1"/>
  <c r="E5267" i="1"/>
  <c r="F5267" i="1"/>
  <c r="G5267" i="1" s="1"/>
  <c r="A5268" i="1"/>
  <c r="B5268" i="1" s="1"/>
  <c r="C5268" i="1"/>
  <c r="D5268" i="1"/>
  <c r="E5268" i="1"/>
  <c r="F5268" i="1"/>
  <c r="G5268" i="1" s="1"/>
  <c r="A5269" i="1"/>
  <c r="B5269" i="1"/>
  <c r="C5269" i="1"/>
  <c r="D5269" i="1"/>
  <c r="E5269" i="1"/>
  <c r="F5269" i="1"/>
  <c r="G5269" i="1" s="1"/>
  <c r="A5270" i="1"/>
  <c r="B5270" i="1" s="1"/>
  <c r="C5270" i="1"/>
  <c r="D5270" i="1"/>
  <c r="E5270" i="1"/>
  <c r="F5270" i="1"/>
  <c r="G5270" i="1" s="1"/>
  <c r="A5271" i="1"/>
  <c r="B5271" i="1"/>
  <c r="C5271" i="1"/>
  <c r="D5271" i="1"/>
  <c r="E5271" i="1"/>
  <c r="F5271" i="1"/>
  <c r="G5271" i="1" s="1"/>
  <c r="A5272" i="1"/>
  <c r="B5272" i="1"/>
  <c r="C5272" i="1"/>
  <c r="D5272" i="1"/>
  <c r="E5272" i="1"/>
  <c r="F5272" i="1"/>
  <c r="G5272" i="1" s="1"/>
  <c r="A5273" i="1"/>
  <c r="B5273" i="1"/>
  <c r="C5273" i="1"/>
  <c r="D5273" i="1"/>
  <c r="E5273" i="1"/>
  <c r="F5273" i="1"/>
  <c r="G5273" i="1" s="1"/>
  <c r="A5274" i="1"/>
  <c r="B5274" i="1" s="1"/>
  <c r="C5274" i="1"/>
  <c r="D5274" i="1"/>
  <c r="E5274" i="1"/>
  <c r="F5274" i="1"/>
  <c r="G5274" i="1" s="1"/>
  <c r="A5275" i="1"/>
  <c r="B5275" i="1"/>
  <c r="C5275" i="1"/>
  <c r="D5275" i="1"/>
  <c r="E5275" i="1"/>
  <c r="F5275" i="1"/>
  <c r="G5275" i="1" s="1"/>
  <c r="A5276" i="1"/>
  <c r="B5276" i="1" s="1"/>
  <c r="C5276" i="1"/>
  <c r="D5276" i="1"/>
  <c r="E5276" i="1"/>
  <c r="F5276" i="1"/>
  <c r="G5276" i="1" s="1"/>
  <c r="A5277" i="1"/>
  <c r="B5277" i="1"/>
  <c r="C5277" i="1"/>
  <c r="D5277" i="1"/>
  <c r="E5277" i="1"/>
  <c r="F5277" i="1"/>
  <c r="G5277" i="1" s="1"/>
  <c r="A5278" i="1"/>
  <c r="B5278" i="1" s="1"/>
  <c r="C5278" i="1"/>
  <c r="D5278" i="1"/>
  <c r="E5278" i="1"/>
  <c r="F5278" i="1"/>
  <c r="G5278" i="1" s="1"/>
  <c r="A5279" i="1"/>
  <c r="B5279" i="1"/>
  <c r="C5279" i="1"/>
  <c r="D5279" i="1"/>
  <c r="E5279" i="1"/>
  <c r="F5279" i="1"/>
  <c r="G5279" i="1" s="1"/>
  <c r="A5280" i="1"/>
  <c r="B5280" i="1" s="1"/>
  <c r="C5280" i="1"/>
  <c r="D5280" i="1"/>
  <c r="E5280" i="1"/>
  <c r="F5280" i="1"/>
  <c r="G5280" i="1" s="1"/>
  <c r="A5281" i="1"/>
  <c r="B5281" i="1" s="1"/>
  <c r="C5281" i="1"/>
  <c r="D5281" i="1"/>
  <c r="E5281" i="1"/>
  <c r="F5281" i="1"/>
  <c r="G5281" i="1" s="1"/>
  <c r="A5282" i="1"/>
  <c r="B5282" i="1" s="1"/>
  <c r="C5282" i="1"/>
  <c r="D5282" i="1"/>
  <c r="E5282" i="1"/>
  <c r="F5282" i="1"/>
  <c r="G5282" i="1" s="1"/>
  <c r="A5283" i="1"/>
  <c r="B5283" i="1" s="1"/>
  <c r="C5283" i="1"/>
  <c r="D5283" i="1"/>
  <c r="E5283" i="1"/>
  <c r="F5283" i="1"/>
  <c r="G5283" i="1" s="1"/>
  <c r="A5284" i="1"/>
  <c r="B5284" i="1" s="1"/>
  <c r="C5284" i="1"/>
  <c r="D5284" i="1"/>
  <c r="E5284" i="1"/>
  <c r="F5284" i="1"/>
  <c r="G5284" i="1" s="1"/>
  <c r="A5285" i="1"/>
  <c r="B5285" i="1" s="1"/>
  <c r="C5285" i="1"/>
  <c r="D5285" i="1"/>
  <c r="E5285" i="1"/>
  <c r="F5285" i="1"/>
  <c r="G5285" i="1" s="1"/>
  <c r="A5286" i="1"/>
  <c r="B5286" i="1" s="1"/>
  <c r="C5286" i="1"/>
  <c r="D5286" i="1"/>
  <c r="E5286" i="1"/>
  <c r="F5286" i="1"/>
  <c r="G5286" i="1" s="1"/>
  <c r="A5287" i="1"/>
  <c r="B5287" i="1"/>
  <c r="C5287" i="1"/>
  <c r="D5287" i="1"/>
  <c r="E5287" i="1"/>
  <c r="F5287" i="1"/>
  <c r="G5287" i="1" s="1"/>
  <c r="A5288" i="1"/>
  <c r="B5288" i="1" s="1"/>
  <c r="C5288" i="1"/>
  <c r="D5288" i="1"/>
  <c r="E5288" i="1"/>
  <c r="F5288" i="1"/>
  <c r="G5288" i="1" s="1"/>
  <c r="A5289" i="1"/>
  <c r="B5289" i="1"/>
  <c r="C5289" i="1"/>
  <c r="D5289" i="1"/>
  <c r="E5289" i="1"/>
  <c r="F5289" i="1"/>
  <c r="G5289" i="1" s="1"/>
  <c r="A5290" i="1"/>
  <c r="B5290" i="1" s="1"/>
  <c r="C5290" i="1"/>
  <c r="D5290" i="1"/>
  <c r="E5290" i="1"/>
  <c r="F5290" i="1"/>
  <c r="G5290" i="1" s="1"/>
  <c r="A5291" i="1"/>
  <c r="B5291" i="1"/>
  <c r="C5291" i="1"/>
  <c r="D5291" i="1"/>
  <c r="E5291" i="1"/>
  <c r="F5291" i="1"/>
  <c r="G5291" i="1" s="1"/>
  <c r="A5292" i="1"/>
  <c r="B5292" i="1" s="1"/>
  <c r="C5292" i="1"/>
  <c r="D5292" i="1"/>
  <c r="E5292" i="1"/>
  <c r="F5292" i="1"/>
  <c r="G5292" i="1" s="1"/>
  <c r="A5293" i="1"/>
  <c r="B5293" i="1"/>
  <c r="C5293" i="1"/>
  <c r="D5293" i="1"/>
  <c r="E5293" i="1"/>
  <c r="F5293" i="1"/>
  <c r="G5293" i="1" s="1"/>
  <c r="A5294" i="1"/>
  <c r="B5294" i="1" s="1"/>
  <c r="C5294" i="1"/>
  <c r="D5294" i="1"/>
  <c r="E5294" i="1"/>
  <c r="F5294" i="1"/>
  <c r="G5294" i="1" s="1"/>
  <c r="A5295" i="1"/>
  <c r="B5295" i="1"/>
  <c r="C5295" i="1"/>
  <c r="D5295" i="1"/>
  <c r="E5295" i="1"/>
  <c r="F5295" i="1"/>
  <c r="G5295" i="1" s="1"/>
  <c r="A5296" i="1"/>
  <c r="B5296" i="1" s="1"/>
  <c r="C5296" i="1"/>
  <c r="D5296" i="1"/>
  <c r="E5296" i="1"/>
  <c r="F5296" i="1"/>
  <c r="G5296" i="1" s="1"/>
  <c r="A5297" i="1"/>
  <c r="B5297" i="1" s="1"/>
  <c r="C5297" i="1"/>
  <c r="D5297" i="1"/>
  <c r="E5297" i="1"/>
  <c r="F5297" i="1"/>
  <c r="G5297" i="1" s="1"/>
  <c r="A5298" i="1"/>
  <c r="B5298" i="1" s="1"/>
  <c r="C5298" i="1"/>
  <c r="D5298" i="1"/>
  <c r="E5298" i="1"/>
  <c r="F5298" i="1"/>
  <c r="G5298" i="1" s="1"/>
  <c r="A5299" i="1"/>
  <c r="B5299" i="1" s="1"/>
  <c r="C5299" i="1"/>
  <c r="D5299" i="1"/>
  <c r="E5299" i="1"/>
  <c r="F5299" i="1"/>
  <c r="G5299" i="1" s="1"/>
  <c r="A5300" i="1"/>
  <c r="B5300" i="1" s="1"/>
  <c r="C5300" i="1"/>
  <c r="D5300" i="1"/>
  <c r="E5300" i="1"/>
  <c r="F5300" i="1"/>
  <c r="G5300" i="1" s="1"/>
  <c r="A5301" i="1"/>
  <c r="B5301" i="1" s="1"/>
  <c r="C5301" i="1"/>
  <c r="D5301" i="1"/>
  <c r="E5301" i="1"/>
  <c r="F5301" i="1"/>
  <c r="G5301" i="1" s="1"/>
  <c r="A5302" i="1"/>
  <c r="B5302" i="1" s="1"/>
  <c r="C5302" i="1"/>
  <c r="D5302" i="1"/>
  <c r="E5302" i="1"/>
  <c r="F5302" i="1"/>
  <c r="G5302" i="1" s="1"/>
  <c r="A5303" i="1"/>
  <c r="B5303" i="1" s="1"/>
  <c r="C5303" i="1"/>
  <c r="D5303" i="1"/>
  <c r="E5303" i="1"/>
  <c r="F5303" i="1"/>
  <c r="G5303" i="1" s="1"/>
  <c r="A5304" i="1"/>
  <c r="B5304" i="1" s="1"/>
  <c r="C5304" i="1"/>
  <c r="D5304" i="1"/>
  <c r="E5304" i="1"/>
  <c r="F5304" i="1"/>
  <c r="G5304" i="1" s="1"/>
  <c r="A5305" i="1"/>
  <c r="B5305" i="1" s="1"/>
  <c r="C5305" i="1"/>
  <c r="D5305" i="1"/>
  <c r="E5305" i="1"/>
  <c r="F5305" i="1"/>
  <c r="G5305" i="1" s="1"/>
  <c r="A5306" i="1"/>
  <c r="B5306" i="1" s="1"/>
  <c r="C5306" i="1"/>
  <c r="D5306" i="1"/>
  <c r="E5306" i="1"/>
  <c r="F5306" i="1"/>
  <c r="G5306" i="1" s="1"/>
  <c r="A5307" i="1"/>
  <c r="B5307" i="1" s="1"/>
  <c r="C5307" i="1"/>
  <c r="D5307" i="1"/>
  <c r="E5307" i="1"/>
  <c r="F5307" i="1"/>
  <c r="G5307" i="1" s="1"/>
  <c r="A5308" i="1"/>
  <c r="B5308" i="1"/>
  <c r="C5308" i="1"/>
  <c r="D5308" i="1"/>
  <c r="E5308" i="1"/>
  <c r="F5308" i="1"/>
  <c r="G5308" i="1" s="1"/>
  <c r="A5309" i="1"/>
  <c r="B5309" i="1"/>
  <c r="C5309" i="1"/>
  <c r="D5309" i="1"/>
  <c r="E5309" i="1"/>
  <c r="F5309" i="1"/>
  <c r="G5309" i="1" s="1"/>
  <c r="A5310" i="1"/>
  <c r="B5310" i="1" s="1"/>
  <c r="C5310" i="1"/>
  <c r="D5310" i="1"/>
  <c r="E5310" i="1"/>
  <c r="F5310" i="1"/>
  <c r="G5310" i="1" s="1"/>
  <c r="A5311" i="1"/>
  <c r="B5311" i="1"/>
  <c r="C5311" i="1"/>
  <c r="D5311" i="1"/>
  <c r="E5311" i="1"/>
  <c r="F5311" i="1"/>
  <c r="G5311" i="1" s="1"/>
  <c r="A5312" i="1"/>
  <c r="B5312" i="1" s="1"/>
  <c r="C5312" i="1"/>
  <c r="D5312" i="1"/>
  <c r="E5312" i="1"/>
  <c r="F5312" i="1"/>
  <c r="G5312" i="1" s="1"/>
  <c r="A5313" i="1"/>
  <c r="B5313" i="1"/>
  <c r="C5313" i="1"/>
  <c r="D5313" i="1"/>
  <c r="E5313" i="1"/>
  <c r="F5313" i="1"/>
  <c r="G5313" i="1" s="1"/>
  <c r="A5314" i="1"/>
  <c r="B5314" i="1" s="1"/>
  <c r="C5314" i="1"/>
  <c r="D5314" i="1"/>
  <c r="E5314" i="1"/>
  <c r="F5314" i="1"/>
  <c r="G5314" i="1" s="1"/>
  <c r="A5315" i="1"/>
  <c r="B5315" i="1" s="1"/>
  <c r="C5315" i="1"/>
  <c r="D5315" i="1"/>
  <c r="E5315" i="1"/>
  <c r="F5315" i="1"/>
  <c r="G5315" i="1" s="1"/>
  <c r="A5316" i="1"/>
  <c r="B5316" i="1" s="1"/>
  <c r="C5316" i="1"/>
  <c r="D5316" i="1"/>
  <c r="E5316" i="1"/>
  <c r="F5316" i="1"/>
  <c r="G5316" i="1" s="1"/>
  <c r="A5317" i="1"/>
  <c r="B5317" i="1" s="1"/>
  <c r="C5317" i="1"/>
  <c r="D5317" i="1"/>
  <c r="E5317" i="1"/>
  <c r="F5317" i="1"/>
  <c r="G5317" i="1" s="1"/>
  <c r="A5318" i="1"/>
  <c r="B5318" i="1" s="1"/>
  <c r="C5318" i="1"/>
  <c r="D5318" i="1"/>
  <c r="E5318" i="1"/>
  <c r="F5318" i="1"/>
  <c r="G5318" i="1" s="1"/>
  <c r="A5319" i="1"/>
  <c r="B5319" i="1" s="1"/>
  <c r="C5319" i="1"/>
  <c r="D5319" i="1"/>
  <c r="E5319" i="1"/>
  <c r="F5319" i="1"/>
  <c r="G5319" i="1" s="1"/>
  <c r="A5320" i="1"/>
  <c r="B5320" i="1"/>
  <c r="C5320" i="1"/>
  <c r="D5320" i="1"/>
  <c r="E5320" i="1"/>
  <c r="F5320" i="1"/>
  <c r="G5320" i="1" s="1"/>
  <c r="A5321" i="1"/>
  <c r="B5321" i="1" s="1"/>
  <c r="C5321" i="1"/>
  <c r="D5321" i="1"/>
  <c r="E5321" i="1"/>
  <c r="F5321" i="1"/>
  <c r="G5321" i="1" s="1"/>
  <c r="A5322" i="1"/>
  <c r="B5322" i="1" s="1"/>
  <c r="C5322" i="1"/>
  <c r="D5322" i="1"/>
  <c r="E5322" i="1"/>
  <c r="F5322" i="1"/>
  <c r="G5322" i="1" s="1"/>
  <c r="A5323" i="1"/>
  <c r="B5323" i="1" s="1"/>
  <c r="C5323" i="1"/>
  <c r="D5323" i="1"/>
  <c r="E5323" i="1"/>
  <c r="F5323" i="1"/>
  <c r="G5323" i="1" s="1"/>
  <c r="A5324" i="1"/>
  <c r="B5324" i="1" s="1"/>
  <c r="C5324" i="1"/>
  <c r="D5324" i="1"/>
  <c r="E5324" i="1"/>
  <c r="F5324" i="1"/>
  <c r="G5324" i="1" s="1"/>
  <c r="A5325" i="1"/>
  <c r="B5325" i="1" s="1"/>
  <c r="C5325" i="1"/>
  <c r="D5325" i="1"/>
  <c r="E5325" i="1"/>
  <c r="F5325" i="1"/>
  <c r="G5325" i="1" s="1"/>
  <c r="A5326" i="1"/>
  <c r="B5326" i="1" s="1"/>
  <c r="C5326" i="1"/>
  <c r="D5326" i="1"/>
  <c r="E5326" i="1"/>
  <c r="F5326" i="1"/>
  <c r="G5326" i="1" s="1"/>
  <c r="A5327" i="1"/>
  <c r="B5327" i="1" s="1"/>
  <c r="C5327" i="1"/>
  <c r="D5327" i="1"/>
  <c r="E5327" i="1"/>
  <c r="F5327" i="1"/>
  <c r="G5327" i="1" s="1"/>
  <c r="A5328" i="1"/>
  <c r="B5328" i="1" s="1"/>
  <c r="C5328" i="1"/>
  <c r="D5328" i="1"/>
  <c r="E5328" i="1"/>
  <c r="F5328" i="1"/>
  <c r="G5328" i="1" s="1"/>
  <c r="A5329" i="1"/>
  <c r="B5329" i="1" s="1"/>
  <c r="C5329" i="1"/>
  <c r="D5329" i="1"/>
  <c r="E5329" i="1"/>
  <c r="F5329" i="1"/>
  <c r="G5329" i="1" s="1"/>
  <c r="A5330" i="1"/>
  <c r="B5330" i="1" s="1"/>
  <c r="C5330" i="1"/>
  <c r="D5330" i="1"/>
  <c r="E5330" i="1"/>
  <c r="F5330" i="1"/>
  <c r="G5330" i="1" s="1"/>
  <c r="A5331" i="1"/>
  <c r="B5331" i="1" s="1"/>
  <c r="C5331" i="1"/>
  <c r="D5331" i="1"/>
  <c r="E5331" i="1"/>
  <c r="F5331" i="1"/>
  <c r="G5331" i="1" s="1"/>
  <c r="A5332" i="1"/>
  <c r="B5332" i="1" s="1"/>
  <c r="C5332" i="1"/>
  <c r="D5332" i="1"/>
  <c r="E5332" i="1"/>
  <c r="F5332" i="1"/>
  <c r="G5332" i="1" s="1"/>
  <c r="A5333" i="1"/>
  <c r="B5333" i="1" s="1"/>
  <c r="C5333" i="1"/>
  <c r="D5333" i="1"/>
  <c r="E5333" i="1"/>
  <c r="F5333" i="1"/>
  <c r="G5333" i="1" s="1"/>
  <c r="A5334" i="1"/>
  <c r="B5334" i="1" s="1"/>
  <c r="C5334" i="1"/>
  <c r="D5334" i="1"/>
  <c r="E5334" i="1"/>
  <c r="F5334" i="1"/>
  <c r="G5334" i="1" s="1"/>
  <c r="A5335" i="1"/>
  <c r="B5335" i="1" s="1"/>
  <c r="C5335" i="1"/>
  <c r="D5335" i="1"/>
  <c r="E5335" i="1"/>
  <c r="F5335" i="1"/>
  <c r="G5335" i="1" s="1"/>
  <c r="A5336" i="1"/>
  <c r="B5336" i="1" s="1"/>
  <c r="C5336" i="1"/>
  <c r="D5336" i="1"/>
  <c r="E5336" i="1"/>
  <c r="F5336" i="1"/>
  <c r="G5336" i="1" s="1"/>
  <c r="A5337" i="1"/>
  <c r="B5337" i="1" s="1"/>
  <c r="C5337" i="1"/>
  <c r="D5337" i="1"/>
  <c r="E5337" i="1"/>
  <c r="F5337" i="1"/>
  <c r="G5337" i="1" s="1"/>
  <c r="A5338" i="1"/>
  <c r="B5338" i="1" s="1"/>
  <c r="C5338" i="1"/>
  <c r="D5338" i="1"/>
  <c r="E5338" i="1"/>
  <c r="F5338" i="1"/>
  <c r="G5338" i="1"/>
  <c r="A5339" i="1"/>
  <c r="B5339" i="1" s="1"/>
  <c r="C5339" i="1"/>
  <c r="D5339" i="1"/>
  <c r="E5339" i="1"/>
  <c r="F5339" i="1"/>
  <c r="G5339" i="1" s="1"/>
  <c r="A5340" i="1"/>
  <c r="B5340" i="1" s="1"/>
  <c r="C5340" i="1"/>
  <c r="D5340" i="1"/>
  <c r="E5340" i="1"/>
  <c r="F5340" i="1"/>
  <c r="G5340" i="1" s="1"/>
  <c r="A5341" i="1"/>
  <c r="B5341" i="1" s="1"/>
  <c r="C5341" i="1"/>
  <c r="D5341" i="1"/>
  <c r="E5341" i="1"/>
  <c r="F5341" i="1"/>
  <c r="G5341" i="1" s="1"/>
  <c r="A5342" i="1"/>
  <c r="B5342" i="1" s="1"/>
  <c r="C5342" i="1"/>
  <c r="D5342" i="1"/>
  <c r="E5342" i="1"/>
  <c r="F5342" i="1"/>
  <c r="G5342" i="1" s="1"/>
  <c r="A5343" i="1"/>
  <c r="B5343" i="1" s="1"/>
  <c r="C5343" i="1"/>
  <c r="D5343" i="1"/>
  <c r="E5343" i="1"/>
  <c r="F5343" i="1"/>
  <c r="G5343" i="1" s="1"/>
  <c r="A5344" i="1"/>
  <c r="B5344" i="1"/>
  <c r="C5344" i="1"/>
  <c r="D5344" i="1"/>
  <c r="E5344" i="1"/>
  <c r="F5344" i="1"/>
  <c r="G5344" i="1" s="1"/>
  <c r="A5345" i="1"/>
  <c r="B5345" i="1" s="1"/>
  <c r="C5345" i="1"/>
  <c r="D5345" i="1"/>
  <c r="E5345" i="1"/>
  <c r="F5345" i="1"/>
  <c r="G5345" i="1" s="1"/>
  <c r="A5346" i="1"/>
  <c r="B5346" i="1" s="1"/>
  <c r="C5346" i="1"/>
  <c r="D5346" i="1"/>
  <c r="E5346" i="1"/>
  <c r="F5346" i="1"/>
  <c r="G5346" i="1" s="1"/>
  <c r="A5347" i="1"/>
  <c r="B5347" i="1" s="1"/>
  <c r="C5347" i="1"/>
  <c r="D5347" i="1"/>
  <c r="E5347" i="1"/>
  <c r="F5347" i="1"/>
  <c r="G5347" i="1" s="1"/>
  <c r="A5348" i="1"/>
  <c r="B5348" i="1" s="1"/>
  <c r="C5348" i="1"/>
  <c r="D5348" i="1"/>
  <c r="E5348" i="1"/>
  <c r="F5348" i="1"/>
  <c r="G5348" i="1" s="1"/>
  <c r="A5349" i="1"/>
  <c r="B5349" i="1" s="1"/>
  <c r="C5349" i="1"/>
  <c r="D5349" i="1"/>
  <c r="E5349" i="1"/>
  <c r="F5349" i="1"/>
  <c r="G5349" i="1" s="1"/>
  <c r="A5350" i="1"/>
  <c r="B5350" i="1" s="1"/>
  <c r="C5350" i="1"/>
  <c r="D5350" i="1"/>
  <c r="E5350" i="1"/>
  <c r="F5350" i="1"/>
  <c r="G5350" i="1" s="1"/>
  <c r="A5351" i="1"/>
  <c r="B5351" i="1" s="1"/>
  <c r="C5351" i="1"/>
  <c r="D5351" i="1"/>
  <c r="E5351" i="1"/>
  <c r="F5351" i="1"/>
  <c r="G5351" i="1" s="1"/>
  <c r="A5352" i="1"/>
  <c r="B5352" i="1" s="1"/>
  <c r="C5352" i="1"/>
  <c r="D5352" i="1"/>
  <c r="E5352" i="1"/>
  <c r="F5352" i="1"/>
  <c r="G5352" i="1" s="1"/>
  <c r="A5353" i="1"/>
  <c r="B5353" i="1" s="1"/>
  <c r="C5353" i="1"/>
  <c r="D5353" i="1"/>
  <c r="E5353" i="1"/>
  <c r="F5353" i="1"/>
  <c r="G5353" i="1" s="1"/>
  <c r="A5354" i="1"/>
  <c r="B5354" i="1" s="1"/>
  <c r="C5354" i="1"/>
  <c r="D5354" i="1"/>
  <c r="E5354" i="1"/>
  <c r="F5354" i="1"/>
  <c r="G5354" i="1" s="1"/>
  <c r="A5355" i="1"/>
  <c r="B5355" i="1" s="1"/>
  <c r="C5355" i="1"/>
  <c r="D5355" i="1"/>
  <c r="E5355" i="1"/>
  <c r="F5355" i="1"/>
  <c r="G5355" i="1"/>
  <c r="A5356" i="1"/>
  <c r="B5356" i="1" s="1"/>
  <c r="C5356" i="1"/>
  <c r="D5356" i="1"/>
  <c r="E5356" i="1"/>
  <c r="F5356" i="1"/>
  <c r="G5356" i="1" s="1"/>
  <c r="A5357" i="1"/>
  <c r="B5357" i="1"/>
  <c r="C5357" i="1"/>
  <c r="D5357" i="1"/>
  <c r="E5357" i="1"/>
  <c r="F5357" i="1"/>
  <c r="G5357" i="1" s="1"/>
  <c r="A5358" i="1"/>
  <c r="B5358" i="1" s="1"/>
  <c r="C5358" i="1"/>
  <c r="D5358" i="1"/>
  <c r="E5358" i="1"/>
  <c r="F5358" i="1"/>
  <c r="G5358" i="1" s="1"/>
  <c r="A5359" i="1"/>
  <c r="B5359" i="1"/>
  <c r="C5359" i="1"/>
  <c r="D5359" i="1"/>
  <c r="E5359" i="1"/>
  <c r="F5359" i="1"/>
  <c r="G5359" i="1" s="1"/>
  <c r="A5360" i="1"/>
  <c r="B5360" i="1" s="1"/>
  <c r="C5360" i="1"/>
  <c r="D5360" i="1"/>
  <c r="E5360" i="1"/>
  <c r="F5360" i="1"/>
  <c r="G5360" i="1" s="1"/>
  <c r="A5361" i="1"/>
  <c r="B5361" i="1" s="1"/>
  <c r="C5361" i="1"/>
  <c r="D5361" i="1"/>
  <c r="E5361" i="1"/>
  <c r="F5361" i="1"/>
  <c r="G5361" i="1" s="1"/>
  <c r="A5362" i="1"/>
  <c r="B5362" i="1" s="1"/>
  <c r="C5362" i="1"/>
  <c r="D5362" i="1"/>
  <c r="E5362" i="1"/>
  <c r="F5362" i="1"/>
  <c r="G5362" i="1" s="1"/>
  <c r="A5363" i="1"/>
  <c r="B5363" i="1" s="1"/>
  <c r="C5363" i="1"/>
  <c r="D5363" i="1"/>
  <c r="E5363" i="1"/>
  <c r="F5363" i="1"/>
  <c r="G5363" i="1" s="1"/>
  <c r="A5364" i="1"/>
  <c r="B5364" i="1" s="1"/>
  <c r="C5364" i="1"/>
  <c r="D5364" i="1"/>
  <c r="E5364" i="1"/>
  <c r="F5364" i="1"/>
  <c r="G5364" i="1" s="1"/>
  <c r="A5365" i="1"/>
  <c r="B5365" i="1" s="1"/>
  <c r="C5365" i="1"/>
  <c r="D5365" i="1"/>
  <c r="E5365" i="1"/>
  <c r="F5365" i="1"/>
  <c r="G5365" i="1" s="1"/>
  <c r="A5366" i="1"/>
  <c r="B5366" i="1"/>
  <c r="C5366" i="1"/>
  <c r="D5366" i="1"/>
  <c r="E5366" i="1"/>
  <c r="F5366" i="1"/>
  <c r="G5366" i="1" s="1"/>
  <c r="A5367" i="1"/>
  <c r="B5367" i="1"/>
  <c r="C5367" i="1"/>
  <c r="D5367" i="1"/>
  <c r="E5367" i="1"/>
  <c r="F5367" i="1"/>
  <c r="G5367" i="1" s="1"/>
  <c r="A5368" i="1"/>
  <c r="B5368" i="1" s="1"/>
  <c r="C5368" i="1"/>
  <c r="D5368" i="1"/>
  <c r="E5368" i="1"/>
  <c r="F5368" i="1"/>
  <c r="G5368" i="1" s="1"/>
  <c r="A5369" i="1"/>
  <c r="B5369" i="1"/>
  <c r="C5369" i="1"/>
  <c r="D5369" i="1"/>
  <c r="E5369" i="1"/>
  <c r="F5369" i="1"/>
  <c r="G5369" i="1" s="1"/>
  <c r="A5370" i="1"/>
  <c r="B5370" i="1"/>
  <c r="C5370" i="1"/>
  <c r="D5370" i="1"/>
  <c r="E5370" i="1"/>
  <c r="F5370" i="1"/>
  <c r="G5370" i="1"/>
  <c r="A5371" i="1"/>
  <c r="B5371" i="1" s="1"/>
  <c r="C5371" i="1"/>
  <c r="D5371" i="1"/>
  <c r="E5371" i="1"/>
  <c r="F5371" i="1"/>
  <c r="G5371" i="1" s="1"/>
  <c r="A5372" i="1"/>
  <c r="B5372" i="1" s="1"/>
  <c r="C5372" i="1"/>
  <c r="D5372" i="1"/>
  <c r="E5372" i="1"/>
  <c r="F5372" i="1"/>
  <c r="G5372" i="1" s="1"/>
  <c r="A5373" i="1"/>
  <c r="B5373" i="1"/>
  <c r="C5373" i="1"/>
  <c r="D5373" i="1"/>
  <c r="E5373" i="1"/>
  <c r="F5373" i="1"/>
  <c r="G5373" i="1" s="1"/>
  <c r="A5374" i="1"/>
  <c r="B5374" i="1" s="1"/>
  <c r="C5374" i="1"/>
  <c r="D5374" i="1"/>
  <c r="E5374" i="1"/>
  <c r="F5374" i="1"/>
  <c r="G5374" i="1" s="1"/>
  <c r="A5375" i="1"/>
  <c r="B5375" i="1"/>
  <c r="C5375" i="1"/>
  <c r="D5375" i="1"/>
  <c r="E5375" i="1"/>
  <c r="F5375" i="1"/>
  <c r="G5375" i="1" s="1"/>
  <c r="A5376" i="1"/>
  <c r="B5376" i="1" s="1"/>
  <c r="C5376" i="1"/>
  <c r="D5376" i="1"/>
  <c r="E5376" i="1"/>
  <c r="F5376" i="1"/>
  <c r="G5376" i="1" s="1"/>
  <c r="A5377" i="1"/>
  <c r="B5377" i="1"/>
  <c r="C5377" i="1"/>
  <c r="D5377" i="1"/>
  <c r="E5377" i="1"/>
  <c r="F5377" i="1"/>
  <c r="G5377" i="1" s="1"/>
  <c r="A5378" i="1"/>
  <c r="B5378" i="1"/>
  <c r="C5378" i="1"/>
  <c r="D5378" i="1"/>
  <c r="E5378" i="1"/>
  <c r="F5378" i="1"/>
  <c r="G5378" i="1" s="1"/>
  <c r="A5379" i="1"/>
  <c r="B5379" i="1"/>
  <c r="C5379" i="1"/>
  <c r="D5379" i="1"/>
  <c r="E5379" i="1"/>
  <c r="F5379" i="1"/>
  <c r="G5379" i="1" s="1"/>
  <c r="A5380" i="1"/>
  <c r="B5380" i="1" s="1"/>
  <c r="C5380" i="1"/>
  <c r="D5380" i="1"/>
  <c r="E5380" i="1"/>
  <c r="F5380" i="1"/>
  <c r="G5380" i="1" s="1"/>
  <c r="A5381" i="1"/>
  <c r="B5381" i="1" s="1"/>
  <c r="C5381" i="1"/>
  <c r="D5381" i="1"/>
  <c r="E5381" i="1"/>
  <c r="F5381" i="1"/>
  <c r="G5381" i="1" s="1"/>
  <c r="A5382" i="1"/>
  <c r="B5382" i="1" s="1"/>
  <c r="C5382" i="1"/>
  <c r="D5382" i="1"/>
  <c r="E5382" i="1"/>
  <c r="F5382" i="1"/>
  <c r="G5382" i="1" s="1"/>
  <c r="A5383" i="1"/>
  <c r="B5383" i="1" s="1"/>
  <c r="C5383" i="1"/>
  <c r="D5383" i="1"/>
  <c r="E5383" i="1"/>
  <c r="F5383" i="1"/>
  <c r="G5383" i="1"/>
  <c r="A5384" i="1"/>
  <c r="B5384" i="1" s="1"/>
  <c r="C5384" i="1"/>
  <c r="D5384" i="1"/>
  <c r="E5384" i="1"/>
  <c r="F5384" i="1"/>
  <c r="G5384" i="1" s="1"/>
  <c r="A5385" i="1"/>
  <c r="B5385" i="1" s="1"/>
  <c r="C5385" i="1"/>
  <c r="D5385" i="1"/>
  <c r="E5385" i="1"/>
  <c r="F5385" i="1"/>
  <c r="G5385" i="1" s="1"/>
  <c r="A5386" i="1"/>
  <c r="B5386" i="1" s="1"/>
  <c r="C5386" i="1"/>
  <c r="D5386" i="1"/>
  <c r="E5386" i="1"/>
  <c r="F5386" i="1"/>
  <c r="G5386" i="1" s="1"/>
  <c r="A5387" i="1"/>
  <c r="B5387" i="1" s="1"/>
  <c r="C5387" i="1"/>
  <c r="D5387" i="1"/>
  <c r="E5387" i="1"/>
  <c r="F5387" i="1"/>
  <c r="G5387" i="1" s="1"/>
  <c r="A5388" i="1"/>
  <c r="B5388" i="1" s="1"/>
  <c r="C5388" i="1"/>
  <c r="D5388" i="1"/>
  <c r="E5388" i="1"/>
  <c r="F5388" i="1"/>
  <c r="G5388" i="1"/>
  <c r="A5389" i="1"/>
  <c r="B5389" i="1" s="1"/>
  <c r="C5389" i="1"/>
  <c r="D5389" i="1"/>
  <c r="E5389" i="1"/>
  <c r="F5389" i="1"/>
  <c r="G5389" i="1" s="1"/>
  <c r="A5390" i="1"/>
  <c r="B5390" i="1" s="1"/>
  <c r="C5390" i="1"/>
  <c r="D5390" i="1"/>
  <c r="E5390" i="1"/>
  <c r="F5390" i="1"/>
  <c r="G5390" i="1" s="1"/>
  <c r="A5391" i="1"/>
  <c r="B5391" i="1"/>
  <c r="C5391" i="1"/>
  <c r="D5391" i="1"/>
  <c r="E5391" i="1"/>
  <c r="F5391" i="1"/>
  <c r="G5391" i="1" s="1"/>
  <c r="A5392" i="1"/>
  <c r="B5392" i="1" s="1"/>
  <c r="C5392" i="1"/>
  <c r="D5392" i="1"/>
  <c r="E5392" i="1"/>
  <c r="F5392" i="1"/>
  <c r="G5392" i="1" s="1"/>
  <c r="A5393" i="1"/>
  <c r="B5393" i="1"/>
  <c r="C5393" i="1"/>
  <c r="D5393" i="1"/>
  <c r="E5393" i="1"/>
  <c r="F5393" i="1"/>
  <c r="G5393" i="1" s="1"/>
  <c r="A5394" i="1"/>
  <c r="B5394" i="1" s="1"/>
  <c r="C5394" i="1"/>
  <c r="D5394" i="1"/>
  <c r="E5394" i="1"/>
  <c r="F5394" i="1"/>
  <c r="G5394" i="1" s="1"/>
  <c r="A5395" i="1"/>
  <c r="B5395" i="1" s="1"/>
  <c r="C5395" i="1"/>
  <c r="D5395" i="1"/>
  <c r="E5395" i="1"/>
  <c r="F5395" i="1"/>
  <c r="G5395" i="1" s="1"/>
  <c r="A5396" i="1"/>
  <c r="B5396" i="1" s="1"/>
  <c r="C5396" i="1"/>
  <c r="D5396" i="1"/>
  <c r="E5396" i="1"/>
  <c r="F5396" i="1"/>
  <c r="G5396" i="1" s="1"/>
  <c r="A5397" i="1"/>
  <c r="B5397" i="1"/>
  <c r="C5397" i="1"/>
  <c r="D5397" i="1"/>
  <c r="E5397" i="1"/>
  <c r="F5397" i="1"/>
  <c r="G5397" i="1" s="1"/>
  <c r="A5398" i="1"/>
  <c r="B5398" i="1" s="1"/>
  <c r="C5398" i="1"/>
  <c r="D5398" i="1"/>
  <c r="E5398" i="1"/>
  <c r="F5398" i="1"/>
  <c r="G5398" i="1" s="1"/>
  <c r="A5399" i="1"/>
  <c r="B5399" i="1"/>
  <c r="C5399" i="1"/>
  <c r="D5399" i="1"/>
  <c r="E5399" i="1"/>
  <c r="F5399" i="1"/>
  <c r="G5399" i="1" s="1"/>
  <c r="A5400" i="1"/>
  <c r="B5400" i="1" s="1"/>
  <c r="C5400" i="1"/>
  <c r="D5400" i="1"/>
  <c r="E5400" i="1"/>
  <c r="F5400" i="1"/>
  <c r="G5400" i="1" s="1"/>
  <c r="A5401" i="1"/>
  <c r="B5401" i="1" s="1"/>
  <c r="C5401" i="1"/>
  <c r="D5401" i="1"/>
  <c r="E5401" i="1"/>
  <c r="F5401" i="1"/>
  <c r="G5401" i="1" s="1"/>
  <c r="A5402" i="1"/>
  <c r="B5402" i="1" s="1"/>
  <c r="C5402" i="1"/>
  <c r="D5402" i="1"/>
  <c r="E5402" i="1"/>
  <c r="F5402" i="1"/>
  <c r="G5402" i="1" s="1"/>
  <c r="A5403" i="1"/>
  <c r="B5403" i="1" s="1"/>
  <c r="C5403" i="1"/>
  <c r="D5403" i="1"/>
  <c r="E5403" i="1"/>
  <c r="F5403" i="1"/>
  <c r="G5403" i="1" s="1"/>
  <c r="A5404" i="1"/>
  <c r="B5404" i="1" s="1"/>
  <c r="C5404" i="1"/>
  <c r="D5404" i="1"/>
  <c r="E5404" i="1"/>
  <c r="F5404" i="1"/>
  <c r="G5404" i="1" s="1"/>
  <c r="A5405" i="1"/>
  <c r="B5405" i="1" s="1"/>
  <c r="C5405" i="1"/>
  <c r="D5405" i="1"/>
  <c r="E5405" i="1"/>
  <c r="F5405" i="1"/>
  <c r="G5405" i="1" s="1"/>
  <c r="A5406" i="1"/>
  <c r="B5406" i="1" s="1"/>
  <c r="C5406" i="1"/>
  <c r="D5406" i="1"/>
  <c r="E5406" i="1"/>
  <c r="F5406" i="1"/>
  <c r="G5406" i="1"/>
  <c r="A5407" i="1"/>
  <c r="B5407" i="1" s="1"/>
  <c r="C5407" i="1"/>
  <c r="D5407" i="1"/>
  <c r="E5407" i="1"/>
  <c r="F5407" i="1"/>
  <c r="G5407" i="1" s="1"/>
  <c r="A5408" i="1"/>
  <c r="B5408" i="1" s="1"/>
  <c r="C5408" i="1"/>
  <c r="D5408" i="1"/>
  <c r="E5408" i="1"/>
  <c r="F5408" i="1"/>
  <c r="G5408" i="1" s="1"/>
  <c r="A5409" i="1"/>
  <c r="B5409" i="1" s="1"/>
  <c r="C5409" i="1"/>
  <c r="D5409" i="1"/>
  <c r="E5409" i="1"/>
  <c r="F5409" i="1"/>
  <c r="G5409" i="1" s="1"/>
  <c r="A5410" i="1"/>
  <c r="B5410" i="1" s="1"/>
  <c r="C5410" i="1"/>
  <c r="D5410" i="1"/>
  <c r="E5410" i="1"/>
  <c r="F5410" i="1"/>
  <c r="G5410" i="1" s="1"/>
  <c r="A5411" i="1"/>
  <c r="B5411" i="1" s="1"/>
  <c r="C5411" i="1"/>
  <c r="D5411" i="1"/>
  <c r="E5411" i="1"/>
  <c r="F5411" i="1"/>
  <c r="G5411" i="1" s="1"/>
  <c r="A5412" i="1"/>
  <c r="B5412" i="1" s="1"/>
  <c r="C5412" i="1"/>
  <c r="D5412" i="1"/>
  <c r="E5412" i="1"/>
  <c r="F5412" i="1"/>
  <c r="G5412" i="1"/>
  <c r="A5413" i="1"/>
  <c r="B5413" i="1" s="1"/>
  <c r="C5413" i="1"/>
  <c r="D5413" i="1"/>
  <c r="E5413" i="1"/>
  <c r="F5413" i="1"/>
  <c r="G5413" i="1" s="1"/>
  <c r="A5414" i="1"/>
  <c r="B5414" i="1" s="1"/>
  <c r="C5414" i="1"/>
  <c r="D5414" i="1"/>
  <c r="E5414" i="1"/>
  <c r="F5414" i="1"/>
  <c r="G5414" i="1" s="1"/>
  <c r="A5415" i="1"/>
  <c r="B5415" i="1"/>
  <c r="C5415" i="1"/>
  <c r="D5415" i="1"/>
  <c r="E5415" i="1"/>
  <c r="F5415" i="1"/>
  <c r="G5415" i="1" s="1"/>
  <c r="A5416" i="1"/>
  <c r="B5416" i="1" s="1"/>
  <c r="C5416" i="1"/>
  <c r="D5416" i="1"/>
  <c r="E5416" i="1"/>
  <c r="F5416" i="1"/>
  <c r="G5416" i="1" s="1"/>
  <c r="A5417" i="1"/>
  <c r="B5417" i="1" s="1"/>
  <c r="C5417" i="1"/>
  <c r="D5417" i="1"/>
  <c r="E5417" i="1"/>
  <c r="F5417" i="1"/>
  <c r="G5417" i="1" s="1"/>
  <c r="A5418" i="1"/>
  <c r="B5418" i="1" s="1"/>
  <c r="C5418" i="1"/>
  <c r="D5418" i="1"/>
  <c r="E5418" i="1"/>
  <c r="F5418" i="1"/>
  <c r="G5418" i="1" s="1"/>
  <c r="A5419" i="1"/>
  <c r="B5419" i="1" s="1"/>
  <c r="C5419" i="1"/>
  <c r="D5419" i="1"/>
  <c r="E5419" i="1"/>
  <c r="F5419" i="1"/>
  <c r="G5419" i="1"/>
  <c r="A5420" i="1"/>
  <c r="B5420" i="1" s="1"/>
  <c r="C5420" i="1"/>
  <c r="D5420" i="1"/>
  <c r="E5420" i="1"/>
  <c r="F5420" i="1"/>
  <c r="G5420" i="1" s="1"/>
  <c r="A5421" i="1"/>
  <c r="B5421" i="1" s="1"/>
  <c r="C5421" i="1"/>
  <c r="D5421" i="1"/>
  <c r="E5421" i="1"/>
  <c r="F5421" i="1"/>
  <c r="G5421" i="1" s="1"/>
  <c r="A5422" i="1"/>
  <c r="B5422" i="1" s="1"/>
  <c r="C5422" i="1"/>
  <c r="D5422" i="1"/>
  <c r="E5422" i="1"/>
  <c r="F5422" i="1"/>
  <c r="G5422" i="1" s="1"/>
  <c r="A5423" i="1"/>
  <c r="B5423" i="1" s="1"/>
  <c r="C5423" i="1"/>
  <c r="D5423" i="1"/>
  <c r="E5423" i="1"/>
  <c r="F5423" i="1"/>
  <c r="G5423" i="1" s="1"/>
  <c r="A5424" i="1"/>
  <c r="B5424" i="1" s="1"/>
  <c r="C5424" i="1"/>
  <c r="D5424" i="1"/>
  <c r="E5424" i="1"/>
  <c r="F5424" i="1"/>
  <c r="G5424" i="1" s="1"/>
  <c r="A5425" i="1"/>
  <c r="B5425" i="1" s="1"/>
  <c r="C5425" i="1"/>
  <c r="D5425" i="1"/>
  <c r="E5425" i="1"/>
  <c r="F5425" i="1"/>
  <c r="G5425" i="1" s="1"/>
  <c r="A5426" i="1"/>
  <c r="B5426" i="1" s="1"/>
  <c r="C5426" i="1"/>
  <c r="D5426" i="1"/>
  <c r="E5426" i="1"/>
  <c r="F5426" i="1"/>
  <c r="G5426" i="1" s="1"/>
  <c r="A5427" i="1"/>
  <c r="B5427" i="1" s="1"/>
  <c r="C5427" i="1"/>
  <c r="D5427" i="1"/>
  <c r="E5427" i="1"/>
  <c r="F5427" i="1"/>
  <c r="G5427" i="1" s="1"/>
  <c r="A5428" i="1"/>
  <c r="B5428" i="1" s="1"/>
  <c r="C5428" i="1"/>
  <c r="D5428" i="1"/>
  <c r="E5428" i="1"/>
  <c r="F5428" i="1"/>
  <c r="G5428" i="1" s="1"/>
  <c r="A5429" i="1"/>
  <c r="B5429" i="1" s="1"/>
  <c r="C5429" i="1"/>
  <c r="D5429" i="1"/>
  <c r="E5429" i="1"/>
  <c r="F5429" i="1"/>
  <c r="G5429" i="1" s="1"/>
  <c r="A5430" i="1"/>
  <c r="B5430" i="1" s="1"/>
  <c r="C5430" i="1"/>
  <c r="D5430" i="1"/>
  <c r="E5430" i="1"/>
  <c r="F5430" i="1"/>
  <c r="G5430" i="1" s="1"/>
  <c r="A5431" i="1"/>
  <c r="B5431" i="1" s="1"/>
  <c r="C5431" i="1"/>
  <c r="D5431" i="1"/>
  <c r="E5431" i="1"/>
  <c r="F5431" i="1"/>
  <c r="G5431" i="1" s="1"/>
  <c r="A5432" i="1"/>
  <c r="B5432" i="1" s="1"/>
  <c r="C5432" i="1"/>
  <c r="D5432" i="1"/>
  <c r="E5432" i="1"/>
  <c r="F5432" i="1"/>
  <c r="G5432" i="1" s="1"/>
  <c r="A5433" i="1"/>
  <c r="B5433" i="1" s="1"/>
  <c r="C5433" i="1"/>
  <c r="D5433" i="1"/>
  <c r="E5433" i="1"/>
  <c r="F5433" i="1"/>
  <c r="G5433" i="1" s="1"/>
  <c r="A5434" i="1"/>
  <c r="B5434" i="1" s="1"/>
  <c r="C5434" i="1"/>
  <c r="D5434" i="1"/>
  <c r="E5434" i="1"/>
  <c r="F5434" i="1"/>
  <c r="G5434" i="1" s="1"/>
  <c r="A5435" i="1"/>
  <c r="B5435" i="1" s="1"/>
  <c r="C5435" i="1"/>
  <c r="D5435" i="1"/>
  <c r="E5435" i="1"/>
  <c r="F5435" i="1"/>
  <c r="G5435" i="1" s="1"/>
  <c r="A5436" i="1"/>
  <c r="B5436" i="1" s="1"/>
  <c r="C5436" i="1"/>
  <c r="D5436" i="1"/>
  <c r="E5436" i="1"/>
  <c r="F5436" i="1"/>
  <c r="G5436" i="1" s="1"/>
  <c r="A5437" i="1"/>
  <c r="B5437" i="1" s="1"/>
  <c r="C5437" i="1"/>
  <c r="D5437" i="1"/>
  <c r="E5437" i="1"/>
  <c r="F5437" i="1"/>
  <c r="G5437" i="1" s="1"/>
  <c r="A5438" i="1"/>
  <c r="B5438" i="1" s="1"/>
  <c r="C5438" i="1"/>
  <c r="D5438" i="1"/>
  <c r="E5438" i="1"/>
  <c r="F5438" i="1"/>
  <c r="G5438" i="1" s="1"/>
  <c r="A5439" i="1"/>
  <c r="B5439" i="1" s="1"/>
  <c r="C5439" i="1"/>
  <c r="D5439" i="1"/>
  <c r="E5439" i="1"/>
  <c r="F5439" i="1"/>
  <c r="G5439" i="1" s="1"/>
  <c r="A5440" i="1"/>
  <c r="B5440" i="1" s="1"/>
  <c r="C5440" i="1"/>
  <c r="D5440" i="1"/>
  <c r="E5440" i="1"/>
  <c r="F5440" i="1"/>
  <c r="G5440" i="1" s="1"/>
  <c r="A5441" i="1"/>
  <c r="B5441" i="1" s="1"/>
  <c r="C5441" i="1"/>
  <c r="D5441" i="1"/>
  <c r="E5441" i="1"/>
  <c r="F5441" i="1"/>
  <c r="G5441" i="1" s="1"/>
  <c r="A5442" i="1"/>
  <c r="B5442" i="1" s="1"/>
  <c r="C5442" i="1"/>
  <c r="D5442" i="1"/>
  <c r="E5442" i="1"/>
  <c r="F5442" i="1"/>
  <c r="G5442" i="1"/>
  <c r="A5443" i="1"/>
  <c r="B5443" i="1" s="1"/>
  <c r="C5443" i="1"/>
  <c r="D5443" i="1"/>
  <c r="E5443" i="1"/>
  <c r="F5443" i="1"/>
  <c r="G5443" i="1"/>
  <c r="A5444" i="1"/>
  <c r="B5444" i="1" s="1"/>
  <c r="C5444" i="1"/>
  <c r="D5444" i="1"/>
  <c r="E5444" i="1"/>
  <c r="F5444" i="1"/>
  <c r="G5444" i="1" s="1"/>
  <c r="A5445" i="1"/>
  <c r="B5445" i="1" s="1"/>
  <c r="C5445" i="1"/>
  <c r="D5445" i="1"/>
  <c r="E5445" i="1"/>
  <c r="F5445" i="1"/>
  <c r="G5445" i="1" s="1"/>
  <c r="A5446" i="1"/>
  <c r="B5446" i="1" s="1"/>
  <c r="C5446" i="1"/>
  <c r="D5446" i="1"/>
  <c r="E5446" i="1"/>
  <c r="F5446" i="1"/>
  <c r="G5446" i="1" s="1"/>
  <c r="A5447" i="1"/>
  <c r="B5447" i="1"/>
  <c r="C5447" i="1"/>
  <c r="D5447" i="1"/>
  <c r="E5447" i="1"/>
  <c r="F5447" i="1"/>
  <c r="G5447" i="1" s="1"/>
  <c r="A5448" i="1"/>
  <c r="B5448" i="1" s="1"/>
  <c r="C5448" i="1"/>
  <c r="D5448" i="1"/>
  <c r="E5448" i="1"/>
  <c r="F5448" i="1"/>
  <c r="G5448" i="1" s="1"/>
  <c r="A5449" i="1"/>
  <c r="B5449" i="1"/>
  <c r="C5449" i="1"/>
  <c r="D5449" i="1"/>
  <c r="E5449" i="1"/>
  <c r="F5449" i="1"/>
  <c r="G5449" i="1" s="1"/>
  <c r="A5450" i="1"/>
  <c r="B5450" i="1"/>
  <c r="C5450" i="1"/>
  <c r="D5450" i="1"/>
  <c r="E5450" i="1"/>
  <c r="F5450" i="1"/>
  <c r="G5450" i="1" s="1"/>
  <c r="A5451" i="1"/>
  <c r="B5451" i="1"/>
  <c r="C5451" i="1"/>
  <c r="D5451" i="1"/>
  <c r="E5451" i="1"/>
  <c r="F5451" i="1"/>
  <c r="G5451" i="1"/>
  <c r="A5452" i="1"/>
  <c r="B5452" i="1" s="1"/>
  <c r="C5452" i="1"/>
  <c r="D5452" i="1"/>
  <c r="E5452" i="1"/>
  <c r="F5452" i="1"/>
  <c r="G5452" i="1" s="1"/>
  <c r="A5453" i="1"/>
  <c r="B5453" i="1" s="1"/>
  <c r="C5453" i="1"/>
  <c r="D5453" i="1"/>
  <c r="E5453" i="1"/>
  <c r="F5453" i="1"/>
  <c r="G5453" i="1" s="1"/>
  <c r="A5454" i="1"/>
  <c r="B5454" i="1" s="1"/>
  <c r="C5454" i="1"/>
  <c r="D5454" i="1"/>
  <c r="E5454" i="1"/>
  <c r="F5454" i="1"/>
  <c r="G5454" i="1" s="1"/>
  <c r="A5455" i="1"/>
  <c r="B5455" i="1" s="1"/>
  <c r="C5455" i="1"/>
  <c r="D5455" i="1"/>
  <c r="E5455" i="1"/>
  <c r="F5455" i="1"/>
  <c r="G5455" i="1" s="1"/>
  <c r="A5456" i="1"/>
  <c r="B5456" i="1" s="1"/>
  <c r="C5456" i="1"/>
  <c r="D5456" i="1"/>
  <c r="E5456" i="1"/>
  <c r="F5456" i="1"/>
  <c r="G5456" i="1" s="1"/>
  <c r="A5457" i="1"/>
  <c r="B5457" i="1" s="1"/>
  <c r="C5457" i="1"/>
  <c r="D5457" i="1"/>
  <c r="E5457" i="1"/>
  <c r="F5457" i="1"/>
  <c r="G5457" i="1" s="1"/>
  <c r="A5458" i="1"/>
  <c r="B5458" i="1" s="1"/>
  <c r="C5458" i="1"/>
  <c r="D5458" i="1"/>
  <c r="E5458" i="1"/>
  <c r="F5458" i="1"/>
  <c r="G5458" i="1" s="1"/>
  <c r="A5459" i="1"/>
  <c r="B5459" i="1" s="1"/>
  <c r="C5459" i="1"/>
  <c r="D5459" i="1"/>
  <c r="E5459" i="1"/>
  <c r="F5459" i="1"/>
  <c r="G5459" i="1" s="1"/>
  <c r="A5460" i="1"/>
  <c r="B5460" i="1" s="1"/>
  <c r="C5460" i="1"/>
  <c r="D5460" i="1"/>
  <c r="E5460" i="1"/>
  <c r="F5460" i="1"/>
  <c r="G5460" i="1" s="1"/>
  <c r="A5461" i="1"/>
  <c r="B5461" i="1" s="1"/>
  <c r="C5461" i="1"/>
  <c r="D5461" i="1"/>
  <c r="E5461" i="1"/>
  <c r="F5461" i="1"/>
  <c r="G5461" i="1" s="1"/>
  <c r="A5462" i="1"/>
  <c r="B5462" i="1" s="1"/>
  <c r="C5462" i="1"/>
  <c r="D5462" i="1"/>
  <c r="E5462" i="1"/>
  <c r="F5462" i="1"/>
  <c r="G5462" i="1" s="1"/>
  <c r="A5463" i="1"/>
  <c r="B5463" i="1" s="1"/>
  <c r="C5463" i="1"/>
  <c r="D5463" i="1"/>
  <c r="E5463" i="1"/>
  <c r="F5463" i="1"/>
  <c r="G5463" i="1" s="1"/>
  <c r="A5464" i="1"/>
  <c r="B5464" i="1" s="1"/>
  <c r="C5464" i="1"/>
  <c r="D5464" i="1"/>
  <c r="E5464" i="1"/>
  <c r="F5464" i="1"/>
  <c r="G5464" i="1" s="1"/>
  <c r="A5465" i="1"/>
  <c r="B5465" i="1" s="1"/>
  <c r="C5465" i="1"/>
  <c r="D5465" i="1"/>
  <c r="E5465" i="1"/>
  <c r="F5465" i="1"/>
  <c r="G5465" i="1" s="1"/>
  <c r="A5466" i="1"/>
  <c r="B5466" i="1" s="1"/>
  <c r="C5466" i="1"/>
  <c r="D5466" i="1"/>
  <c r="E5466" i="1"/>
  <c r="F5466" i="1"/>
  <c r="G5466" i="1" s="1"/>
  <c r="A5467" i="1"/>
  <c r="B5467" i="1" s="1"/>
  <c r="C5467" i="1"/>
  <c r="D5467" i="1"/>
  <c r="E5467" i="1"/>
  <c r="F5467" i="1"/>
  <c r="G5467" i="1" s="1"/>
  <c r="A5468" i="1"/>
  <c r="B5468" i="1" s="1"/>
  <c r="C5468" i="1"/>
  <c r="D5468" i="1"/>
  <c r="E5468" i="1"/>
  <c r="F5468" i="1"/>
  <c r="G5468" i="1" s="1"/>
  <c r="A5469" i="1"/>
  <c r="B5469" i="1"/>
  <c r="C5469" i="1"/>
  <c r="D5469" i="1"/>
  <c r="E5469" i="1"/>
  <c r="F5469" i="1"/>
  <c r="G5469" i="1" s="1"/>
  <c r="A5470" i="1"/>
  <c r="B5470" i="1" s="1"/>
  <c r="C5470" i="1"/>
  <c r="D5470" i="1"/>
  <c r="E5470" i="1"/>
  <c r="F5470" i="1"/>
  <c r="G5470" i="1" s="1"/>
  <c r="A5471" i="1"/>
  <c r="B5471" i="1"/>
  <c r="C5471" i="1"/>
  <c r="D5471" i="1"/>
  <c r="E5471" i="1"/>
  <c r="F5471" i="1"/>
  <c r="G5471" i="1" s="1"/>
  <c r="A5472" i="1"/>
  <c r="B5472" i="1" s="1"/>
  <c r="C5472" i="1"/>
  <c r="D5472" i="1"/>
  <c r="E5472" i="1"/>
  <c r="F5472" i="1"/>
  <c r="G5472" i="1" s="1"/>
  <c r="A5473" i="1"/>
  <c r="B5473" i="1"/>
  <c r="C5473" i="1"/>
  <c r="D5473" i="1"/>
  <c r="E5473" i="1"/>
  <c r="F5473" i="1"/>
  <c r="G5473" i="1" s="1"/>
  <c r="A5474" i="1"/>
  <c r="B5474" i="1" s="1"/>
  <c r="C5474" i="1"/>
  <c r="D5474" i="1"/>
  <c r="E5474" i="1"/>
  <c r="F5474" i="1"/>
  <c r="G5474" i="1" s="1"/>
  <c r="A5475" i="1"/>
  <c r="B5475" i="1"/>
  <c r="C5475" i="1"/>
  <c r="D5475" i="1"/>
  <c r="E5475" i="1"/>
  <c r="F5475" i="1"/>
  <c r="G5475" i="1" s="1"/>
  <c r="A5476" i="1"/>
  <c r="B5476" i="1" s="1"/>
  <c r="C5476" i="1"/>
  <c r="D5476" i="1"/>
  <c r="E5476" i="1"/>
  <c r="F5476" i="1"/>
  <c r="G5476" i="1" s="1"/>
  <c r="A5477" i="1"/>
  <c r="B5477" i="1"/>
  <c r="C5477" i="1"/>
  <c r="D5477" i="1"/>
  <c r="E5477" i="1"/>
  <c r="F5477" i="1"/>
  <c r="G5477" i="1" s="1"/>
  <c r="A5478" i="1"/>
  <c r="B5478" i="1"/>
  <c r="C5478" i="1"/>
  <c r="D5478" i="1"/>
  <c r="E5478" i="1"/>
  <c r="F5478" i="1"/>
  <c r="G5478" i="1" s="1"/>
  <c r="A5479" i="1"/>
  <c r="B5479" i="1" s="1"/>
  <c r="C5479" i="1"/>
  <c r="D5479" i="1"/>
  <c r="E5479" i="1"/>
  <c r="F5479" i="1"/>
  <c r="G5479" i="1" s="1"/>
  <c r="A5480" i="1"/>
  <c r="B5480" i="1" s="1"/>
  <c r="C5480" i="1"/>
  <c r="D5480" i="1"/>
  <c r="E5480" i="1"/>
  <c r="F5480" i="1"/>
  <c r="G5480" i="1" s="1"/>
  <c r="A5481" i="1"/>
  <c r="B5481" i="1"/>
  <c r="C5481" i="1"/>
  <c r="D5481" i="1"/>
  <c r="E5481" i="1"/>
  <c r="F5481" i="1"/>
  <c r="G5481" i="1" s="1"/>
  <c r="A5482" i="1"/>
  <c r="B5482" i="1" s="1"/>
  <c r="C5482" i="1"/>
  <c r="D5482" i="1"/>
  <c r="E5482" i="1"/>
  <c r="F5482" i="1"/>
  <c r="G5482" i="1" s="1"/>
  <c r="A5483" i="1"/>
  <c r="B5483" i="1"/>
  <c r="C5483" i="1"/>
  <c r="D5483" i="1"/>
  <c r="E5483" i="1"/>
  <c r="F5483" i="1"/>
  <c r="G5483" i="1" s="1"/>
  <c r="A5484" i="1"/>
  <c r="B5484" i="1" s="1"/>
  <c r="C5484" i="1"/>
  <c r="D5484" i="1"/>
  <c r="E5484" i="1"/>
  <c r="F5484" i="1"/>
  <c r="G5484" i="1" s="1"/>
  <c r="A5485" i="1"/>
  <c r="B5485" i="1"/>
  <c r="C5485" i="1"/>
  <c r="D5485" i="1"/>
  <c r="E5485" i="1"/>
  <c r="F5485" i="1"/>
  <c r="G5485" i="1" s="1"/>
  <c r="A5486" i="1"/>
  <c r="B5486" i="1"/>
  <c r="C5486" i="1"/>
  <c r="D5486" i="1"/>
  <c r="E5486" i="1"/>
  <c r="F5486" i="1"/>
  <c r="G5486" i="1"/>
  <c r="A5487" i="1"/>
  <c r="B5487" i="1"/>
  <c r="C5487" i="1"/>
  <c r="D5487" i="1"/>
  <c r="E5487" i="1"/>
  <c r="F5487" i="1"/>
  <c r="G5487" i="1" s="1"/>
  <c r="A5488" i="1"/>
  <c r="B5488" i="1" s="1"/>
  <c r="C5488" i="1"/>
  <c r="D5488" i="1"/>
  <c r="E5488" i="1"/>
  <c r="F5488" i="1"/>
  <c r="G5488" i="1"/>
  <c r="A5489" i="1"/>
  <c r="B5489" i="1" s="1"/>
  <c r="C5489" i="1"/>
  <c r="D5489" i="1"/>
  <c r="E5489" i="1"/>
  <c r="F5489" i="1"/>
  <c r="G5489" i="1" s="1"/>
  <c r="A5490" i="1"/>
  <c r="B5490" i="1" s="1"/>
  <c r="C5490" i="1"/>
  <c r="D5490" i="1"/>
  <c r="E5490" i="1"/>
  <c r="F5490" i="1"/>
  <c r="G5490" i="1" s="1"/>
  <c r="A5491" i="1"/>
  <c r="B5491" i="1" s="1"/>
  <c r="C5491" i="1"/>
  <c r="D5491" i="1"/>
  <c r="E5491" i="1"/>
  <c r="F5491" i="1"/>
  <c r="G5491" i="1" s="1"/>
  <c r="A5492" i="1"/>
  <c r="B5492" i="1" s="1"/>
  <c r="C5492" i="1"/>
  <c r="D5492" i="1"/>
  <c r="E5492" i="1"/>
  <c r="F5492" i="1"/>
  <c r="G5492" i="1" s="1"/>
  <c r="A5493" i="1"/>
  <c r="B5493" i="1" s="1"/>
  <c r="C5493" i="1"/>
  <c r="D5493" i="1"/>
  <c r="E5493" i="1"/>
  <c r="F5493" i="1"/>
  <c r="G5493" i="1" s="1"/>
  <c r="A5494" i="1"/>
  <c r="B5494" i="1" s="1"/>
  <c r="C5494" i="1"/>
  <c r="D5494" i="1"/>
  <c r="E5494" i="1"/>
  <c r="F5494" i="1"/>
  <c r="G5494" i="1" s="1"/>
  <c r="A5495" i="1"/>
  <c r="B5495" i="1" s="1"/>
  <c r="C5495" i="1"/>
  <c r="D5495" i="1"/>
  <c r="E5495" i="1"/>
  <c r="F5495" i="1"/>
  <c r="G5495" i="1" s="1"/>
  <c r="A5496" i="1"/>
  <c r="B5496" i="1" s="1"/>
  <c r="C5496" i="1"/>
  <c r="D5496" i="1"/>
  <c r="E5496" i="1"/>
  <c r="F5496" i="1"/>
  <c r="G5496" i="1"/>
  <c r="A5497" i="1"/>
  <c r="B5497" i="1" s="1"/>
  <c r="C5497" i="1"/>
  <c r="D5497" i="1"/>
  <c r="E5497" i="1"/>
  <c r="F5497" i="1"/>
  <c r="G5497" i="1" s="1"/>
  <c r="A5498" i="1"/>
  <c r="B5498" i="1" s="1"/>
  <c r="C5498" i="1"/>
  <c r="D5498" i="1"/>
  <c r="E5498" i="1"/>
  <c r="F5498" i="1"/>
  <c r="G5498" i="1" s="1"/>
  <c r="A5499" i="1"/>
  <c r="B5499" i="1" s="1"/>
  <c r="C5499" i="1"/>
  <c r="D5499" i="1"/>
  <c r="E5499" i="1"/>
  <c r="F5499" i="1"/>
  <c r="G5499" i="1" s="1"/>
  <c r="A5500" i="1"/>
  <c r="B5500" i="1" s="1"/>
  <c r="C5500" i="1"/>
  <c r="D5500" i="1"/>
  <c r="E5500" i="1"/>
  <c r="F5500" i="1"/>
  <c r="G5500" i="1" s="1"/>
</calcChain>
</file>

<file path=xl/sharedStrings.xml><?xml version="1.0" encoding="utf-8"?>
<sst xmlns="http://schemas.openxmlformats.org/spreadsheetml/2006/main" count="7" uniqueCount="7">
  <si>
    <t>brand</t>
  </si>
  <si>
    <t>shoe_name</t>
  </si>
  <si>
    <t>date</t>
  </si>
  <si>
    <t>sales</t>
  </si>
  <si>
    <t>ad_cost</t>
  </si>
  <si>
    <t>impressions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</si>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</sst>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91C9-0A32-41B3-906D-57E75B7AD2FD}">
  <dimension ref="A1:G5538"/>
  <sheetViews>
    <sheetView tabSelected="1" zoomScale="75" zoomScaleNormal="74" workbookViewId="0">
      <selection activeCell="C3" sqref="C3"/>
    </sheetView>
  </sheetViews>
  <sheetFormatPr defaultRowHeight="14.4" x14ac:dyDescent="0.3"/>
  <cols>
    <col min="1" max="1" width="8.88671875" style="5"/>
    <col min="2" max="2" width="19.88671875" style="5" customWidth="1"/>
    <col min="3" max="3" width="12.21875" customWidth="1"/>
    <col min="4" max="4" width="12.88671875" customWidth="1"/>
    <col min="5" max="5" width="20.109375" customWidth="1"/>
    <col min="6" max="6" width="16.5546875" customWidth="1"/>
    <col min="7" max="7" width="14.77734375" customWidth="1"/>
  </cols>
  <sheetData>
    <row r="1" spans="1:7" s="2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 t="str">
        <f>CHOOSE(MOD(ROW(A1),5)+1,"Nike","Adidas","Puma","New Balance","Reebok")</f>
        <v>Adidas</v>
      </c>
      <c r="B2" s="5" t="str">
        <f>IF(A2="Nike",CHOOSE(MOD(ROW(A1),6)+1,"Air Max 270","Air Force 1","Pegasus 40","Vaporfly 3","Cortez","Jordan 1"),
 IF(A2="Adidas",CHOOSE(MOD(ROW(A1),6)+1,"Ultraboost 23","Stan Smith","Superstar","Gazelle","Samba","NMD S1"),
 IF(A2="Puma",CHOOSE(MOD(ROW(A1),6)+1,"Suede Classic","RS-X","Cali Dream","Rider Vintage","Slipstream","Mayze"),
 IF(A2="New Balance",CHOOSE(MOD(ROW(A1),6)+1,"574 Core","990v6","2002R","9060","327","550"),
 IF(A2="Reebok",CHOOSE(MOD(ROW(A1),6)+1,"Classic Leather","Club C 85","Nano X3","Instapump Fury","Zig Kinetica","Question Mid"),"")))))</f>
        <v>Stan Smith</v>
      </c>
      <c r="C2" s="3">
        <f>DATE(2025,1,1)+INT((ROW(A2)-2)/15)</f>
        <v>45658</v>
      </c>
      <c r="D2" s="4">
        <f ca="1">RANDBETWEEN(20,250)</f>
        <v>169</v>
      </c>
      <c r="E2" s="2">
        <f ca="1">ROUND(RANDBETWEEN(1500,12000)+(RANDBETWEEN(-200,200)),2)</f>
        <v>2517</v>
      </c>
      <c r="F2" s="2">
        <f ca="1">RANDBETWEEN(5000,35000)</f>
        <v>21381</v>
      </c>
      <c r="G2" s="2">
        <f ca="1">RANDBETWEEN(ROUND(F2*0.02,0),ROUND(F2*0.08,0))</f>
        <v>834</v>
      </c>
    </row>
    <row r="3" spans="1:7" x14ac:dyDescent="0.3">
      <c r="A3" s="5" t="str">
        <f t="shared" ref="A3:A15" si="0">CHOOSE(MOD(ROW(A2),5)+1,"Nike","Adidas","Puma","New Balance","Reebok")</f>
        <v>Puma</v>
      </c>
      <c r="B3" s="5" t="str">
        <f t="shared" ref="B3:B66" si="1">IF(A3="Nike",CHOOSE(MOD(ROW(A2),6)+1,"Air Max 270","Air Force 1","Pegasus 40","Vaporfly 3","Cortez","Jordan 1"),
 IF(A3="Adidas",CHOOSE(MOD(ROW(A2),6)+1,"Ultraboost 23","Stan Smith","Superstar","Gazelle","Samba","NMD S1"),
 IF(A3="Puma",CHOOSE(MOD(ROW(A2),6)+1,"Suede Classic","RS-X","Cali Dream","Rider Vintage","Slipstream","Mayze"),
 IF(A3="New Balance",CHOOSE(MOD(ROW(A2),6)+1,"574 Core","990v6","2002R","9060","327","550"),
 IF(A3="Reebok",CHOOSE(MOD(ROW(A2),6)+1,"Classic Leather","Club C 85","Nano X3","Instapump Fury","Zig Kinetica","Question Mid"),"")))))</f>
        <v>Cali Dream</v>
      </c>
      <c r="C3" s="3">
        <f t="shared" ref="C3:C15" si="2">DATE(2025,1,1)+INT((ROW(A3)-2)/15)</f>
        <v>45658</v>
      </c>
      <c r="D3" s="4">
        <f t="shared" ref="D3:D66" ca="1" si="3">RANDBETWEEN(20,250)</f>
        <v>23</v>
      </c>
      <c r="E3" s="2">
        <f t="shared" ref="E3:E66" ca="1" si="4">ROUND(RANDBETWEEN(1500,12000)+(RANDBETWEEN(-200,200)),2)</f>
        <v>7032</v>
      </c>
      <c r="F3" s="2">
        <f t="shared" ref="F3:F66" ca="1" si="5">RANDBETWEEN(5000,35000)</f>
        <v>14790</v>
      </c>
      <c r="G3" s="2">
        <f t="shared" ref="G3:G66" ca="1" si="6">RANDBETWEEN(ROUND(F3*0.02,0),ROUND(F3*0.08,0))</f>
        <v>1071</v>
      </c>
    </row>
    <row r="4" spans="1:7" x14ac:dyDescent="0.3">
      <c r="A4" s="5" t="str">
        <f t="shared" si="0"/>
        <v>New Balance</v>
      </c>
      <c r="B4" s="5" t="str">
        <f t="shared" si="1"/>
        <v>9060</v>
      </c>
      <c r="C4" s="3">
        <f t="shared" si="2"/>
        <v>45658</v>
      </c>
      <c r="D4" s="4">
        <f t="shared" ca="1" si="3"/>
        <v>131</v>
      </c>
      <c r="E4" s="2">
        <f t="shared" ca="1" si="4"/>
        <v>2988</v>
      </c>
      <c r="F4" s="2">
        <f t="shared" ca="1" si="5"/>
        <v>12002</v>
      </c>
      <c r="G4" s="2">
        <f t="shared" ca="1" si="6"/>
        <v>407</v>
      </c>
    </row>
    <row r="5" spans="1:7" x14ac:dyDescent="0.3">
      <c r="A5" s="5" t="str">
        <f t="shared" si="0"/>
        <v>Reebok</v>
      </c>
      <c r="B5" s="5" t="str">
        <f t="shared" si="1"/>
        <v>Zig Kinetica</v>
      </c>
      <c r="C5" s="3">
        <f t="shared" si="2"/>
        <v>45658</v>
      </c>
      <c r="D5" s="4">
        <f t="shared" ca="1" si="3"/>
        <v>148</v>
      </c>
      <c r="E5" s="2">
        <f t="shared" ca="1" si="4"/>
        <v>7817</v>
      </c>
      <c r="F5" s="2">
        <f t="shared" ca="1" si="5"/>
        <v>27292</v>
      </c>
      <c r="G5" s="2">
        <f t="shared" ca="1" si="6"/>
        <v>974</v>
      </c>
    </row>
    <row r="6" spans="1:7" x14ac:dyDescent="0.3">
      <c r="A6" s="5" t="str">
        <f t="shared" si="0"/>
        <v>Nike</v>
      </c>
      <c r="B6" s="5" t="str">
        <f t="shared" si="1"/>
        <v>Jordan 1</v>
      </c>
      <c r="C6" s="3">
        <f t="shared" si="2"/>
        <v>45658</v>
      </c>
      <c r="D6" s="4">
        <f t="shared" ca="1" si="3"/>
        <v>101</v>
      </c>
      <c r="E6" s="2">
        <f t="shared" ca="1" si="4"/>
        <v>6189</v>
      </c>
      <c r="F6" s="2">
        <f t="shared" ca="1" si="5"/>
        <v>22197</v>
      </c>
      <c r="G6" s="2">
        <f t="shared" ca="1" si="6"/>
        <v>1557</v>
      </c>
    </row>
    <row r="7" spans="1:7" x14ac:dyDescent="0.3">
      <c r="A7" s="5" t="str">
        <f t="shared" si="0"/>
        <v>Adidas</v>
      </c>
      <c r="B7" s="5" t="str">
        <f t="shared" si="1"/>
        <v>Ultraboost 23</v>
      </c>
      <c r="C7" s="3">
        <f t="shared" si="2"/>
        <v>45658</v>
      </c>
      <c r="D7" s="4">
        <f t="shared" ca="1" si="3"/>
        <v>201</v>
      </c>
      <c r="E7" s="2">
        <f t="shared" ca="1" si="4"/>
        <v>9156</v>
      </c>
      <c r="F7" s="2">
        <f t="shared" ca="1" si="5"/>
        <v>27405</v>
      </c>
      <c r="G7" s="2">
        <f t="shared" ca="1" si="6"/>
        <v>1990</v>
      </c>
    </row>
    <row r="8" spans="1:7" x14ac:dyDescent="0.3">
      <c r="A8" s="5" t="str">
        <f t="shared" si="0"/>
        <v>Puma</v>
      </c>
      <c r="B8" s="5" t="str">
        <f t="shared" si="1"/>
        <v>RS-X</v>
      </c>
      <c r="C8" s="3">
        <f t="shared" si="2"/>
        <v>45658</v>
      </c>
      <c r="D8" s="4">
        <f t="shared" ca="1" si="3"/>
        <v>89</v>
      </c>
      <c r="E8" s="2">
        <f t="shared" ca="1" si="4"/>
        <v>10681</v>
      </c>
      <c r="F8" s="2">
        <f t="shared" ca="1" si="5"/>
        <v>12299</v>
      </c>
      <c r="G8" s="2">
        <f t="shared" ca="1" si="6"/>
        <v>400</v>
      </c>
    </row>
    <row r="9" spans="1:7" x14ac:dyDescent="0.3">
      <c r="A9" s="5" t="str">
        <f t="shared" si="0"/>
        <v>New Balance</v>
      </c>
      <c r="B9" s="5" t="str">
        <f t="shared" si="1"/>
        <v>2002R</v>
      </c>
      <c r="C9" s="3">
        <f t="shared" si="2"/>
        <v>45658</v>
      </c>
      <c r="D9" s="4">
        <f t="shared" ca="1" si="3"/>
        <v>225</v>
      </c>
      <c r="E9" s="2">
        <f t="shared" ca="1" si="4"/>
        <v>6784</v>
      </c>
      <c r="F9" s="2">
        <f t="shared" ca="1" si="5"/>
        <v>12553</v>
      </c>
      <c r="G9" s="2">
        <f t="shared" ca="1" si="6"/>
        <v>627</v>
      </c>
    </row>
    <row r="10" spans="1:7" x14ac:dyDescent="0.3">
      <c r="A10" s="5" t="str">
        <f t="shared" si="0"/>
        <v>Reebok</v>
      </c>
      <c r="B10" s="5" t="str">
        <f t="shared" si="1"/>
        <v>Instapump Fury</v>
      </c>
      <c r="C10" s="3">
        <f t="shared" si="2"/>
        <v>45658</v>
      </c>
      <c r="D10" s="4">
        <f t="shared" ca="1" si="3"/>
        <v>249</v>
      </c>
      <c r="E10" s="2">
        <f t="shared" ca="1" si="4"/>
        <v>10156</v>
      </c>
      <c r="F10" s="2">
        <f t="shared" ca="1" si="5"/>
        <v>13394</v>
      </c>
      <c r="G10" s="2">
        <f t="shared" ca="1" si="6"/>
        <v>1046</v>
      </c>
    </row>
    <row r="11" spans="1:7" x14ac:dyDescent="0.3">
      <c r="A11" s="5" t="str">
        <f t="shared" si="0"/>
        <v>Nike</v>
      </c>
      <c r="B11" s="5" t="str">
        <f t="shared" si="1"/>
        <v>Cortez</v>
      </c>
      <c r="C11" s="3">
        <f t="shared" si="2"/>
        <v>45658</v>
      </c>
      <c r="D11" s="4">
        <f t="shared" ca="1" si="3"/>
        <v>149</v>
      </c>
      <c r="E11" s="2">
        <f t="shared" ca="1" si="4"/>
        <v>3116</v>
      </c>
      <c r="F11" s="2">
        <f t="shared" ca="1" si="5"/>
        <v>9631</v>
      </c>
      <c r="G11" s="2">
        <f t="shared" ca="1" si="6"/>
        <v>639</v>
      </c>
    </row>
    <row r="12" spans="1:7" x14ac:dyDescent="0.3">
      <c r="A12" s="5" t="str">
        <f t="shared" si="0"/>
        <v>Adidas</v>
      </c>
      <c r="B12" s="5" t="str">
        <f t="shared" si="1"/>
        <v>NMD S1</v>
      </c>
      <c r="C12" s="3">
        <f t="shared" si="2"/>
        <v>45658</v>
      </c>
      <c r="D12" s="4">
        <f t="shared" ca="1" si="3"/>
        <v>180</v>
      </c>
      <c r="E12" s="2">
        <f t="shared" ca="1" si="4"/>
        <v>10944</v>
      </c>
      <c r="F12" s="2">
        <f t="shared" ca="1" si="5"/>
        <v>7324</v>
      </c>
      <c r="G12" s="2">
        <f t="shared" ca="1" si="6"/>
        <v>308</v>
      </c>
    </row>
    <row r="13" spans="1:7" x14ac:dyDescent="0.3">
      <c r="A13" s="5" t="str">
        <f t="shared" si="0"/>
        <v>Puma</v>
      </c>
      <c r="B13" s="5" t="str">
        <f t="shared" si="1"/>
        <v>Suede Classic</v>
      </c>
      <c r="C13" s="3">
        <f t="shared" si="2"/>
        <v>45658</v>
      </c>
      <c r="D13" s="4">
        <f t="shared" ca="1" si="3"/>
        <v>160</v>
      </c>
      <c r="E13" s="2">
        <f t="shared" ca="1" si="4"/>
        <v>3498</v>
      </c>
      <c r="F13" s="2">
        <f t="shared" ca="1" si="5"/>
        <v>28517</v>
      </c>
      <c r="G13" s="2">
        <f t="shared" ca="1" si="6"/>
        <v>2267</v>
      </c>
    </row>
    <row r="14" spans="1:7" x14ac:dyDescent="0.3">
      <c r="A14" s="5" t="str">
        <f t="shared" si="0"/>
        <v>New Balance</v>
      </c>
      <c r="B14" s="5" t="str">
        <f t="shared" si="1"/>
        <v>990v6</v>
      </c>
      <c r="C14" s="3">
        <f t="shared" si="2"/>
        <v>45658</v>
      </c>
      <c r="D14" s="4">
        <f t="shared" ca="1" si="3"/>
        <v>128</v>
      </c>
      <c r="E14" s="2">
        <f t="shared" ca="1" si="4"/>
        <v>3320</v>
      </c>
      <c r="F14" s="2">
        <f t="shared" ca="1" si="5"/>
        <v>10742</v>
      </c>
      <c r="G14" s="2">
        <f t="shared" ca="1" si="6"/>
        <v>340</v>
      </c>
    </row>
    <row r="15" spans="1:7" x14ac:dyDescent="0.3">
      <c r="A15" s="5" t="str">
        <f t="shared" si="0"/>
        <v>Reebok</v>
      </c>
      <c r="B15" s="5" t="str">
        <f t="shared" si="1"/>
        <v>Nano X3</v>
      </c>
      <c r="C15" s="3">
        <f t="shared" si="2"/>
        <v>45658</v>
      </c>
      <c r="D15" s="4">
        <f t="shared" ca="1" si="3"/>
        <v>222</v>
      </c>
      <c r="E15" s="2">
        <f t="shared" ca="1" si="4"/>
        <v>7331</v>
      </c>
      <c r="F15" s="2">
        <f t="shared" ca="1" si="5"/>
        <v>11447</v>
      </c>
      <c r="G15" s="2">
        <f t="shared" ca="1" si="6"/>
        <v>538</v>
      </c>
    </row>
    <row r="16" spans="1:7" x14ac:dyDescent="0.3">
      <c r="A16" s="5" t="str">
        <f t="shared" ref="A16:A42" si="7">CHOOSE(MOD(ROW(A15),5)+1,"Nike","Adidas","Puma","New Balance","Reebok")</f>
        <v>Nike</v>
      </c>
      <c r="B16" s="5" t="str">
        <f t="shared" si="1"/>
        <v>Vaporfly 3</v>
      </c>
      <c r="C16" s="3">
        <f t="shared" ref="C16:C42" si="8">DATE(2025,1,1)+INT((ROW(A16)-2)/15)</f>
        <v>45658</v>
      </c>
      <c r="D16" s="4">
        <f t="shared" ca="1" si="3"/>
        <v>133</v>
      </c>
      <c r="E16" s="2">
        <f t="shared" ca="1" si="4"/>
        <v>5479</v>
      </c>
      <c r="F16" s="2">
        <f t="shared" ca="1" si="5"/>
        <v>16475</v>
      </c>
      <c r="G16" s="2">
        <f t="shared" ca="1" si="6"/>
        <v>440</v>
      </c>
    </row>
    <row r="17" spans="1:7" x14ac:dyDescent="0.3">
      <c r="A17" s="5" t="str">
        <f t="shared" si="7"/>
        <v>Adidas</v>
      </c>
      <c r="B17" s="5" t="str">
        <f t="shared" si="1"/>
        <v>Samba</v>
      </c>
      <c r="C17" s="3">
        <f t="shared" si="8"/>
        <v>45659</v>
      </c>
      <c r="D17" s="4">
        <f t="shared" ca="1" si="3"/>
        <v>135</v>
      </c>
      <c r="E17" s="2">
        <f t="shared" ca="1" si="4"/>
        <v>4890</v>
      </c>
      <c r="F17" s="2">
        <f t="shared" ca="1" si="5"/>
        <v>5206</v>
      </c>
      <c r="G17" s="2">
        <f t="shared" ca="1" si="6"/>
        <v>145</v>
      </c>
    </row>
    <row r="18" spans="1:7" x14ac:dyDescent="0.3">
      <c r="A18" s="5" t="str">
        <f t="shared" si="7"/>
        <v>Puma</v>
      </c>
      <c r="B18" s="5" t="str">
        <f t="shared" si="1"/>
        <v>Mayze</v>
      </c>
      <c r="C18" s="3">
        <f t="shared" si="8"/>
        <v>45659</v>
      </c>
      <c r="D18" s="4">
        <f t="shared" ca="1" si="3"/>
        <v>219</v>
      </c>
      <c r="E18" s="2">
        <f t="shared" ca="1" si="4"/>
        <v>4469</v>
      </c>
      <c r="F18" s="2">
        <f t="shared" ca="1" si="5"/>
        <v>18296</v>
      </c>
      <c r="G18" s="2">
        <f t="shared" ca="1" si="6"/>
        <v>1355</v>
      </c>
    </row>
    <row r="19" spans="1:7" x14ac:dyDescent="0.3">
      <c r="A19" s="5" t="str">
        <f t="shared" si="7"/>
        <v>New Balance</v>
      </c>
      <c r="B19" s="5" t="str">
        <f t="shared" si="1"/>
        <v>574 Core</v>
      </c>
      <c r="C19" s="3">
        <f t="shared" si="8"/>
        <v>45659</v>
      </c>
      <c r="D19" s="4">
        <f t="shared" ca="1" si="3"/>
        <v>240</v>
      </c>
      <c r="E19" s="2">
        <f t="shared" ca="1" si="4"/>
        <v>9020</v>
      </c>
      <c r="F19" s="2">
        <f t="shared" ca="1" si="5"/>
        <v>26151</v>
      </c>
      <c r="G19" s="2">
        <f t="shared" ca="1" si="6"/>
        <v>1196</v>
      </c>
    </row>
    <row r="20" spans="1:7" x14ac:dyDescent="0.3">
      <c r="A20" s="5" t="str">
        <f t="shared" si="7"/>
        <v>Reebok</v>
      </c>
      <c r="B20" s="5" t="str">
        <f t="shared" si="1"/>
        <v>Club C 85</v>
      </c>
      <c r="C20" s="3">
        <f t="shared" si="8"/>
        <v>45659</v>
      </c>
      <c r="D20" s="4">
        <f t="shared" ca="1" si="3"/>
        <v>28</v>
      </c>
      <c r="E20" s="2">
        <f t="shared" ca="1" si="4"/>
        <v>7102</v>
      </c>
      <c r="F20" s="2">
        <f t="shared" ca="1" si="5"/>
        <v>10862</v>
      </c>
      <c r="G20" s="2">
        <f t="shared" ca="1" si="6"/>
        <v>838</v>
      </c>
    </row>
    <row r="21" spans="1:7" x14ac:dyDescent="0.3">
      <c r="A21" s="5" t="str">
        <f t="shared" si="7"/>
        <v>Nike</v>
      </c>
      <c r="B21" s="5" t="str">
        <f t="shared" si="1"/>
        <v>Pegasus 40</v>
      </c>
      <c r="C21" s="3">
        <f t="shared" si="8"/>
        <v>45659</v>
      </c>
      <c r="D21" s="4">
        <f t="shared" ca="1" si="3"/>
        <v>178</v>
      </c>
      <c r="E21" s="2">
        <f t="shared" ca="1" si="4"/>
        <v>8406</v>
      </c>
      <c r="F21" s="2">
        <f t="shared" ca="1" si="5"/>
        <v>12241</v>
      </c>
      <c r="G21" s="2">
        <f t="shared" ca="1" si="6"/>
        <v>431</v>
      </c>
    </row>
    <row r="22" spans="1:7" x14ac:dyDescent="0.3">
      <c r="A22" s="5" t="str">
        <f t="shared" si="7"/>
        <v>Adidas</v>
      </c>
      <c r="B22" s="5" t="str">
        <f t="shared" si="1"/>
        <v>Gazelle</v>
      </c>
      <c r="C22" s="3">
        <f t="shared" si="8"/>
        <v>45659</v>
      </c>
      <c r="D22" s="4">
        <f t="shared" ca="1" si="3"/>
        <v>242</v>
      </c>
      <c r="E22" s="2">
        <f t="shared" ca="1" si="4"/>
        <v>7949</v>
      </c>
      <c r="F22" s="2">
        <f t="shared" ca="1" si="5"/>
        <v>21139</v>
      </c>
      <c r="G22" s="2">
        <f t="shared" ca="1" si="6"/>
        <v>1367</v>
      </c>
    </row>
    <row r="23" spans="1:7" x14ac:dyDescent="0.3">
      <c r="A23" s="5" t="str">
        <f t="shared" si="7"/>
        <v>Puma</v>
      </c>
      <c r="B23" s="5" t="str">
        <f t="shared" si="1"/>
        <v>Slipstream</v>
      </c>
      <c r="C23" s="3">
        <f t="shared" si="8"/>
        <v>45659</v>
      </c>
      <c r="D23" s="4">
        <f t="shared" ca="1" si="3"/>
        <v>110</v>
      </c>
      <c r="E23" s="2">
        <f t="shared" ca="1" si="4"/>
        <v>1439</v>
      </c>
      <c r="F23" s="2">
        <f t="shared" ca="1" si="5"/>
        <v>27838</v>
      </c>
      <c r="G23" s="2">
        <f t="shared" ca="1" si="6"/>
        <v>1770</v>
      </c>
    </row>
    <row r="24" spans="1:7" x14ac:dyDescent="0.3">
      <c r="A24" s="5" t="str">
        <f t="shared" si="7"/>
        <v>New Balance</v>
      </c>
      <c r="B24" s="5" t="str">
        <f t="shared" si="1"/>
        <v>550</v>
      </c>
      <c r="C24" s="3">
        <f t="shared" si="8"/>
        <v>45659</v>
      </c>
      <c r="D24" s="4">
        <f t="shared" ca="1" si="3"/>
        <v>206</v>
      </c>
      <c r="E24" s="2">
        <f t="shared" ca="1" si="4"/>
        <v>1411</v>
      </c>
      <c r="F24" s="2">
        <f t="shared" ca="1" si="5"/>
        <v>26973</v>
      </c>
      <c r="G24" s="2">
        <f t="shared" ca="1" si="6"/>
        <v>1606</v>
      </c>
    </row>
    <row r="25" spans="1:7" x14ac:dyDescent="0.3">
      <c r="A25" s="5" t="str">
        <f t="shared" si="7"/>
        <v>Reebok</v>
      </c>
      <c r="B25" s="5" t="str">
        <f t="shared" si="1"/>
        <v>Classic Leather</v>
      </c>
      <c r="C25" s="3">
        <f t="shared" si="8"/>
        <v>45659</v>
      </c>
      <c r="D25" s="4">
        <f t="shared" ca="1" si="3"/>
        <v>187</v>
      </c>
      <c r="E25" s="2">
        <f t="shared" ca="1" si="4"/>
        <v>8561</v>
      </c>
      <c r="F25" s="2">
        <f t="shared" ca="1" si="5"/>
        <v>17695</v>
      </c>
      <c r="G25" s="2">
        <f t="shared" ca="1" si="6"/>
        <v>950</v>
      </c>
    </row>
    <row r="26" spans="1:7" x14ac:dyDescent="0.3">
      <c r="A26" s="5" t="str">
        <f t="shared" si="7"/>
        <v>Nike</v>
      </c>
      <c r="B26" s="5" t="str">
        <f t="shared" si="1"/>
        <v>Air Force 1</v>
      </c>
      <c r="C26" s="3">
        <f t="shared" si="8"/>
        <v>45659</v>
      </c>
      <c r="D26" s="4">
        <f t="shared" ca="1" si="3"/>
        <v>39</v>
      </c>
      <c r="E26" s="2">
        <f t="shared" ca="1" si="4"/>
        <v>1628</v>
      </c>
      <c r="F26" s="2">
        <f t="shared" ca="1" si="5"/>
        <v>10647</v>
      </c>
      <c r="G26" s="2">
        <f t="shared" ca="1" si="6"/>
        <v>388</v>
      </c>
    </row>
    <row r="27" spans="1:7" x14ac:dyDescent="0.3">
      <c r="A27" s="5" t="str">
        <f t="shared" si="7"/>
        <v>Adidas</v>
      </c>
      <c r="B27" s="5" t="str">
        <f t="shared" si="1"/>
        <v>Superstar</v>
      </c>
      <c r="C27" s="3">
        <f t="shared" si="8"/>
        <v>45659</v>
      </c>
      <c r="D27" s="4">
        <f t="shared" ca="1" si="3"/>
        <v>85</v>
      </c>
      <c r="E27" s="2">
        <f t="shared" ca="1" si="4"/>
        <v>2570</v>
      </c>
      <c r="F27" s="2">
        <f t="shared" ca="1" si="5"/>
        <v>15203</v>
      </c>
      <c r="G27" s="2">
        <f t="shared" ca="1" si="6"/>
        <v>530</v>
      </c>
    </row>
    <row r="28" spans="1:7" x14ac:dyDescent="0.3">
      <c r="A28" s="5" t="str">
        <f t="shared" si="7"/>
        <v>Puma</v>
      </c>
      <c r="B28" s="5" t="str">
        <f t="shared" si="1"/>
        <v>Rider Vintage</v>
      </c>
      <c r="C28" s="3">
        <f t="shared" si="8"/>
        <v>45659</v>
      </c>
      <c r="D28" s="4">
        <f t="shared" ca="1" si="3"/>
        <v>25</v>
      </c>
      <c r="E28" s="2">
        <f t="shared" ca="1" si="4"/>
        <v>9468</v>
      </c>
      <c r="F28" s="2">
        <f t="shared" ca="1" si="5"/>
        <v>22515</v>
      </c>
      <c r="G28" s="2">
        <f t="shared" ca="1" si="6"/>
        <v>1675</v>
      </c>
    </row>
    <row r="29" spans="1:7" x14ac:dyDescent="0.3">
      <c r="A29" s="5" t="str">
        <f t="shared" si="7"/>
        <v>New Balance</v>
      </c>
      <c r="B29" s="5" t="str">
        <f t="shared" si="1"/>
        <v>327</v>
      </c>
      <c r="C29" s="3">
        <f t="shared" si="8"/>
        <v>45659</v>
      </c>
      <c r="D29" s="4">
        <f t="shared" ca="1" si="3"/>
        <v>45</v>
      </c>
      <c r="E29" s="2">
        <f t="shared" ca="1" si="4"/>
        <v>9947</v>
      </c>
      <c r="F29" s="2">
        <f t="shared" ca="1" si="5"/>
        <v>28550</v>
      </c>
      <c r="G29" s="2">
        <f t="shared" ca="1" si="6"/>
        <v>1353</v>
      </c>
    </row>
    <row r="30" spans="1:7" x14ac:dyDescent="0.3">
      <c r="A30" s="5" t="str">
        <f t="shared" si="7"/>
        <v>Reebok</v>
      </c>
      <c r="B30" s="5" t="str">
        <f t="shared" si="1"/>
        <v>Question Mid</v>
      </c>
      <c r="C30" s="3">
        <f t="shared" si="8"/>
        <v>45659</v>
      </c>
      <c r="D30" s="4">
        <f t="shared" ca="1" si="3"/>
        <v>50</v>
      </c>
      <c r="E30" s="2">
        <f t="shared" ca="1" si="4"/>
        <v>6399</v>
      </c>
      <c r="F30" s="2">
        <f t="shared" ca="1" si="5"/>
        <v>16393</v>
      </c>
      <c r="G30" s="2">
        <f t="shared" ca="1" si="6"/>
        <v>465</v>
      </c>
    </row>
    <row r="31" spans="1:7" x14ac:dyDescent="0.3">
      <c r="A31" s="5" t="str">
        <f t="shared" si="7"/>
        <v>Nike</v>
      </c>
      <c r="B31" s="5" t="str">
        <f t="shared" si="1"/>
        <v>Air Max 270</v>
      </c>
      <c r="C31" s="3">
        <f t="shared" si="8"/>
        <v>45659</v>
      </c>
      <c r="D31" s="4">
        <f t="shared" ca="1" si="3"/>
        <v>57</v>
      </c>
      <c r="E31" s="2">
        <f t="shared" ca="1" si="4"/>
        <v>2079</v>
      </c>
      <c r="F31" s="2">
        <f t="shared" ca="1" si="5"/>
        <v>10791</v>
      </c>
      <c r="G31" s="2">
        <f t="shared" ca="1" si="6"/>
        <v>513</v>
      </c>
    </row>
    <row r="32" spans="1:7" x14ac:dyDescent="0.3">
      <c r="A32" s="5" t="str">
        <f t="shared" si="7"/>
        <v>Adidas</v>
      </c>
      <c r="B32" s="5" t="str">
        <f t="shared" si="1"/>
        <v>Stan Smith</v>
      </c>
      <c r="C32" s="3">
        <f t="shared" si="8"/>
        <v>45660</v>
      </c>
      <c r="D32" s="4">
        <f t="shared" ca="1" si="3"/>
        <v>165</v>
      </c>
      <c r="E32" s="2">
        <f t="shared" ca="1" si="4"/>
        <v>2653</v>
      </c>
      <c r="F32" s="2">
        <f t="shared" ca="1" si="5"/>
        <v>11641</v>
      </c>
      <c r="G32" s="2">
        <f t="shared" ca="1" si="6"/>
        <v>446</v>
      </c>
    </row>
    <row r="33" spans="1:7" x14ac:dyDescent="0.3">
      <c r="A33" s="5" t="str">
        <f t="shared" si="7"/>
        <v>Puma</v>
      </c>
      <c r="B33" s="5" t="str">
        <f t="shared" si="1"/>
        <v>Cali Dream</v>
      </c>
      <c r="C33" s="3">
        <f t="shared" si="8"/>
        <v>45660</v>
      </c>
      <c r="D33" s="4">
        <f t="shared" ca="1" si="3"/>
        <v>152</v>
      </c>
      <c r="E33" s="2">
        <f t="shared" ca="1" si="4"/>
        <v>11721</v>
      </c>
      <c r="F33" s="2">
        <f t="shared" ca="1" si="5"/>
        <v>10113</v>
      </c>
      <c r="G33" s="2">
        <f t="shared" ca="1" si="6"/>
        <v>564</v>
      </c>
    </row>
    <row r="34" spans="1:7" x14ac:dyDescent="0.3">
      <c r="A34" s="5" t="str">
        <f t="shared" si="7"/>
        <v>New Balance</v>
      </c>
      <c r="B34" s="5" t="str">
        <f t="shared" si="1"/>
        <v>9060</v>
      </c>
      <c r="C34" s="3">
        <f t="shared" si="8"/>
        <v>45660</v>
      </c>
      <c r="D34" s="4">
        <f t="shared" ca="1" si="3"/>
        <v>182</v>
      </c>
      <c r="E34" s="2">
        <f t="shared" ca="1" si="4"/>
        <v>10381</v>
      </c>
      <c r="F34" s="2">
        <f t="shared" ca="1" si="5"/>
        <v>18090</v>
      </c>
      <c r="G34" s="2">
        <f t="shared" ca="1" si="6"/>
        <v>949</v>
      </c>
    </row>
    <row r="35" spans="1:7" x14ac:dyDescent="0.3">
      <c r="A35" s="5" t="str">
        <f t="shared" si="7"/>
        <v>Reebok</v>
      </c>
      <c r="B35" s="5" t="str">
        <f t="shared" si="1"/>
        <v>Zig Kinetica</v>
      </c>
      <c r="C35" s="3">
        <f t="shared" si="8"/>
        <v>45660</v>
      </c>
      <c r="D35" s="4">
        <f t="shared" ca="1" si="3"/>
        <v>73</v>
      </c>
      <c r="E35" s="2">
        <f t="shared" ca="1" si="4"/>
        <v>6739</v>
      </c>
      <c r="F35" s="2">
        <f t="shared" ca="1" si="5"/>
        <v>31876</v>
      </c>
      <c r="G35" s="2">
        <f t="shared" ca="1" si="6"/>
        <v>942</v>
      </c>
    </row>
    <row r="36" spans="1:7" x14ac:dyDescent="0.3">
      <c r="A36" s="5" t="str">
        <f t="shared" si="7"/>
        <v>Nike</v>
      </c>
      <c r="B36" s="5" t="str">
        <f t="shared" si="1"/>
        <v>Jordan 1</v>
      </c>
      <c r="C36" s="3">
        <f t="shared" si="8"/>
        <v>45660</v>
      </c>
      <c r="D36" s="4">
        <f t="shared" ca="1" si="3"/>
        <v>182</v>
      </c>
      <c r="E36" s="2">
        <f t="shared" ca="1" si="4"/>
        <v>10756</v>
      </c>
      <c r="F36" s="2">
        <f t="shared" ca="1" si="5"/>
        <v>19568</v>
      </c>
      <c r="G36" s="2">
        <f t="shared" ca="1" si="6"/>
        <v>1512</v>
      </c>
    </row>
    <row r="37" spans="1:7" x14ac:dyDescent="0.3">
      <c r="A37" s="5" t="str">
        <f t="shared" si="7"/>
        <v>Adidas</v>
      </c>
      <c r="B37" s="5" t="str">
        <f t="shared" si="1"/>
        <v>Ultraboost 23</v>
      </c>
      <c r="C37" s="3">
        <f t="shared" si="8"/>
        <v>45660</v>
      </c>
      <c r="D37" s="4">
        <f t="shared" ca="1" si="3"/>
        <v>176</v>
      </c>
      <c r="E37" s="2">
        <f t="shared" ca="1" si="4"/>
        <v>8918</v>
      </c>
      <c r="F37" s="2">
        <f t="shared" ca="1" si="5"/>
        <v>13162</v>
      </c>
      <c r="G37" s="2">
        <f t="shared" ca="1" si="6"/>
        <v>829</v>
      </c>
    </row>
    <row r="38" spans="1:7" x14ac:dyDescent="0.3">
      <c r="A38" s="5" t="str">
        <f t="shared" si="7"/>
        <v>Puma</v>
      </c>
      <c r="B38" s="5" t="str">
        <f t="shared" si="1"/>
        <v>RS-X</v>
      </c>
      <c r="C38" s="3">
        <f t="shared" si="8"/>
        <v>45660</v>
      </c>
      <c r="D38" s="4">
        <f t="shared" ca="1" si="3"/>
        <v>63</v>
      </c>
      <c r="E38" s="2">
        <f t="shared" ca="1" si="4"/>
        <v>4665</v>
      </c>
      <c r="F38" s="2">
        <f t="shared" ca="1" si="5"/>
        <v>34845</v>
      </c>
      <c r="G38" s="2">
        <f t="shared" ca="1" si="6"/>
        <v>1325</v>
      </c>
    </row>
    <row r="39" spans="1:7" x14ac:dyDescent="0.3">
      <c r="A39" s="5" t="str">
        <f t="shared" si="7"/>
        <v>New Balance</v>
      </c>
      <c r="B39" s="5" t="str">
        <f t="shared" si="1"/>
        <v>2002R</v>
      </c>
      <c r="C39" s="3">
        <f t="shared" si="8"/>
        <v>45660</v>
      </c>
      <c r="D39" s="4">
        <f t="shared" ca="1" si="3"/>
        <v>128</v>
      </c>
      <c r="E39" s="2">
        <f t="shared" ca="1" si="4"/>
        <v>10698</v>
      </c>
      <c r="F39" s="2">
        <f t="shared" ca="1" si="5"/>
        <v>31963</v>
      </c>
      <c r="G39" s="2">
        <f t="shared" ca="1" si="6"/>
        <v>2141</v>
      </c>
    </row>
    <row r="40" spans="1:7" x14ac:dyDescent="0.3">
      <c r="A40" s="5" t="str">
        <f t="shared" si="7"/>
        <v>Reebok</v>
      </c>
      <c r="B40" s="5" t="str">
        <f t="shared" si="1"/>
        <v>Instapump Fury</v>
      </c>
      <c r="C40" s="3">
        <f t="shared" si="8"/>
        <v>45660</v>
      </c>
      <c r="D40" s="4">
        <f t="shared" ca="1" si="3"/>
        <v>85</v>
      </c>
      <c r="E40" s="2">
        <f t="shared" ca="1" si="4"/>
        <v>11911</v>
      </c>
      <c r="F40" s="2">
        <f t="shared" ca="1" si="5"/>
        <v>29681</v>
      </c>
      <c r="G40" s="2">
        <f t="shared" ca="1" si="6"/>
        <v>2355</v>
      </c>
    </row>
    <row r="41" spans="1:7" x14ac:dyDescent="0.3">
      <c r="A41" s="5" t="str">
        <f t="shared" si="7"/>
        <v>Nike</v>
      </c>
      <c r="B41" s="5" t="str">
        <f t="shared" si="1"/>
        <v>Cortez</v>
      </c>
      <c r="C41" s="3">
        <f t="shared" si="8"/>
        <v>45660</v>
      </c>
      <c r="D41" s="4">
        <f t="shared" ca="1" si="3"/>
        <v>186</v>
      </c>
      <c r="E41" s="2">
        <f t="shared" ca="1" si="4"/>
        <v>2994</v>
      </c>
      <c r="F41" s="2">
        <f t="shared" ca="1" si="5"/>
        <v>13185</v>
      </c>
      <c r="G41" s="2">
        <f t="shared" ca="1" si="6"/>
        <v>1028</v>
      </c>
    </row>
    <row r="42" spans="1:7" x14ac:dyDescent="0.3">
      <c r="A42" s="5" t="str">
        <f t="shared" si="7"/>
        <v>Adidas</v>
      </c>
      <c r="B42" s="5" t="str">
        <f t="shared" si="1"/>
        <v>NMD S1</v>
      </c>
      <c r="C42" s="3">
        <f t="shared" si="8"/>
        <v>45660</v>
      </c>
      <c r="D42" s="4">
        <f t="shared" ca="1" si="3"/>
        <v>136</v>
      </c>
      <c r="E42" s="2">
        <f t="shared" ca="1" si="4"/>
        <v>7588</v>
      </c>
      <c r="F42" s="2">
        <f t="shared" ca="1" si="5"/>
        <v>30372</v>
      </c>
      <c r="G42" s="2">
        <f t="shared" ca="1" si="6"/>
        <v>1839</v>
      </c>
    </row>
    <row r="43" spans="1:7" x14ac:dyDescent="0.3">
      <c r="A43" s="5" t="str">
        <f t="shared" ref="A43:A106" si="9">CHOOSE(MOD(ROW(A42),5)+1,"Nike","Adidas","Puma","New Balance","Reebok")</f>
        <v>Puma</v>
      </c>
      <c r="B43" s="5" t="str">
        <f t="shared" si="1"/>
        <v>Suede Classic</v>
      </c>
      <c r="C43" s="3">
        <f t="shared" ref="C43:C106" si="10">DATE(2025,1,1)+INT((ROW(A43)-2)/15)</f>
        <v>45660</v>
      </c>
      <c r="D43" s="4">
        <f t="shared" ca="1" si="3"/>
        <v>87</v>
      </c>
      <c r="E43" s="2">
        <f t="shared" ca="1" si="4"/>
        <v>11478</v>
      </c>
      <c r="F43" s="2">
        <f t="shared" ca="1" si="5"/>
        <v>6384</v>
      </c>
      <c r="G43" s="2">
        <f t="shared" ca="1" si="6"/>
        <v>458</v>
      </c>
    </row>
    <row r="44" spans="1:7" x14ac:dyDescent="0.3">
      <c r="A44" s="5" t="str">
        <f t="shared" si="9"/>
        <v>New Balance</v>
      </c>
      <c r="B44" s="5" t="str">
        <f t="shared" si="1"/>
        <v>990v6</v>
      </c>
      <c r="C44" s="3">
        <f t="shared" si="10"/>
        <v>45660</v>
      </c>
      <c r="D44" s="4">
        <f t="shared" ca="1" si="3"/>
        <v>70</v>
      </c>
      <c r="E44" s="2">
        <f t="shared" ca="1" si="4"/>
        <v>5000</v>
      </c>
      <c r="F44" s="2">
        <f t="shared" ca="1" si="5"/>
        <v>28573</v>
      </c>
      <c r="G44" s="2">
        <f t="shared" ca="1" si="6"/>
        <v>1650</v>
      </c>
    </row>
    <row r="45" spans="1:7" x14ac:dyDescent="0.3">
      <c r="A45" s="5" t="str">
        <f t="shared" si="9"/>
        <v>Reebok</v>
      </c>
      <c r="B45" s="5" t="str">
        <f t="shared" si="1"/>
        <v>Nano X3</v>
      </c>
      <c r="C45" s="3">
        <f t="shared" si="10"/>
        <v>45660</v>
      </c>
      <c r="D45" s="4">
        <f t="shared" ca="1" si="3"/>
        <v>74</v>
      </c>
      <c r="E45" s="2">
        <f t="shared" ca="1" si="4"/>
        <v>11738</v>
      </c>
      <c r="F45" s="2">
        <f t="shared" ca="1" si="5"/>
        <v>24171</v>
      </c>
      <c r="G45" s="2">
        <f t="shared" ca="1" si="6"/>
        <v>638</v>
      </c>
    </row>
    <row r="46" spans="1:7" x14ac:dyDescent="0.3">
      <c r="A46" s="5" t="str">
        <f t="shared" si="9"/>
        <v>Nike</v>
      </c>
      <c r="B46" s="5" t="str">
        <f t="shared" si="1"/>
        <v>Vaporfly 3</v>
      </c>
      <c r="C46" s="3">
        <f t="shared" si="10"/>
        <v>45660</v>
      </c>
      <c r="D46" s="4">
        <f t="shared" ca="1" si="3"/>
        <v>202</v>
      </c>
      <c r="E46" s="2">
        <f t="shared" ca="1" si="4"/>
        <v>3032</v>
      </c>
      <c r="F46" s="2">
        <f t="shared" ca="1" si="5"/>
        <v>21613</v>
      </c>
      <c r="G46" s="2">
        <f t="shared" ca="1" si="6"/>
        <v>714</v>
      </c>
    </row>
    <row r="47" spans="1:7" x14ac:dyDescent="0.3">
      <c r="A47" s="5" t="str">
        <f t="shared" si="9"/>
        <v>Adidas</v>
      </c>
      <c r="B47" s="5" t="str">
        <f t="shared" si="1"/>
        <v>Samba</v>
      </c>
      <c r="C47" s="3">
        <f t="shared" si="10"/>
        <v>45661</v>
      </c>
      <c r="D47" s="4">
        <f t="shared" ca="1" si="3"/>
        <v>59</v>
      </c>
      <c r="E47" s="2">
        <f t="shared" ca="1" si="4"/>
        <v>1732</v>
      </c>
      <c r="F47" s="2">
        <f t="shared" ca="1" si="5"/>
        <v>12848</v>
      </c>
      <c r="G47" s="2">
        <f t="shared" ca="1" si="6"/>
        <v>308</v>
      </c>
    </row>
    <row r="48" spans="1:7" x14ac:dyDescent="0.3">
      <c r="A48" s="5" t="str">
        <f t="shared" si="9"/>
        <v>Puma</v>
      </c>
      <c r="B48" s="5" t="str">
        <f t="shared" si="1"/>
        <v>Mayze</v>
      </c>
      <c r="C48" s="3">
        <f t="shared" si="10"/>
        <v>45661</v>
      </c>
      <c r="D48" s="4">
        <f t="shared" ca="1" si="3"/>
        <v>87</v>
      </c>
      <c r="E48" s="2">
        <f t="shared" ca="1" si="4"/>
        <v>8927</v>
      </c>
      <c r="F48" s="2">
        <f t="shared" ca="1" si="5"/>
        <v>21557</v>
      </c>
      <c r="G48" s="2">
        <f t="shared" ca="1" si="6"/>
        <v>1455</v>
      </c>
    </row>
    <row r="49" spans="1:7" x14ac:dyDescent="0.3">
      <c r="A49" s="5" t="str">
        <f t="shared" si="9"/>
        <v>New Balance</v>
      </c>
      <c r="B49" s="5" t="str">
        <f t="shared" si="1"/>
        <v>574 Core</v>
      </c>
      <c r="C49" s="3">
        <f t="shared" si="10"/>
        <v>45661</v>
      </c>
      <c r="D49" s="4">
        <f t="shared" ca="1" si="3"/>
        <v>155</v>
      </c>
      <c r="E49" s="2">
        <f t="shared" ca="1" si="4"/>
        <v>8693</v>
      </c>
      <c r="F49" s="2">
        <f t="shared" ca="1" si="5"/>
        <v>9013</v>
      </c>
      <c r="G49" s="2">
        <f t="shared" ca="1" si="6"/>
        <v>226</v>
      </c>
    </row>
    <row r="50" spans="1:7" x14ac:dyDescent="0.3">
      <c r="A50" s="5" t="str">
        <f t="shared" si="9"/>
        <v>Reebok</v>
      </c>
      <c r="B50" s="5" t="str">
        <f t="shared" si="1"/>
        <v>Club C 85</v>
      </c>
      <c r="C50" s="3">
        <f t="shared" si="10"/>
        <v>45661</v>
      </c>
      <c r="D50" s="4">
        <f t="shared" ca="1" si="3"/>
        <v>138</v>
      </c>
      <c r="E50" s="2">
        <f t="shared" ca="1" si="4"/>
        <v>6559</v>
      </c>
      <c r="F50" s="2">
        <f t="shared" ca="1" si="5"/>
        <v>31425</v>
      </c>
      <c r="G50" s="2">
        <f t="shared" ca="1" si="6"/>
        <v>867</v>
      </c>
    </row>
    <row r="51" spans="1:7" x14ac:dyDescent="0.3">
      <c r="A51" s="5" t="str">
        <f t="shared" si="9"/>
        <v>Nike</v>
      </c>
      <c r="B51" s="5" t="str">
        <f t="shared" si="1"/>
        <v>Pegasus 40</v>
      </c>
      <c r="C51" s="3">
        <f t="shared" si="10"/>
        <v>45661</v>
      </c>
      <c r="D51" s="4">
        <f t="shared" ca="1" si="3"/>
        <v>186</v>
      </c>
      <c r="E51" s="2">
        <f t="shared" ca="1" si="4"/>
        <v>7235</v>
      </c>
      <c r="F51" s="2">
        <f t="shared" ca="1" si="5"/>
        <v>17217</v>
      </c>
      <c r="G51" s="2">
        <f t="shared" ca="1" si="6"/>
        <v>609</v>
      </c>
    </row>
    <row r="52" spans="1:7" x14ac:dyDescent="0.3">
      <c r="A52" s="5" t="str">
        <f t="shared" si="9"/>
        <v>Adidas</v>
      </c>
      <c r="B52" s="5" t="str">
        <f t="shared" si="1"/>
        <v>Gazelle</v>
      </c>
      <c r="C52" s="3">
        <f t="shared" si="10"/>
        <v>45661</v>
      </c>
      <c r="D52" s="4">
        <f t="shared" ca="1" si="3"/>
        <v>181</v>
      </c>
      <c r="E52" s="2">
        <f t="shared" ca="1" si="4"/>
        <v>9309</v>
      </c>
      <c r="F52" s="2">
        <f t="shared" ca="1" si="5"/>
        <v>5482</v>
      </c>
      <c r="G52" s="2">
        <f t="shared" ca="1" si="6"/>
        <v>436</v>
      </c>
    </row>
    <row r="53" spans="1:7" x14ac:dyDescent="0.3">
      <c r="A53" s="5" t="str">
        <f t="shared" si="9"/>
        <v>Puma</v>
      </c>
      <c r="B53" s="5" t="str">
        <f t="shared" si="1"/>
        <v>Slipstream</v>
      </c>
      <c r="C53" s="3">
        <f t="shared" si="10"/>
        <v>45661</v>
      </c>
      <c r="D53" s="4">
        <f t="shared" ca="1" si="3"/>
        <v>75</v>
      </c>
      <c r="E53" s="2">
        <f t="shared" ca="1" si="4"/>
        <v>10900</v>
      </c>
      <c r="F53" s="2">
        <f t="shared" ca="1" si="5"/>
        <v>30808</v>
      </c>
      <c r="G53" s="2">
        <f t="shared" ca="1" si="6"/>
        <v>1306</v>
      </c>
    </row>
    <row r="54" spans="1:7" x14ac:dyDescent="0.3">
      <c r="A54" s="5" t="str">
        <f t="shared" si="9"/>
        <v>New Balance</v>
      </c>
      <c r="B54" s="5" t="str">
        <f t="shared" si="1"/>
        <v>550</v>
      </c>
      <c r="C54" s="3">
        <f t="shared" si="10"/>
        <v>45661</v>
      </c>
      <c r="D54" s="4">
        <f t="shared" ca="1" si="3"/>
        <v>87</v>
      </c>
      <c r="E54" s="2">
        <f t="shared" ca="1" si="4"/>
        <v>9320</v>
      </c>
      <c r="F54" s="2">
        <f t="shared" ca="1" si="5"/>
        <v>29160</v>
      </c>
      <c r="G54" s="2">
        <f t="shared" ca="1" si="6"/>
        <v>2179</v>
      </c>
    </row>
    <row r="55" spans="1:7" x14ac:dyDescent="0.3">
      <c r="A55" s="5" t="str">
        <f t="shared" si="9"/>
        <v>Reebok</v>
      </c>
      <c r="B55" s="5" t="str">
        <f t="shared" si="1"/>
        <v>Classic Leather</v>
      </c>
      <c r="C55" s="3">
        <f t="shared" si="10"/>
        <v>45661</v>
      </c>
      <c r="D55" s="4">
        <f t="shared" ca="1" si="3"/>
        <v>62</v>
      </c>
      <c r="E55" s="2">
        <f t="shared" ca="1" si="4"/>
        <v>1745</v>
      </c>
      <c r="F55" s="2">
        <f t="shared" ca="1" si="5"/>
        <v>7270</v>
      </c>
      <c r="G55" s="2">
        <f t="shared" ca="1" si="6"/>
        <v>361</v>
      </c>
    </row>
    <row r="56" spans="1:7" x14ac:dyDescent="0.3">
      <c r="A56" s="5" t="str">
        <f t="shared" si="9"/>
        <v>Nike</v>
      </c>
      <c r="B56" s="5" t="str">
        <f t="shared" si="1"/>
        <v>Air Force 1</v>
      </c>
      <c r="C56" s="3">
        <f t="shared" si="10"/>
        <v>45661</v>
      </c>
      <c r="D56" s="4">
        <f t="shared" ca="1" si="3"/>
        <v>129</v>
      </c>
      <c r="E56" s="2">
        <f t="shared" ca="1" si="4"/>
        <v>5371</v>
      </c>
      <c r="F56" s="2">
        <f t="shared" ca="1" si="5"/>
        <v>31246</v>
      </c>
      <c r="G56" s="2">
        <f t="shared" ca="1" si="6"/>
        <v>745</v>
      </c>
    </row>
    <row r="57" spans="1:7" x14ac:dyDescent="0.3">
      <c r="A57" s="5" t="str">
        <f t="shared" si="9"/>
        <v>Adidas</v>
      </c>
      <c r="B57" s="5" t="str">
        <f t="shared" si="1"/>
        <v>Superstar</v>
      </c>
      <c r="C57" s="3">
        <f t="shared" si="10"/>
        <v>45661</v>
      </c>
      <c r="D57" s="4">
        <f t="shared" ca="1" si="3"/>
        <v>196</v>
      </c>
      <c r="E57" s="2">
        <f t="shared" ca="1" si="4"/>
        <v>4144</v>
      </c>
      <c r="F57" s="2">
        <f t="shared" ca="1" si="5"/>
        <v>11199</v>
      </c>
      <c r="G57" s="2">
        <f t="shared" ca="1" si="6"/>
        <v>230</v>
      </c>
    </row>
    <row r="58" spans="1:7" x14ac:dyDescent="0.3">
      <c r="A58" s="5" t="str">
        <f t="shared" si="9"/>
        <v>Puma</v>
      </c>
      <c r="B58" s="5" t="str">
        <f t="shared" si="1"/>
        <v>Rider Vintage</v>
      </c>
      <c r="C58" s="3">
        <f t="shared" si="10"/>
        <v>45661</v>
      </c>
      <c r="D58" s="4">
        <f t="shared" ca="1" si="3"/>
        <v>62</v>
      </c>
      <c r="E58" s="2">
        <f t="shared" ca="1" si="4"/>
        <v>10486</v>
      </c>
      <c r="F58" s="2">
        <f t="shared" ca="1" si="5"/>
        <v>13340</v>
      </c>
      <c r="G58" s="2">
        <f t="shared" ca="1" si="6"/>
        <v>515</v>
      </c>
    </row>
    <row r="59" spans="1:7" x14ac:dyDescent="0.3">
      <c r="A59" s="5" t="str">
        <f t="shared" si="9"/>
        <v>New Balance</v>
      </c>
      <c r="B59" s="5" t="str">
        <f t="shared" si="1"/>
        <v>327</v>
      </c>
      <c r="C59" s="3">
        <f t="shared" si="10"/>
        <v>45661</v>
      </c>
      <c r="D59" s="4">
        <f t="shared" ca="1" si="3"/>
        <v>214</v>
      </c>
      <c r="E59" s="2">
        <f t="shared" ca="1" si="4"/>
        <v>5639</v>
      </c>
      <c r="F59" s="2">
        <f t="shared" ca="1" si="5"/>
        <v>26646</v>
      </c>
      <c r="G59" s="2">
        <f t="shared" ca="1" si="6"/>
        <v>2085</v>
      </c>
    </row>
    <row r="60" spans="1:7" x14ac:dyDescent="0.3">
      <c r="A60" s="5" t="str">
        <f t="shared" si="9"/>
        <v>Reebok</v>
      </c>
      <c r="B60" s="5" t="str">
        <f t="shared" si="1"/>
        <v>Question Mid</v>
      </c>
      <c r="C60" s="3">
        <f t="shared" si="10"/>
        <v>45661</v>
      </c>
      <c r="D60" s="4">
        <f t="shared" ca="1" si="3"/>
        <v>218</v>
      </c>
      <c r="E60" s="2">
        <f t="shared" ca="1" si="4"/>
        <v>3560</v>
      </c>
      <c r="F60" s="2">
        <f t="shared" ca="1" si="5"/>
        <v>33529</v>
      </c>
      <c r="G60" s="2">
        <f t="shared" ca="1" si="6"/>
        <v>2245</v>
      </c>
    </row>
    <row r="61" spans="1:7" x14ac:dyDescent="0.3">
      <c r="A61" s="5" t="str">
        <f t="shared" si="9"/>
        <v>Nike</v>
      </c>
      <c r="B61" s="5" t="str">
        <f t="shared" si="1"/>
        <v>Air Max 270</v>
      </c>
      <c r="C61" s="3">
        <f t="shared" si="10"/>
        <v>45661</v>
      </c>
      <c r="D61" s="4">
        <f t="shared" ca="1" si="3"/>
        <v>67</v>
      </c>
      <c r="E61" s="2">
        <f t="shared" ca="1" si="4"/>
        <v>8234</v>
      </c>
      <c r="F61" s="2">
        <f t="shared" ca="1" si="5"/>
        <v>31215</v>
      </c>
      <c r="G61" s="2">
        <f t="shared" ca="1" si="6"/>
        <v>770</v>
      </c>
    </row>
    <row r="62" spans="1:7" x14ac:dyDescent="0.3">
      <c r="A62" s="5" t="str">
        <f t="shared" si="9"/>
        <v>Adidas</v>
      </c>
      <c r="B62" s="5" t="str">
        <f t="shared" si="1"/>
        <v>Stan Smith</v>
      </c>
      <c r="C62" s="3">
        <f t="shared" si="10"/>
        <v>45662</v>
      </c>
      <c r="D62" s="4">
        <f t="shared" ca="1" si="3"/>
        <v>34</v>
      </c>
      <c r="E62" s="2">
        <f t="shared" ca="1" si="4"/>
        <v>5538</v>
      </c>
      <c r="F62" s="2">
        <f t="shared" ca="1" si="5"/>
        <v>20339</v>
      </c>
      <c r="G62" s="2">
        <f t="shared" ca="1" si="6"/>
        <v>529</v>
      </c>
    </row>
    <row r="63" spans="1:7" x14ac:dyDescent="0.3">
      <c r="A63" s="5" t="str">
        <f t="shared" si="9"/>
        <v>Puma</v>
      </c>
      <c r="B63" s="5" t="str">
        <f t="shared" si="1"/>
        <v>Cali Dream</v>
      </c>
      <c r="C63" s="3">
        <f t="shared" si="10"/>
        <v>45662</v>
      </c>
      <c r="D63" s="4">
        <f t="shared" ca="1" si="3"/>
        <v>122</v>
      </c>
      <c r="E63" s="2">
        <f t="shared" ca="1" si="4"/>
        <v>6456</v>
      </c>
      <c r="F63" s="2">
        <f t="shared" ca="1" si="5"/>
        <v>8120</v>
      </c>
      <c r="G63" s="2">
        <f t="shared" ca="1" si="6"/>
        <v>181</v>
      </c>
    </row>
    <row r="64" spans="1:7" x14ac:dyDescent="0.3">
      <c r="A64" s="5" t="str">
        <f t="shared" si="9"/>
        <v>New Balance</v>
      </c>
      <c r="B64" s="5" t="str">
        <f t="shared" si="1"/>
        <v>9060</v>
      </c>
      <c r="C64" s="3">
        <f t="shared" si="10"/>
        <v>45662</v>
      </c>
      <c r="D64" s="4">
        <f t="shared" ca="1" si="3"/>
        <v>187</v>
      </c>
      <c r="E64" s="2">
        <f t="shared" ca="1" si="4"/>
        <v>7879</v>
      </c>
      <c r="F64" s="2">
        <f t="shared" ca="1" si="5"/>
        <v>28585</v>
      </c>
      <c r="G64" s="2">
        <f t="shared" ca="1" si="6"/>
        <v>701</v>
      </c>
    </row>
    <row r="65" spans="1:7" x14ac:dyDescent="0.3">
      <c r="A65" s="5" t="str">
        <f t="shared" si="9"/>
        <v>Reebok</v>
      </c>
      <c r="B65" s="5" t="str">
        <f t="shared" si="1"/>
        <v>Zig Kinetica</v>
      </c>
      <c r="C65" s="3">
        <f t="shared" si="10"/>
        <v>45662</v>
      </c>
      <c r="D65" s="4">
        <f t="shared" ca="1" si="3"/>
        <v>34</v>
      </c>
      <c r="E65" s="2">
        <f t="shared" ca="1" si="4"/>
        <v>10809</v>
      </c>
      <c r="F65" s="2">
        <f t="shared" ca="1" si="5"/>
        <v>22465</v>
      </c>
      <c r="G65" s="2">
        <f t="shared" ca="1" si="6"/>
        <v>675</v>
      </c>
    </row>
    <row r="66" spans="1:7" x14ac:dyDescent="0.3">
      <c r="A66" s="5" t="str">
        <f t="shared" si="9"/>
        <v>Nike</v>
      </c>
      <c r="B66" s="5" t="str">
        <f t="shared" si="1"/>
        <v>Jordan 1</v>
      </c>
      <c r="C66" s="3">
        <f t="shared" si="10"/>
        <v>45662</v>
      </c>
      <c r="D66" s="4">
        <f t="shared" ca="1" si="3"/>
        <v>81</v>
      </c>
      <c r="E66" s="2">
        <f t="shared" ca="1" si="4"/>
        <v>9347</v>
      </c>
      <c r="F66" s="2">
        <f t="shared" ca="1" si="5"/>
        <v>17085</v>
      </c>
      <c r="G66" s="2">
        <f t="shared" ca="1" si="6"/>
        <v>936</v>
      </c>
    </row>
    <row r="67" spans="1:7" x14ac:dyDescent="0.3">
      <c r="A67" s="5" t="str">
        <f t="shared" si="9"/>
        <v>Adidas</v>
      </c>
      <c r="B67" s="5" t="str">
        <f t="shared" ref="B67:B130" si="11">IF(A67="Nike",CHOOSE(MOD(ROW(A66),6)+1,"Air Max 270","Air Force 1","Pegasus 40","Vaporfly 3","Cortez","Jordan 1"),
 IF(A67="Adidas",CHOOSE(MOD(ROW(A66),6)+1,"Ultraboost 23","Stan Smith","Superstar","Gazelle","Samba","NMD S1"),
 IF(A67="Puma",CHOOSE(MOD(ROW(A66),6)+1,"Suede Classic","RS-X","Cali Dream","Rider Vintage","Slipstream","Mayze"),
 IF(A67="New Balance",CHOOSE(MOD(ROW(A66),6)+1,"574 Core","990v6","2002R","9060","327","550"),
 IF(A67="Reebok",CHOOSE(MOD(ROW(A66),6)+1,"Classic Leather","Club C 85","Nano X3","Instapump Fury","Zig Kinetica","Question Mid"),"")))))</f>
        <v>Ultraboost 23</v>
      </c>
      <c r="C67" s="3">
        <f t="shared" si="10"/>
        <v>45662</v>
      </c>
      <c r="D67" s="4">
        <f t="shared" ref="D67:D130" ca="1" si="12">RANDBETWEEN(20,250)</f>
        <v>230</v>
      </c>
      <c r="E67" s="2">
        <f t="shared" ref="E67:E130" ca="1" si="13">ROUND(RANDBETWEEN(1500,12000)+(RANDBETWEEN(-200,200)),2)</f>
        <v>5743</v>
      </c>
      <c r="F67" s="2">
        <f t="shared" ref="F67:F130" ca="1" si="14">RANDBETWEEN(5000,35000)</f>
        <v>16326</v>
      </c>
      <c r="G67" s="2">
        <f t="shared" ref="G67:G130" ca="1" si="15">RANDBETWEEN(ROUND(F67*0.02,0),ROUND(F67*0.08,0))</f>
        <v>562</v>
      </c>
    </row>
    <row r="68" spans="1:7" x14ac:dyDescent="0.3">
      <c r="A68" s="5" t="str">
        <f t="shared" si="9"/>
        <v>Puma</v>
      </c>
      <c r="B68" s="5" t="str">
        <f t="shared" si="11"/>
        <v>RS-X</v>
      </c>
      <c r="C68" s="3">
        <f t="shared" si="10"/>
        <v>45662</v>
      </c>
      <c r="D68" s="4">
        <f t="shared" ca="1" si="12"/>
        <v>36</v>
      </c>
      <c r="E68" s="2">
        <f t="shared" ca="1" si="13"/>
        <v>9249</v>
      </c>
      <c r="F68" s="2">
        <f t="shared" ca="1" si="14"/>
        <v>17700</v>
      </c>
      <c r="G68" s="2">
        <f t="shared" ca="1" si="15"/>
        <v>1157</v>
      </c>
    </row>
    <row r="69" spans="1:7" x14ac:dyDescent="0.3">
      <c r="A69" s="5" t="str">
        <f t="shared" si="9"/>
        <v>New Balance</v>
      </c>
      <c r="B69" s="5" t="str">
        <f t="shared" si="11"/>
        <v>2002R</v>
      </c>
      <c r="C69" s="3">
        <f t="shared" si="10"/>
        <v>45662</v>
      </c>
      <c r="D69" s="4">
        <f t="shared" ca="1" si="12"/>
        <v>131</v>
      </c>
      <c r="E69" s="2">
        <f t="shared" ca="1" si="13"/>
        <v>6282</v>
      </c>
      <c r="F69" s="2">
        <f t="shared" ca="1" si="14"/>
        <v>22284</v>
      </c>
      <c r="G69" s="2">
        <f t="shared" ca="1" si="15"/>
        <v>881</v>
      </c>
    </row>
    <row r="70" spans="1:7" x14ac:dyDescent="0.3">
      <c r="A70" s="5" t="str">
        <f t="shared" si="9"/>
        <v>Reebok</v>
      </c>
      <c r="B70" s="5" t="str">
        <f t="shared" si="11"/>
        <v>Instapump Fury</v>
      </c>
      <c r="C70" s="3">
        <f t="shared" si="10"/>
        <v>45662</v>
      </c>
      <c r="D70" s="4">
        <f t="shared" ca="1" si="12"/>
        <v>185</v>
      </c>
      <c r="E70" s="2">
        <f t="shared" ca="1" si="13"/>
        <v>6304</v>
      </c>
      <c r="F70" s="2">
        <f t="shared" ca="1" si="14"/>
        <v>32842</v>
      </c>
      <c r="G70" s="2">
        <f t="shared" ca="1" si="15"/>
        <v>1582</v>
      </c>
    </row>
    <row r="71" spans="1:7" x14ac:dyDescent="0.3">
      <c r="A71" s="5" t="str">
        <f t="shared" si="9"/>
        <v>Nike</v>
      </c>
      <c r="B71" s="5" t="str">
        <f t="shared" si="11"/>
        <v>Cortez</v>
      </c>
      <c r="C71" s="3">
        <f t="shared" si="10"/>
        <v>45662</v>
      </c>
      <c r="D71" s="4">
        <f t="shared" ca="1" si="12"/>
        <v>197</v>
      </c>
      <c r="E71" s="2">
        <f t="shared" ca="1" si="13"/>
        <v>8031</v>
      </c>
      <c r="F71" s="2">
        <f t="shared" ca="1" si="14"/>
        <v>23000</v>
      </c>
      <c r="G71" s="2">
        <f t="shared" ca="1" si="15"/>
        <v>1029</v>
      </c>
    </row>
    <row r="72" spans="1:7" x14ac:dyDescent="0.3">
      <c r="A72" s="5" t="str">
        <f t="shared" si="9"/>
        <v>Adidas</v>
      </c>
      <c r="B72" s="5" t="str">
        <f t="shared" si="11"/>
        <v>NMD S1</v>
      </c>
      <c r="C72" s="3">
        <f t="shared" si="10"/>
        <v>45662</v>
      </c>
      <c r="D72" s="4">
        <f t="shared" ca="1" si="12"/>
        <v>206</v>
      </c>
      <c r="E72" s="2">
        <f t="shared" ca="1" si="13"/>
        <v>5273</v>
      </c>
      <c r="F72" s="2">
        <f t="shared" ca="1" si="14"/>
        <v>10998</v>
      </c>
      <c r="G72" s="2">
        <f t="shared" ca="1" si="15"/>
        <v>649</v>
      </c>
    </row>
    <row r="73" spans="1:7" x14ac:dyDescent="0.3">
      <c r="A73" s="5" t="str">
        <f t="shared" si="9"/>
        <v>Puma</v>
      </c>
      <c r="B73" s="5" t="str">
        <f t="shared" si="11"/>
        <v>Suede Classic</v>
      </c>
      <c r="C73" s="3">
        <f t="shared" si="10"/>
        <v>45662</v>
      </c>
      <c r="D73" s="4">
        <f t="shared" ca="1" si="12"/>
        <v>26</v>
      </c>
      <c r="E73" s="2">
        <f t="shared" ca="1" si="13"/>
        <v>10311</v>
      </c>
      <c r="F73" s="2">
        <f t="shared" ca="1" si="14"/>
        <v>33755</v>
      </c>
      <c r="G73" s="2">
        <f t="shared" ca="1" si="15"/>
        <v>2520</v>
      </c>
    </row>
    <row r="74" spans="1:7" x14ac:dyDescent="0.3">
      <c r="A74" s="5" t="str">
        <f t="shared" si="9"/>
        <v>New Balance</v>
      </c>
      <c r="B74" s="5" t="str">
        <f t="shared" si="11"/>
        <v>990v6</v>
      </c>
      <c r="C74" s="3">
        <f t="shared" si="10"/>
        <v>45662</v>
      </c>
      <c r="D74" s="4">
        <f t="shared" ca="1" si="12"/>
        <v>67</v>
      </c>
      <c r="E74" s="2">
        <f t="shared" ca="1" si="13"/>
        <v>8106</v>
      </c>
      <c r="F74" s="2">
        <f t="shared" ca="1" si="14"/>
        <v>32973</v>
      </c>
      <c r="G74" s="2">
        <f t="shared" ca="1" si="15"/>
        <v>2440</v>
      </c>
    </row>
    <row r="75" spans="1:7" x14ac:dyDescent="0.3">
      <c r="A75" s="5" t="str">
        <f t="shared" si="9"/>
        <v>Reebok</v>
      </c>
      <c r="B75" s="5" t="str">
        <f t="shared" si="11"/>
        <v>Nano X3</v>
      </c>
      <c r="C75" s="3">
        <f t="shared" si="10"/>
        <v>45662</v>
      </c>
      <c r="D75" s="4">
        <f t="shared" ca="1" si="12"/>
        <v>22</v>
      </c>
      <c r="E75" s="2">
        <f t="shared" ca="1" si="13"/>
        <v>9343</v>
      </c>
      <c r="F75" s="2">
        <f t="shared" ca="1" si="14"/>
        <v>23316</v>
      </c>
      <c r="G75" s="2">
        <f t="shared" ca="1" si="15"/>
        <v>478</v>
      </c>
    </row>
    <row r="76" spans="1:7" x14ac:dyDescent="0.3">
      <c r="A76" s="5" t="str">
        <f t="shared" si="9"/>
        <v>Nike</v>
      </c>
      <c r="B76" s="5" t="str">
        <f t="shared" si="11"/>
        <v>Vaporfly 3</v>
      </c>
      <c r="C76" s="3">
        <f t="shared" si="10"/>
        <v>45662</v>
      </c>
      <c r="D76" s="4">
        <f t="shared" ca="1" si="12"/>
        <v>193</v>
      </c>
      <c r="E76" s="2">
        <f t="shared" ca="1" si="13"/>
        <v>6397</v>
      </c>
      <c r="F76" s="2">
        <f t="shared" ca="1" si="14"/>
        <v>6369</v>
      </c>
      <c r="G76" s="2">
        <f t="shared" ca="1" si="15"/>
        <v>413</v>
      </c>
    </row>
    <row r="77" spans="1:7" x14ac:dyDescent="0.3">
      <c r="A77" s="5" t="str">
        <f t="shared" si="9"/>
        <v>Adidas</v>
      </c>
      <c r="B77" s="5" t="str">
        <f t="shared" si="11"/>
        <v>Samba</v>
      </c>
      <c r="C77" s="3">
        <f t="shared" si="10"/>
        <v>45663</v>
      </c>
      <c r="D77" s="4">
        <f t="shared" ca="1" si="12"/>
        <v>164</v>
      </c>
      <c r="E77" s="2">
        <f t="shared" ca="1" si="13"/>
        <v>1969</v>
      </c>
      <c r="F77" s="2">
        <f t="shared" ca="1" si="14"/>
        <v>25923</v>
      </c>
      <c r="G77" s="2">
        <f t="shared" ca="1" si="15"/>
        <v>740</v>
      </c>
    </row>
    <row r="78" spans="1:7" x14ac:dyDescent="0.3">
      <c r="A78" s="5" t="str">
        <f t="shared" si="9"/>
        <v>Puma</v>
      </c>
      <c r="B78" s="5" t="str">
        <f t="shared" si="11"/>
        <v>Mayze</v>
      </c>
      <c r="C78" s="3">
        <f t="shared" si="10"/>
        <v>45663</v>
      </c>
      <c r="D78" s="4">
        <f t="shared" ca="1" si="12"/>
        <v>21</v>
      </c>
      <c r="E78" s="2">
        <f t="shared" ca="1" si="13"/>
        <v>5399</v>
      </c>
      <c r="F78" s="2">
        <f t="shared" ca="1" si="14"/>
        <v>5113</v>
      </c>
      <c r="G78" s="2">
        <f t="shared" ca="1" si="15"/>
        <v>351</v>
      </c>
    </row>
    <row r="79" spans="1:7" x14ac:dyDescent="0.3">
      <c r="A79" s="5" t="str">
        <f t="shared" si="9"/>
        <v>New Balance</v>
      </c>
      <c r="B79" s="5" t="str">
        <f t="shared" si="11"/>
        <v>574 Core</v>
      </c>
      <c r="C79" s="3">
        <f t="shared" si="10"/>
        <v>45663</v>
      </c>
      <c r="D79" s="4">
        <f t="shared" ca="1" si="12"/>
        <v>84</v>
      </c>
      <c r="E79" s="2">
        <f t="shared" ca="1" si="13"/>
        <v>3136</v>
      </c>
      <c r="F79" s="2">
        <f t="shared" ca="1" si="14"/>
        <v>26545</v>
      </c>
      <c r="G79" s="2">
        <f t="shared" ca="1" si="15"/>
        <v>1664</v>
      </c>
    </row>
    <row r="80" spans="1:7" x14ac:dyDescent="0.3">
      <c r="A80" s="5" t="str">
        <f t="shared" si="9"/>
        <v>Reebok</v>
      </c>
      <c r="B80" s="5" t="str">
        <f t="shared" si="11"/>
        <v>Club C 85</v>
      </c>
      <c r="C80" s="3">
        <f t="shared" si="10"/>
        <v>45663</v>
      </c>
      <c r="D80" s="4">
        <f t="shared" ca="1" si="12"/>
        <v>60</v>
      </c>
      <c r="E80" s="2">
        <f t="shared" ca="1" si="13"/>
        <v>1967</v>
      </c>
      <c r="F80" s="2">
        <f t="shared" ca="1" si="14"/>
        <v>29110</v>
      </c>
      <c r="G80" s="2">
        <f t="shared" ca="1" si="15"/>
        <v>2220</v>
      </c>
    </row>
    <row r="81" spans="1:7" x14ac:dyDescent="0.3">
      <c r="A81" s="5" t="str">
        <f t="shared" si="9"/>
        <v>Nike</v>
      </c>
      <c r="B81" s="5" t="str">
        <f t="shared" si="11"/>
        <v>Pegasus 40</v>
      </c>
      <c r="C81" s="3">
        <f t="shared" si="10"/>
        <v>45663</v>
      </c>
      <c r="D81" s="4">
        <f t="shared" ca="1" si="12"/>
        <v>206</v>
      </c>
      <c r="E81" s="2">
        <f t="shared" ca="1" si="13"/>
        <v>3317</v>
      </c>
      <c r="F81" s="2">
        <f t="shared" ca="1" si="14"/>
        <v>23244</v>
      </c>
      <c r="G81" s="2">
        <f t="shared" ca="1" si="15"/>
        <v>1485</v>
      </c>
    </row>
    <row r="82" spans="1:7" x14ac:dyDescent="0.3">
      <c r="A82" s="5" t="str">
        <f t="shared" si="9"/>
        <v>Adidas</v>
      </c>
      <c r="B82" s="5" t="str">
        <f t="shared" si="11"/>
        <v>Gazelle</v>
      </c>
      <c r="C82" s="3">
        <f t="shared" si="10"/>
        <v>45663</v>
      </c>
      <c r="D82" s="4">
        <f t="shared" ca="1" si="12"/>
        <v>190</v>
      </c>
      <c r="E82" s="2">
        <f t="shared" ca="1" si="13"/>
        <v>9900</v>
      </c>
      <c r="F82" s="2">
        <f t="shared" ca="1" si="14"/>
        <v>26037</v>
      </c>
      <c r="G82" s="2">
        <f t="shared" ca="1" si="15"/>
        <v>1604</v>
      </c>
    </row>
    <row r="83" spans="1:7" x14ac:dyDescent="0.3">
      <c r="A83" s="5" t="str">
        <f t="shared" si="9"/>
        <v>Puma</v>
      </c>
      <c r="B83" s="5" t="str">
        <f t="shared" si="11"/>
        <v>Slipstream</v>
      </c>
      <c r="C83" s="3">
        <f t="shared" si="10"/>
        <v>45663</v>
      </c>
      <c r="D83" s="4">
        <f t="shared" ca="1" si="12"/>
        <v>29</v>
      </c>
      <c r="E83" s="2">
        <f t="shared" ca="1" si="13"/>
        <v>6184</v>
      </c>
      <c r="F83" s="2">
        <f t="shared" ca="1" si="14"/>
        <v>29633</v>
      </c>
      <c r="G83" s="2">
        <f t="shared" ca="1" si="15"/>
        <v>2316</v>
      </c>
    </row>
    <row r="84" spans="1:7" x14ac:dyDescent="0.3">
      <c r="A84" s="5" t="str">
        <f t="shared" si="9"/>
        <v>New Balance</v>
      </c>
      <c r="B84" s="5" t="str">
        <f t="shared" si="11"/>
        <v>550</v>
      </c>
      <c r="C84" s="3">
        <f t="shared" si="10"/>
        <v>45663</v>
      </c>
      <c r="D84" s="4">
        <f t="shared" ca="1" si="12"/>
        <v>161</v>
      </c>
      <c r="E84" s="2">
        <f t="shared" ca="1" si="13"/>
        <v>11636</v>
      </c>
      <c r="F84" s="2">
        <f t="shared" ca="1" si="14"/>
        <v>33002</v>
      </c>
      <c r="G84" s="2">
        <f t="shared" ca="1" si="15"/>
        <v>2025</v>
      </c>
    </row>
    <row r="85" spans="1:7" x14ac:dyDescent="0.3">
      <c r="A85" s="5" t="str">
        <f t="shared" si="9"/>
        <v>Reebok</v>
      </c>
      <c r="B85" s="5" t="str">
        <f t="shared" si="11"/>
        <v>Classic Leather</v>
      </c>
      <c r="C85" s="3">
        <f t="shared" si="10"/>
        <v>45663</v>
      </c>
      <c r="D85" s="4">
        <f t="shared" ca="1" si="12"/>
        <v>185</v>
      </c>
      <c r="E85" s="2">
        <f t="shared" ca="1" si="13"/>
        <v>4928</v>
      </c>
      <c r="F85" s="2">
        <f t="shared" ca="1" si="14"/>
        <v>17397</v>
      </c>
      <c r="G85" s="2">
        <f t="shared" ca="1" si="15"/>
        <v>1207</v>
      </c>
    </row>
    <row r="86" spans="1:7" x14ac:dyDescent="0.3">
      <c r="A86" s="5" t="str">
        <f t="shared" si="9"/>
        <v>Nike</v>
      </c>
      <c r="B86" s="5" t="str">
        <f t="shared" si="11"/>
        <v>Air Force 1</v>
      </c>
      <c r="C86" s="3">
        <f t="shared" si="10"/>
        <v>45663</v>
      </c>
      <c r="D86" s="4">
        <f t="shared" ca="1" si="12"/>
        <v>110</v>
      </c>
      <c r="E86" s="2">
        <f t="shared" ca="1" si="13"/>
        <v>7298</v>
      </c>
      <c r="F86" s="2">
        <f t="shared" ca="1" si="14"/>
        <v>26183</v>
      </c>
      <c r="G86" s="2">
        <f t="shared" ca="1" si="15"/>
        <v>998</v>
      </c>
    </row>
    <row r="87" spans="1:7" x14ac:dyDescent="0.3">
      <c r="A87" s="5" t="str">
        <f t="shared" si="9"/>
        <v>Adidas</v>
      </c>
      <c r="B87" s="5" t="str">
        <f t="shared" si="11"/>
        <v>Superstar</v>
      </c>
      <c r="C87" s="3">
        <f t="shared" si="10"/>
        <v>45663</v>
      </c>
      <c r="D87" s="4">
        <f t="shared" ca="1" si="12"/>
        <v>67</v>
      </c>
      <c r="E87" s="2">
        <f t="shared" ca="1" si="13"/>
        <v>5436</v>
      </c>
      <c r="F87" s="2">
        <f t="shared" ca="1" si="14"/>
        <v>9569</v>
      </c>
      <c r="G87" s="2">
        <f t="shared" ca="1" si="15"/>
        <v>681</v>
      </c>
    </row>
    <row r="88" spans="1:7" x14ac:dyDescent="0.3">
      <c r="A88" s="5" t="str">
        <f t="shared" si="9"/>
        <v>Puma</v>
      </c>
      <c r="B88" s="5" t="str">
        <f t="shared" si="11"/>
        <v>Rider Vintage</v>
      </c>
      <c r="C88" s="3">
        <f t="shared" si="10"/>
        <v>45663</v>
      </c>
      <c r="D88" s="4">
        <f t="shared" ca="1" si="12"/>
        <v>164</v>
      </c>
      <c r="E88" s="2">
        <f t="shared" ca="1" si="13"/>
        <v>7138</v>
      </c>
      <c r="F88" s="2">
        <f t="shared" ca="1" si="14"/>
        <v>22956</v>
      </c>
      <c r="G88" s="2">
        <f t="shared" ca="1" si="15"/>
        <v>1639</v>
      </c>
    </row>
    <row r="89" spans="1:7" x14ac:dyDescent="0.3">
      <c r="A89" s="5" t="str">
        <f t="shared" si="9"/>
        <v>New Balance</v>
      </c>
      <c r="B89" s="5" t="str">
        <f t="shared" si="11"/>
        <v>327</v>
      </c>
      <c r="C89" s="3">
        <f t="shared" si="10"/>
        <v>45663</v>
      </c>
      <c r="D89" s="4">
        <f t="shared" ca="1" si="12"/>
        <v>145</v>
      </c>
      <c r="E89" s="2">
        <f t="shared" ca="1" si="13"/>
        <v>2523</v>
      </c>
      <c r="F89" s="2">
        <f t="shared" ca="1" si="14"/>
        <v>30423</v>
      </c>
      <c r="G89" s="2">
        <f t="shared" ca="1" si="15"/>
        <v>972</v>
      </c>
    </row>
    <row r="90" spans="1:7" x14ac:dyDescent="0.3">
      <c r="A90" s="5" t="str">
        <f t="shared" si="9"/>
        <v>Reebok</v>
      </c>
      <c r="B90" s="5" t="str">
        <f t="shared" si="11"/>
        <v>Question Mid</v>
      </c>
      <c r="C90" s="3">
        <f t="shared" si="10"/>
        <v>45663</v>
      </c>
      <c r="D90" s="4">
        <f t="shared" ca="1" si="12"/>
        <v>89</v>
      </c>
      <c r="E90" s="2">
        <f t="shared" ca="1" si="13"/>
        <v>10757</v>
      </c>
      <c r="F90" s="2">
        <f t="shared" ca="1" si="14"/>
        <v>18566</v>
      </c>
      <c r="G90" s="2">
        <f t="shared" ca="1" si="15"/>
        <v>411</v>
      </c>
    </row>
    <row r="91" spans="1:7" x14ac:dyDescent="0.3">
      <c r="A91" s="5" t="str">
        <f t="shared" si="9"/>
        <v>Nike</v>
      </c>
      <c r="B91" s="5" t="str">
        <f t="shared" si="11"/>
        <v>Air Max 270</v>
      </c>
      <c r="C91" s="3">
        <f t="shared" si="10"/>
        <v>45663</v>
      </c>
      <c r="D91" s="4">
        <f t="shared" ca="1" si="12"/>
        <v>137</v>
      </c>
      <c r="E91" s="2">
        <f t="shared" ca="1" si="13"/>
        <v>3517</v>
      </c>
      <c r="F91" s="2">
        <f t="shared" ca="1" si="14"/>
        <v>26381</v>
      </c>
      <c r="G91" s="2">
        <f t="shared" ca="1" si="15"/>
        <v>1157</v>
      </c>
    </row>
    <row r="92" spans="1:7" x14ac:dyDescent="0.3">
      <c r="A92" s="5" t="str">
        <f t="shared" si="9"/>
        <v>Adidas</v>
      </c>
      <c r="B92" s="5" t="str">
        <f t="shared" si="11"/>
        <v>Stan Smith</v>
      </c>
      <c r="C92" s="3">
        <f t="shared" si="10"/>
        <v>45664</v>
      </c>
      <c r="D92" s="4">
        <f t="shared" ca="1" si="12"/>
        <v>29</v>
      </c>
      <c r="E92" s="2">
        <f t="shared" ca="1" si="13"/>
        <v>2290</v>
      </c>
      <c r="F92" s="2">
        <f t="shared" ca="1" si="14"/>
        <v>5854</v>
      </c>
      <c r="G92" s="2">
        <f t="shared" ca="1" si="15"/>
        <v>173</v>
      </c>
    </row>
    <row r="93" spans="1:7" x14ac:dyDescent="0.3">
      <c r="A93" s="5" t="str">
        <f t="shared" si="9"/>
        <v>Puma</v>
      </c>
      <c r="B93" s="5" t="str">
        <f t="shared" si="11"/>
        <v>Cali Dream</v>
      </c>
      <c r="C93" s="3">
        <f t="shared" si="10"/>
        <v>45664</v>
      </c>
      <c r="D93" s="4">
        <f t="shared" ca="1" si="12"/>
        <v>246</v>
      </c>
      <c r="E93" s="2">
        <f t="shared" ca="1" si="13"/>
        <v>10557</v>
      </c>
      <c r="F93" s="2">
        <f t="shared" ca="1" si="14"/>
        <v>12650</v>
      </c>
      <c r="G93" s="2">
        <f t="shared" ca="1" si="15"/>
        <v>841</v>
      </c>
    </row>
    <row r="94" spans="1:7" x14ac:dyDescent="0.3">
      <c r="A94" s="5" t="str">
        <f t="shared" si="9"/>
        <v>New Balance</v>
      </c>
      <c r="B94" s="5" t="str">
        <f t="shared" si="11"/>
        <v>9060</v>
      </c>
      <c r="C94" s="3">
        <f t="shared" si="10"/>
        <v>45664</v>
      </c>
      <c r="D94" s="4">
        <f t="shared" ca="1" si="12"/>
        <v>21</v>
      </c>
      <c r="E94" s="2">
        <f t="shared" ca="1" si="13"/>
        <v>7534</v>
      </c>
      <c r="F94" s="2">
        <f t="shared" ca="1" si="14"/>
        <v>7959</v>
      </c>
      <c r="G94" s="2">
        <f t="shared" ca="1" si="15"/>
        <v>624</v>
      </c>
    </row>
    <row r="95" spans="1:7" x14ac:dyDescent="0.3">
      <c r="A95" s="5" t="str">
        <f t="shared" si="9"/>
        <v>Reebok</v>
      </c>
      <c r="B95" s="5" t="str">
        <f t="shared" si="11"/>
        <v>Zig Kinetica</v>
      </c>
      <c r="C95" s="3">
        <f t="shared" si="10"/>
        <v>45664</v>
      </c>
      <c r="D95" s="4">
        <f t="shared" ca="1" si="12"/>
        <v>137</v>
      </c>
      <c r="E95" s="2">
        <f t="shared" ca="1" si="13"/>
        <v>6925</v>
      </c>
      <c r="F95" s="2">
        <f t="shared" ca="1" si="14"/>
        <v>32380</v>
      </c>
      <c r="G95" s="2">
        <f t="shared" ca="1" si="15"/>
        <v>1643</v>
      </c>
    </row>
    <row r="96" spans="1:7" x14ac:dyDescent="0.3">
      <c r="A96" s="5" t="str">
        <f t="shared" si="9"/>
        <v>Nike</v>
      </c>
      <c r="B96" s="5" t="str">
        <f t="shared" si="11"/>
        <v>Jordan 1</v>
      </c>
      <c r="C96" s="3">
        <f t="shared" si="10"/>
        <v>45664</v>
      </c>
      <c r="D96" s="4">
        <f t="shared" ca="1" si="12"/>
        <v>73</v>
      </c>
      <c r="E96" s="2">
        <f t="shared" ca="1" si="13"/>
        <v>9105</v>
      </c>
      <c r="F96" s="2">
        <f t="shared" ca="1" si="14"/>
        <v>12157</v>
      </c>
      <c r="G96" s="2">
        <f t="shared" ca="1" si="15"/>
        <v>903</v>
      </c>
    </row>
    <row r="97" spans="1:7" x14ac:dyDescent="0.3">
      <c r="A97" s="5" t="str">
        <f t="shared" si="9"/>
        <v>Adidas</v>
      </c>
      <c r="B97" s="5" t="str">
        <f t="shared" si="11"/>
        <v>Ultraboost 23</v>
      </c>
      <c r="C97" s="3">
        <f t="shared" si="10"/>
        <v>45664</v>
      </c>
      <c r="D97" s="4">
        <f t="shared" ca="1" si="12"/>
        <v>172</v>
      </c>
      <c r="E97" s="2">
        <f t="shared" ca="1" si="13"/>
        <v>3680</v>
      </c>
      <c r="F97" s="2">
        <f t="shared" ca="1" si="14"/>
        <v>31767</v>
      </c>
      <c r="G97" s="2">
        <f t="shared" ca="1" si="15"/>
        <v>2196</v>
      </c>
    </row>
    <row r="98" spans="1:7" x14ac:dyDescent="0.3">
      <c r="A98" s="5" t="str">
        <f t="shared" si="9"/>
        <v>Puma</v>
      </c>
      <c r="B98" s="5" t="str">
        <f t="shared" si="11"/>
        <v>RS-X</v>
      </c>
      <c r="C98" s="3">
        <f t="shared" si="10"/>
        <v>45664</v>
      </c>
      <c r="D98" s="4">
        <f t="shared" ca="1" si="12"/>
        <v>158</v>
      </c>
      <c r="E98" s="2">
        <f t="shared" ca="1" si="13"/>
        <v>2853</v>
      </c>
      <c r="F98" s="2">
        <f t="shared" ca="1" si="14"/>
        <v>8988</v>
      </c>
      <c r="G98" s="2">
        <f t="shared" ca="1" si="15"/>
        <v>523</v>
      </c>
    </row>
    <row r="99" spans="1:7" x14ac:dyDescent="0.3">
      <c r="A99" s="5" t="str">
        <f t="shared" si="9"/>
        <v>New Balance</v>
      </c>
      <c r="B99" s="5" t="str">
        <f t="shared" si="11"/>
        <v>2002R</v>
      </c>
      <c r="C99" s="3">
        <f t="shared" si="10"/>
        <v>45664</v>
      </c>
      <c r="D99" s="4">
        <f t="shared" ca="1" si="12"/>
        <v>100</v>
      </c>
      <c r="E99" s="2">
        <f t="shared" ca="1" si="13"/>
        <v>3226</v>
      </c>
      <c r="F99" s="2">
        <f t="shared" ca="1" si="14"/>
        <v>6255</v>
      </c>
      <c r="G99" s="2">
        <f t="shared" ca="1" si="15"/>
        <v>461</v>
      </c>
    </row>
    <row r="100" spans="1:7" x14ac:dyDescent="0.3">
      <c r="A100" s="5" t="str">
        <f t="shared" si="9"/>
        <v>Reebok</v>
      </c>
      <c r="B100" s="5" t="str">
        <f t="shared" si="11"/>
        <v>Instapump Fury</v>
      </c>
      <c r="C100" s="3">
        <f t="shared" si="10"/>
        <v>45664</v>
      </c>
      <c r="D100" s="4">
        <f t="shared" ca="1" si="12"/>
        <v>82</v>
      </c>
      <c r="E100" s="2">
        <f t="shared" ca="1" si="13"/>
        <v>7880</v>
      </c>
      <c r="F100" s="2">
        <f t="shared" ca="1" si="14"/>
        <v>7959</v>
      </c>
      <c r="G100" s="2">
        <f t="shared" ca="1" si="15"/>
        <v>598</v>
      </c>
    </row>
    <row r="101" spans="1:7" x14ac:dyDescent="0.3">
      <c r="A101" s="5" t="str">
        <f t="shared" si="9"/>
        <v>Nike</v>
      </c>
      <c r="B101" s="5" t="str">
        <f t="shared" si="11"/>
        <v>Cortez</v>
      </c>
      <c r="C101" s="3">
        <f t="shared" si="10"/>
        <v>45664</v>
      </c>
      <c r="D101" s="4">
        <f t="shared" ca="1" si="12"/>
        <v>143</v>
      </c>
      <c r="E101" s="2">
        <f t="shared" ca="1" si="13"/>
        <v>7301</v>
      </c>
      <c r="F101" s="2">
        <f t="shared" ca="1" si="14"/>
        <v>15195</v>
      </c>
      <c r="G101" s="2">
        <f t="shared" ca="1" si="15"/>
        <v>655</v>
      </c>
    </row>
    <row r="102" spans="1:7" x14ac:dyDescent="0.3">
      <c r="A102" s="5" t="str">
        <f t="shared" si="9"/>
        <v>Adidas</v>
      </c>
      <c r="B102" s="5" t="str">
        <f t="shared" si="11"/>
        <v>NMD S1</v>
      </c>
      <c r="C102" s="3">
        <f t="shared" si="10"/>
        <v>45664</v>
      </c>
      <c r="D102" s="4">
        <f t="shared" ca="1" si="12"/>
        <v>73</v>
      </c>
      <c r="E102" s="2">
        <f t="shared" ca="1" si="13"/>
        <v>8258</v>
      </c>
      <c r="F102" s="2">
        <f t="shared" ca="1" si="14"/>
        <v>13129</v>
      </c>
      <c r="G102" s="2">
        <f t="shared" ca="1" si="15"/>
        <v>566</v>
      </c>
    </row>
    <row r="103" spans="1:7" x14ac:dyDescent="0.3">
      <c r="A103" s="5" t="str">
        <f t="shared" si="9"/>
        <v>Puma</v>
      </c>
      <c r="B103" s="5" t="str">
        <f t="shared" si="11"/>
        <v>Suede Classic</v>
      </c>
      <c r="C103" s="3">
        <f t="shared" si="10"/>
        <v>45664</v>
      </c>
      <c r="D103" s="4">
        <f t="shared" ca="1" si="12"/>
        <v>78</v>
      </c>
      <c r="E103" s="2">
        <f t="shared" ca="1" si="13"/>
        <v>7958</v>
      </c>
      <c r="F103" s="2">
        <f t="shared" ca="1" si="14"/>
        <v>22421</v>
      </c>
      <c r="G103" s="2">
        <f t="shared" ca="1" si="15"/>
        <v>1216</v>
      </c>
    </row>
    <row r="104" spans="1:7" x14ac:dyDescent="0.3">
      <c r="A104" s="5" t="str">
        <f t="shared" si="9"/>
        <v>New Balance</v>
      </c>
      <c r="B104" s="5" t="str">
        <f t="shared" si="11"/>
        <v>990v6</v>
      </c>
      <c r="C104" s="3">
        <f t="shared" si="10"/>
        <v>45664</v>
      </c>
      <c r="D104" s="4">
        <f t="shared" ca="1" si="12"/>
        <v>70</v>
      </c>
      <c r="E104" s="2">
        <f t="shared" ca="1" si="13"/>
        <v>5639</v>
      </c>
      <c r="F104" s="2">
        <f t="shared" ca="1" si="14"/>
        <v>16979</v>
      </c>
      <c r="G104" s="2">
        <f t="shared" ca="1" si="15"/>
        <v>1345</v>
      </c>
    </row>
    <row r="105" spans="1:7" x14ac:dyDescent="0.3">
      <c r="A105" s="5" t="str">
        <f t="shared" si="9"/>
        <v>Reebok</v>
      </c>
      <c r="B105" s="5" t="str">
        <f t="shared" si="11"/>
        <v>Nano X3</v>
      </c>
      <c r="C105" s="3">
        <f t="shared" si="10"/>
        <v>45664</v>
      </c>
      <c r="D105" s="4">
        <f t="shared" ca="1" si="12"/>
        <v>107</v>
      </c>
      <c r="E105" s="2">
        <f t="shared" ca="1" si="13"/>
        <v>3730</v>
      </c>
      <c r="F105" s="2">
        <f t="shared" ca="1" si="14"/>
        <v>25382</v>
      </c>
      <c r="G105" s="2">
        <f t="shared" ca="1" si="15"/>
        <v>2001</v>
      </c>
    </row>
    <row r="106" spans="1:7" x14ac:dyDescent="0.3">
      <c r="A106" s="5" t="str">
        <f t="shared" si="9"/>
        <v>Nike</v>
      </c>
      <c r="B106" s="5" t="str">
        <f t="shared" si="11"/>
        <v>Vaporfly 3</v>
      </c>
      <c r="C106" s="3">
        <f t="shared" si="10"/>
        <v>45664</v>
      </c>
      <c r="D106" s="4">
        <f t="shared" ca="1" si="12"/>
        <v>177</v>
      </c>
      <c r="E106" s="2">
        <f t="shared" ca="1" si="13"/>
        <v>10965</v>
      </c>
      <c r="F106" s="2">
        <f t="shared" ca="1" si="14"/>
        <v>8268</v>
      </c>
      <c r="G106" s="2">
        <f t="shared" ca="1" si="15"/>
        <v>204</v>
      </c>
    </row>
    <row r="107" spans="1:7" x14ac:dyDescent="0.3">
      <c r="A107" s="5" t="str">
        <f t="shared" ref="A107:A170" si="16">CHOOSE(MOD(ROW(A106),5)+1,"Nike","Adidas","Puma","New Balance","Reebok")</f>
        <v>Adidas</v>
      </c>
      <c r="B107" s="5" t="str">
        <f t="shared" si="11"/>
        <v>Samba</v>
      </c>
      <c r="C107" s="3">
        <f t="shared" ref="C107:C170" si="17">DATE(2025,1,1)+INT((ROW(A107)-2)/15)</f>
        <v>45665</v>
      </c>
      <c r="D107" s="4">
        <f t="shared" ca="1" si="12"/>
        <v>23</v>
      </c>
      <c r="E107" s="2">
        <f t="shared" ca="1" si="13"/>
        <v>6037</v>
      </c>
      <c r="F107" s="2">
        <f t="shared" ca="1" si="14"/>
        <v>10154</v>
      </c>
      <c r="G107" s="2">
        <f t="shared" ca="1" si="15"/>
        <v>299</v>
      </c>
    </row>
    <row r="108" spans="1:7" x14ac:dyDescent="0.3">
      <c r="A108" s="5" t="str">
        <f t="shared" si="16"/>
        <v>Puma</v>
      </c>
      <c r="B108" s="5" t="str">
        <f t="shared" si="11"/>
        <v>Mayze</v>
      </c>
      <c r="C108" s="3">
        <f t="shared" si="17"/>
        <v>45665</v>
      </c>
      <c r="D108" s="4">
        <f t="shared" ca="1" si="12"/>
        <v>104</v>
      </c>
      <c r="E108" s="2">
        <f t="shared" ca="1" si="13"/>
        <v>11841</v>
      </c>
      <c r="F108" s="2">
        <f t="shared" ca="1" si="14"/>
        <v>14828</v>
      </c>
      <c r="G108" s="2">
        <f t="shared" ca="1" si="15"/>
        <v>541</v>
      </c>
    </row>
    <row r="109" spans="1:7" x14ac:dyDescent="0.3">
      <c r="A109" s="5" t="str">
        <f t="shared" si="16"/>
        <v>New Balance</v>
      </c>
      <c r="B109" s="5" t="str">
        <f t="shared" si="11"/>
        <v>574 Core</v>
      </c>
      <c r="C109" s="3">
        <f t="shared" si="17"/>
        <v>45665</v>
      </c>
      <c r="D109" s="4">
        <f t="shared" ca="1" si="12"/>
        <v>245</v>
      </c>
      <c r="E109" s="2">
        <f t="shared" ca="1" si="13"/>
        <v>1955</v>
      </c>
      <c r="F109" s="2">
        <f t="shared" ca="1" si="14"/>
        <v>22594</v>
      </c>
      <c r="G109" s="2">
        <f t="shared" ca="1" si="15"/>
        <v>1421</v>
      </c>
    </row>
    <row r="110" spans="1:7" x14ac:dyDescent="0.3">
      <c r="A110" s="5" t="str">
        <f t="shared" si="16"/>
        <v>Reebok</v>
      </c>
      <c r="B110" s="5" t="str">
        <f t="shared" si="11"/>
        <v>Club C 85</v>
      </c>
      <c r="C110" s="3">
        <f t="shared" si="17"/>
        <v>45665</v>
      </c>
      <c r="D110" s="4">
        <f t="shared" ca="1" si="12"/>
        <v>202</v>
      </c>
      <c r="E110" s="2">
        <f t="shared" ca="1" si="13"/>
        <v>10251</v>
      </c>
      <c r="F110" s="2">
        <f t="shared" ca="1" si="14"/>
        <v>32749</v>
      </c>
      <c r="G110" s="2">
        <f t="shared" ca="1" si="15"/>
        <v>1332</v>
      </c>
    </row>
    <row r="111" spans="1:7" x14ac:dyDescent="0.3">
      <c r="A111" s="5" t="str">
        <f t="shared" si="16"/>
        <v>Nike</v>
      </c>
      <c r="B111" s="5" t="str">
        <f t="shared" si="11"/>
        <v>Pegasus 40</v>
      </c>
      <c r="C111" s="3">
        <f t="shared" si="17"/>
        <v>45665</v>
      </c>
      <c r="D111" s="4">
        <f t="shared" ca="1" si="12"/>
        <v>165</v>
      </c>
      <c r="E111" s="2">
        <f t="shared" ca="1" si="13"/>
        <v>7191</v>
      </c>
      <c r="F111" s="2">
        <f t="shared" ca="1" si="14"/>
        <v>28937</v>
      </c>
      <c r="G111" s="2">
        <f t="shared" ca="1" si="15"/>
        <v>1719</v>
      </c>
    </row>
    <row r="112" spans="1:7" x14ac:dyDescent="0.3">
      <c r="A112" s="5" t="str">
        <f t="shared" si="16"/>
        <v>Adidas</v>
      </c>
      <c r="B112" s="5" t="str">
        <f t="shared" si="11"/>
        <v>Gazelle</v>
      </c>
      <c r="C112" s="3">
        <f t="shared" si="17"/>
        <v>45665</v>
      </c>
      <c r="D112" s="4">
        <f t="shared" ca="1" si="12"/>
        <v>222</v>
      </c>
      <c r="E112" s="2">
        <f t="shared" ca="1" si="13"/>
        <v>10413</v>
      </c>
      <c r="F112" s="2">
        <f t="shared" ca="1" si="14"/>
        <v>18709</v>
      </c>
      <c r="G112" s="2">
        <f t="shared" ca="1" si="15"/>
        <v>1336</v>
      </c>
    </row>
    <row r="113" spans="1:7" x14ac:dyDescent="0.3">
      <c r="A113" s="5" t="str">
        <f t="shared" si="16"/>
        <v>Puma</v>
      </c>
      <c r="B113" s="5" t="str">
        <f t="shared" si="11"/>
        <v>Slipstream</v>
      </c>
      <c r="C113" s="3">
        <f t="shared" si="17"/>
        <v>45665</v>
      </c>
      <c r="D113" s="4">
        <f t="shared" ca="1" si="12"/>
        <v>85</v>
      </c>
      <c r="E113" s="2">
        <f t="shared" ca="1" si="13"/>
        <v>5803</v>
      </c>
      <c r="F113" s="2">
        <f t="shared" ca="1" si="14"/>
        <v>28800</v>
      </c>
      <c r="G113" s="2">
        <f t="shared" ca="1" si="15"/>
        <v>1689</v>
      </c>
    </row>
    <row r="114" spans="1:7" x14ac:dyDescent="0.3">
      <c r="A114" s="5" t="str">
        <f t="shared" si="16"/>
        <v>New Balance</v>
      </c>
      <c r="B114" s="5" t="str">
        <f t="shared" si="11"/>
        <v>550</v>
      </c>
      <c r="C114" s="3">
        <f t="shared" si="17"/>
        <v>45665</v>
      </c>
      <c r="D114" s="4">
        <f t="shared" ca="1" si="12"/>
        <v>88</v>
      </c>
      <c r="E114" s="2">
        <f t="shared" ca="1" si="13"/>
        <v>11122</v>
      </c>
      <c r="F114" s="2">
        <f t="shared" ca="1" si="14"/>
        <v>23126</v>
      </c>
      <c r="G114" s="2">
        <f t="shared" ca="1" si="15"/>
        <v>1720</v>
      </c>
    </row>
    <row r="115" spans="1:7" x14ac:dyDescent="0.3">
      <c r="A115" s="5" t="str">
        <f t="shared" si="16"/>
        <v>Reebok</v>
      </c>
      <c r="B115" s="5" t="str">
        <f t="shared" si="11"/>
        <v>Classic Leather</v>
      </c>
      <c r="C115" s="3">
        <f t="shared" si="17"/>
        <v>45665</v>
      </c>
      <c r="D115" s="4">
        <f t="shared" ca="1" si="12"/>
        <v>60</v>
      </c>
      <c r="E115" s="2">
        <f t="shared" ca="1" si="13"/>
        <v>7440</v>
      </c>
      <c r="F115" s="2">
        <f t="shared" ca="1" si="14"/>
        <v>25774</v>
      </c>
      <c r="G115" s="2">
        <f t="shared" ca="1" si="15"/>
        <v>1669</v>
      </c>
    </row>
    <row r="116" spans="1:7" x14ac:dyDescent="0.3">
      <c r="A116" s="5" t="str">
        <f t="shared" si="16"/>
        <v>Nike</v>
      </c>
      <c r="B116" s="5" t="str">
        <f t="shared" si="11"/>
        <v>Air Force 1</v>
      </c>
      <c r="C116" s="3">
        <f t="shared" si="17"/>
        <v>45665</v>
      </c>
      <c r="D116" s="4">
        <f t="shared" ca="1" si="12"/>
        <v>202</v>
      </c>
      <c r="E116" s="2">
        <f t="shared" ca="1" si="13"/>
        <v>2903</v>
      </c>
      <c r="F116" s="2">
        <f t="shared" ca="1" si="14"/>
        <v>21934</v>
      </c>
      <c r="G116" s="2">
        <f t="shared" ca="1" si="15"/>
        <v>859</v>
      </c>
    </row>
    <row r="117" spans="1:7" x14ac:dyDescent="0.3">
      <c r="A117" s="5" t="str">
        <f t="shared" si="16"/>
        <v>Adidas</v>
      </c>
      <c r="B117" s="5" t="str">
        <f t="shared" si="11"/>
        <v>Superstar</v>
      </c>
      <c r="C117" s="3">
        <f t="shared" si="17"/>
        <v>45665</v>
      </c>
      <c r="D117" s="4">
        <f t="shared" ca="1" si="12"/>
        <v>84</v>
      </c>
      <c r="E117" s="2">
        <f t="shared" ca="1" si="13"/>
        <v>5649</v>
      </c>
      <c r="F117" s="2">
        <f t="shared" ca="1" si="14"/>
        <v>6206</v>
      </c>
      <c r="G117" s="2">
        <f t="shared" ca="1" si="15"/>
        <v>220</v>
      </c>
    </row>
    <row r="118" spans="1:7" x14ac:dyDescent="0.3">
      <c r="A118" s="5" t="str">
        <f t="shared" si="16"/>
        <v>Puma</v>
      </c>
      <c r="B118" s="5" t="str">
        <f t="shared" si="11"/>
        <v>Rider Vintage</v>
      </c>
      <c r="C118" s="3">
        <f t="shared" si="17"/>
        <v>45665</v>
      </c>
      <c r="D118" s="4">
        <f t="shared" ca="1" si="12"/>
        <v>104</v>
      </c>
      <c r="E118" s="2">
        <f t="shared" ca="1" si="13"/>
        <v>10550</v>
      </c>
      <c r="F118" s="2">
        <f t="shared" ca="1" si="14"/>
        <v>5427</v>
      </c>
      <c r="G118" s="2">
        <f t="shared" ca="1" si="15"/>
        <v>280</v>
      </c>
    </row>
    <row r="119" spans="1:7" x14ac:dyDescent="0.3">
      <c r="A119" s="5" t="str">
        <f t="shared" si="16"/>
        <v>New Balance</v>
      </c>
      <c r="B119" s="5" t="str">
        <f t="shared" si="11"/>
        <v>327</v>
      </c>
      <c r="C119" s="3">
        <f t="shared" si="17"/>
        <v>45665</v>
      </c>
      <c r="D119" s="4">
        <f t="shared" ca="1" si="12"/>
        <v>183</v>
      </c>
      <c r="E119" s="2">
        <f t="shared" ca="1" si="13"/>
        <v>6962</v>
      </c>
      <c r="F119" s="2">
        <f t="shared" ca="1" si="14"/>
        <v>22375</v>
      </c>
      <c r="G119" s="2">
        <f t="shared" ca="1" si="15"/>
        <v>1677</v>
      </c>
    </row>
    <row r="120" spans="1:7" x14ac:dyDescent="0.3">
      <c r="A120" s="5" t="str">
        <f t="shared" si="16"/>
        <v>Reebok</v>
      </c>
      <c r="B120" s="5" t="str">
        <f t="shared" si="11"/>
        <v>Question Mid</v>
      </c>
      <c r="C120" s="3">
        <f t="shared" si="17"/>
        <v>45665</v>
      </c>
      <c r="D120" s="4">
        <f t="shared" ca="1" si="12"/>
        <v>160</v>
      </c>
      <c r="E120" s="2">
        <f t="shared" ca="1" si="13"/>
        <v>4244</v>
      </c>
      <c r="F120" s="2">
        <f t="shared" ca="1" si="14"/>
        <v>25967</v>
      </c>
      <c r="G120" s="2">
        <f t="shared" ca="1" si="15"/>
        <v>1113</v>
      </c>
    </row>
    <row r="121" spans="1:7" x14ac:dyDescent="0.3">
      <c r="A121" s="5" t="str">
        <f t="shared" si="16"/>
        <v>Nike</v>
      </c>
      <c r="B121" s="5" t="str">
        <f t="shared" si="11"/>
        <v>Air Max 270</v>
      </c>
      <c r="C121" s="3">
        <f t="shared" si="17"/>
        <v>45665</v>
      </c>
      <c r="D121" s="4">
        <f t="shared" ca="1" si="12"/>
        <v>57</v>
      </c>
      <c r="E121" s="2">
        <f t="shared" ca="1" si="13"/>
        <v>2869</v>
      </c>
      <c r="F121" s="2">
        <f t="shared" ca="1" si="14"/>
        <v>18050</v>
      </c>
      <c r="G121" s="2">
        <f t="shared" ca="1" si="15"/>
        <v>1360</v>
      </c>
    </row>
    <row r="122" spans="1:7" x14ac:dyDescent="0.3">
      <c r="A122" s="5" t="str">
        <f t="shared" si="16"/>
        <v>Adidas</v>
      </c>
      <c r="B122" s="5" t="str">
        <f t="shared" si="11"/>
        <v>Stan Smith</v>
      </c>
      <c r="C122" s="3">
        <f t="shared" si="17"/>
        <v>45666</v>
      </c>
      <c r="D122" s="4">
        <f t="shared" ca="1" si="12"/>
        <v>162</v>
      </c>
      <c r="E122" s="2">
        <f t="shared" ca="1" si="13"/>
        <v>2661</v>
      </c>
      <c r="F122" s="2">
        <f t="shared" ca="1" si="14"/>
        <v>30845</v>
      </c>
      <c r="G122" s="2">
        <f t="shared" ca="1" si="15"/>
        <v>1004</v>
      </c>
    </row>
    <row r="123" spans="1:7" x14ac:dyDescent="0.3">
      <c r="A123" s="5" t="str">
        <f t="shared" si="16"/>
        <v>Puma</v>
      </c>
      <c r="B123" s="5" t="str">
        <f t="shared" si="11"/>
        <v>Cali Dream</v>
      </c>
      <c r="C123" s="3">
        <f t="shared" si="17"/>
        <v>45666</v>
      </c>
      <c r="D123" s="4">
        <f t="shared" ca="1" si="12"/>
        <v>174</v>
      </c>
      <c r="E123" s="2">
        <f t="shared" ca="1" si="13"/>
        <v>2587</v>
      </c>
      <c r="F123" s="2">
        <f t="shared" ca="1" si="14"/>
        <v>25768</v>
      </c>
      <c r="G123" s="2">
        <f t="shared" ca="1" si="15"/>
        <v>1781</v>
      </c>
    </row>
    <row r="124" spans="1:7" x14ac:dyDescent="0.3">
      <c r="A124" s="5" t="str">
        <f t="shared" si="16"/>
        <v>New Balance</v>
      </c>
      <c r="B124" s="5" t="str">
        <f t="shared" si="11"/>
        <v>9060</v>
      </c>
      <c r="C124" s="3">
        <f t="shared" si="17"/>
        <v>45666</v>
      </c>
      <c r="D124" s="4">
        <f t="shared" ca="1" si="12"/>
        <v>130</v>
      </c>
      <c r="E124" s="2">
        <f t="shared" ca="1" si="13"/>
        <v>4122</v>
      </c>
      <c r="F124" s="2">
        <f t="shared" ca="1" si="14"/>
        <v>5070</v>
      </c>
      <c r="G124" s="2">
        <f t="shared" ca="1" si="15"/>
        <v>202</v>
      </c>
    </row>
    <row r="125" spans="1:7" x14ac:dyDescent="0.3">
      <c r="A125" s="5" t="str">
        <f t="shared" si="16"/>
        <v>Reebok</v>
      </c>
      <c r="B125" s="5" t="str">
        <f t="shared" si="11"/>
        <v>Zig Kinetica</v>
      </c>
      <c r="C125" s="3">
        <f t="shared" si="17"/>
        <v>45666</v>
      </c>
      <c r="D125" s="4">
        <f t="shared" ca="1" si="12"/>
        <v>243</v>
      </c>
      <c r="E125" s="2">
        <f t="shared" ca="1" si="13"/>
        <v>11733</v>
      </c>
      <c r="F125" s="2">
        <f t="shared" ca="1" si="14"/>
        <v>26554</v>
      </c>
      <c r="G125" s="2">
        <f t="shared" ca="1" si="15"/>
        <v>1921</v>
      </c>
    </row>
    <row r="126" spans="1:7" x14ac:dyDescent="0.3">
      <c r="A126" s="5" t="str">
        <f t="shared" si="16"/>
        <v>Nike</v>
      </c>
      <c r="B126" s="5" t="str">
        <f t="shared" si="11"/>
        <v>Jordan 1</v>
      </c>
      <c r="C126" s="3">
        <f t="shared" si="17"/>
        <v>45666</v>
      </c>
      <c r="D126" s="4">
        <f t="shared" ca="1" si="12"/>
        <v>61</v>
      </c>
      <c r="E126" s="2">
        <f t="shared" ca="1" si="13"/>
        <v>3498</v>
      </c>
      <c r="F126" s="2">
        <f t="shared" ca="1" si="14"/>
        <v>11295</v>
      </c>
      <c r="G126" s="2">
        <f t="shared" ca="1" si="15"/>
        <v>449</v>
      </c>
    </row>
    <row r="127" spans="1:7" x14ac:dyDescent="0.3">
      <c r="A127" s="5" t="str">
        <f t="shared" si="16"/>
        <v>Adidas</v>
      </c>
      <c r="B127" s="5" t="str">
        <f t="shared" si="11"/>
        <v>Ultraboost 23</v>
      </c>
      <c r="C127" s="3">
        <f t="shared" si="17"/>
        <v>45666</v>
      </c>
      <c r="D127" s="4">
        <f t="shared" ca="1" si="12"/>
        <v>141</v>
      </c>
      <c r="E127" s="2">
        <f t="shared" ca="1" si="13"/>
        <v>10297</v>
      </c>
      <c r="F127" s="2">
        <f t="shared" ca="1" si="14"/>
        <v>16946</v>
      </c>
      <c r="G127" s="2">
        <f t="shared" ca="1" si="15"/>
        <v>923</v>
      </c>
    </row>
    <row r="128" spans="1:7" x14ac:dyDescent="0.3">
      <c r="A128" s="5" t="str">
        <f t="shared" si="16"/>
        <v>Puma</v>
      </c>
      <c r="B128" s="5" t="str">
        <f t="shared" si="11"/>
        <v>RS-X</v>
      </c>
      <c r="C128" s="3">
        <f t="shared" si="17"/>
        <v>45666</v>
      </c>
      <c r="D128" s="4">
        <f t="shared" ca="1" si="12"/>
        <v>128</v>
      </c>
      <c r="E128" s="2">
        <f t="shared" ca="1" si="13"/>
        <v>6622</v>
      </c>
      <c r="F128" s="2">
        <f t="shared" ca="1" si="14"/>
        <v>19049</v>
      </c>
      <c r="G128" s="2">
        <f t="shared" ca="1" si="15"/>
        <v>1485</v>
      </c>
    </row>
    <row r="129" spans="1:7" x14ac:dyDescent="0.3">
      <c r="A129" s="5" t="str">
        <f t="shared" si="16"/>
        <v>New Balance</v>
      </c>
      <c r="B129" s="5" t="str">
        <f t="shared" si="11"/>
        <v>2002R</v>
      </c>
      <c r="C129" s="3">
        <f t="shared" si="17"/>
        <v>45666</v>
      </c>
      <c r="D129" s="4">
        <f t="shared" ca="1" si="12"/>
        <v>99</v>
      </c>
      <c r="E129" s="2">
        <f t="shared" ca="1" si="13"/>
        <v>7558</v>
      </c>
      <c r="F129" s="2">
        <f t="shared" ca="1" si="14"/>
        <v>14760</v>
      </c>
      <c r="G129" s="2">
        <f t="shared" ca="1" si="15"/>
        <v>568</v>
      </c>
    </row>
    <row r="130" spans="1:7" x14ac:dyDescent="0.3">
      <c r="A130" s="5" t="str">
        <f t="shared" si="16"/>
        <v>Reebok</v>
      </c>
      <c r="B130" s="5" t="str">
        <f t="shared" si="11"/>
        <v>Instapump Fury</v>
      </c>
      <c r="C130" s="3">
        <f t="shared" si="17"/>
        <v>45666</v>
      </c>
      <c r="D130" s="4">
        <f t="shared" ca="1" si="12"/>
        <v>226</v>
      </c>
      <c r="E130" s="2">
        <f t="shared" ca="1" si="13"/>
        <v>5599</v>
      </c>
      <c r="F130" s="2">
        <f t="shared" ca="1" si="14"/>
        <v>29633</v>
      </c>
      <c r="G130" s="2">
        <f t="shared" ca="1" si="15"/>
        <v>779</v>
      </c>
    </row>
    <row r="131" spans="1:7" x14ac:dyDescent="0.3">
      <c r="A131" s="5" t="str">
        <f t="shared" si="16"/>
        <v>Nike</v>
      </c>
      <c r="B131" s="5" t="str">
        <f t="shared" ref="B131:B194" si="18">IF(A131="Nike",CHOOSE(MOD(ROW(A130),6)+1,"Air Max 270","Air Force 1","Pegasus 40","Vaporfly 3","Cortez","Jordan 1"),
 IF(A131="Adidas",CHOOSE(MOD(ROW(A130),6)+1,"Ultraboost 23","Stan Smith","Superstar","Gazelle","Samba","NMD S1"),
 IF(A131="Puma",CHOOSE(MOD(ROW(A130),6)+1,"Suede Classic","RS-X","Cali Dream","Rider Vintage","Slipstream","Mayze"),
 IF(A131="New Balance",CHOOSE(MOD(ROW(A130),6)+1,"574 Core","990v6","2002R","9060","327","550"),
 IF(A131="Reebok",CHOOSE(MOD(ROW(A130),6)+1,"Classic Leather","Club C 85","Nano X3","Instapump Fury","Zig Kinetica","Question Mid"),"")))))</f>
        <v>Cortez</v>
      </c>
      <c r="C131" s="3">
        <f t="shared" si="17"/>
        <v>45666</v>
      </c>
      <c r="D131" s="4">
        <f t="shared" ref="D131:D194" ca="1" si="19">RANDBETWEEN(20,250)</f>
        <v>56</v>
      </c>
      <c r="E131" s="2">
        <f t="shared" ref="E131:E194" ca="1" si="20">ROUND(RANDBETWEEN(1500,12000)+(RANDBETWEEN(-200,200)),2)</f>
        <v>4742</v>
      </c>
      <c r="F131" s="2">
        <f t="shared" ref="F131:F194" ca="1" si="21">RANDBETWEEN(5000,35000)</f>
        <v>13508</v>
      </c>
      <c r="G131" s="2">
        <f t="shared" ref="G131:G194" ca="1" si="22">RANDBETWEEN(ROUND(F131*0.02,0),ROUND(F131*0.08,0))</f>
        <v>605</v>
      </c>
    </row>
    <row r="132" spans="1:7" x14ac:dyDescent="0.3">
      <c r="A132" s="5" t="str">
        <f t="shared" si="16"/>
        <v>Adidas</v>
      </c>
      <c r="B132" s="5" t="str">
        <f t="shared" si="18"/>
        <v>NMD S1</v>
      </c>
      <c r="C132" s="3">
        <f t="shared" si="17"/>
        <v>45666</v>
      </c>
      <c r="D132" s="4">
        <f t="shared" ca="1" si="19"/>
        <v>200</v>
      </c>
      <c r="E132" s="2">
        <f t="shared" ca="1" si="20"/>
        <v>4625</v>
      </c>
      <c r="F132" s="2">
        <f t="shared" ca="1" si="21"/>
        <v>34627</v>
      </c>
      <c r="G132" s="2">
        <f t="shared" ca="1" si="22"/>
        <v>2221</v>
      </c>
    </row>
    <row r="133" spans="1:7" x14ac:dyDescent="0.3">
      <c r="A133" s="5" t="str">
        <f t="shared" si="16"/>
        <v>Puma</v>
      </c>
      <c r="B133" s="5" t="str">
        <f t="shared" si="18"/>
        <v>Suede Classic</v>
      </c>
      <c r="C133" s="3">
        <f t="shared" si="17"/>
        <v>45666</v>
      </c>
      <c r="D133" s="4">
        <f t="shared" ca="1" si="19"/>
        <v>120</v>
      </c>
      <c r="E133" s="2">
        <f t="shared" ca="1" si="20"/>
        <v>6372</v>
      </c>
      <c r="F133" s="2">
        <f t="shared" ca="1" si="21"/>
        <v>33727</v>
      </c>
      <c r="G133" s="2">
        <f t="shared" ca="1" si="22"/>
        <v>1017</v>
      </c>
    </row>
    <row r="134" spans="1:7" x14ac:dyDescent="0.3">
      <c r="A134" s="5" t="str">
        <f t="shared" si="16"/>
        <v>New Balance</v>
      </c>
      <c r="B134" s="5" t="str">
        <f t="shared" si="18"/>
        <v>990v6</v>
      </c>
      <c r="C134" s="3">
        <f t="shared" si="17"/>
        <v>45666</v>
      </c>
      <c r="D134" s="4">
        <f t="shared" ca="1" si="19"/>
        <v>179</v>
      </c>
      <c r="E134" s="2">
        <f t="shared" ca="1" si="20"/>
        <v>4940</v>
      </c>
      <c r="F134" s="2">
        <f t="shared" ca="1" si="21"/>
        <v>33613</v>
      </c>
      <c r="G134" s="2">
        <f t="shared" ca="1" si="22"/>
        <v>1834</v>
      </c>
    </row>
    <row r="135" spans="1:7" x14ac:dyDescent="0.3">
      <c r="A135" s="5" t="str">
        <f t="shared" si="16"/>
        <v>Reebok</v>
      </c>
      <c r="B135" s="5" t="str">
        <f t="shared" si="18"/>
        <v>Nano X3</v>
      </c>
      <c r="C135" s="3">
        <f t="shared" si="17"/>
        <v>45666</v>
      </c>
      <c r="D135" s="4">
        <f t="shared" ca="1" si="19"/>
        <v>150</v>
      </c>
      <c r="E135" s="2">
        <f t="shared" ca="1" si="20"/>
        <v>9692</v>
      </c>
      <c r="F135" s="2">
        <f t="shared" ca="1" si="21"/>
        <v>34315</v>
      </c>
      <c r="G135" s="2">
        <f t="shared" ca="1" si="22"/>
        <v>2296</v>
      </c>
    </row>
    <row r="136" spans="1:7" x14ac:dyDescent="0.3">
      <c r="A136" s="5" t="str">
        <f t="shared" si="16"/>
        <v>Nike</v>
      </c>
      <c r="B136" s="5" t="str">
        <f t="shared" si="18"/>
        <v>Vaporfly 3</v>
      </c>
      <c r="C136" s="3">
        <f t="shared" si="17"/>
        <v>45666</v>
      </c>
      <c r="D136" s="4">
        <f t="shared" ca="1" si="19"/>
        <v>107</v>
      </c>
      <c r="E136" s="2">
        <f t="shared" ca="1" si="20"/>
        <v>5273</v>
      </c>
      <c r="F136" s="2">
        <f t="shared" ca="1" si="21"/>
        <v>34364</v>
      </c>
      <c r="G136" s="2">
        <f t="shared" ca="1" si="22"/>
        <v>1445</v>
      </c>
    </row>
    <row r="137" spans="1:7" x14ac:dyDescent="0.3">
      <c r="A137" s="5" t="str">
        <f t="shared" si="16"/>
        <v>Adidas</v>
      </c>
      <c r="B137" s="5" t="str">
        <f t="shared" si="18"/>
        <v>Samba</v>
      </c>
      <c r="C137" s="3">
        <f t="shared" si="17"/>
        <v>45667</v>
      </c>
      <c r="D137" s="4">
        <f t="shared" ca="1" si="19"/>
        <v>69</v>
      </c>
      <c r="E137" s="2">
        <f t="shared" ca="1" si="20"/>
        <v>11262</v>
      </c>
      <c r="F137" s="2">
        <f t="shared" ca="1" si="21"/>
        <v>14015</v>
      </c>
      <c r="G137" s="2">
        <f t="shared" ca="1" si="22"/>
        <v>444</v>
      </c>
    </row>
    <row r="138" spans="1:7" x14ac:dyDescent="0.3">
      <c r="A138" s="5" t="str">
        <f t="shared" si="16"/>
        <v>Puma</v>
      </c>
      <c r="B138" s="5" t="str">
        <f t="shared" si="18"/>
        <v>Mayze</v>
      </c>
      <c r="C138" s="3">
        <f t="shared" si="17"/>
        <v>45667</v>
      </c>
      <c r="D138" s="4">
        <f t="shared" ca="1" si="19"/>
        <v>128</v>
      </c>
      <c r="E138" s="2">
        <f t="shared" ca="1" si="20"/>
        <v>4330</v>
      </c>
      <c r="F138" s="2">
        <f t="shared" ca="1" si="21"/>
        <v>21387</v>
      </c>
      <c r="G138" s="2">
        <f t="shared" ca="1" si="22"/>
        <v>808</v>
      </c>
    </row>
    <row r="139" spans="1:7" x14ac:dyDescent="0.3">
      <c r="A139" s="5" t="str">
        <f t="shared" si="16"/>
        <v>New Balance</v>
      </c>
      <c r="B139" s="5" t="str">
        <f t="shared" si="18"/>
        <v>574 Core</v>
      </c>
      <c r="C139" s="3">
        <f t="shared" si="17"/>
        <v>45667</v>
      </c>
      <c r="D139" s="4">
        <f t="shared" ca="1" si="19"/>
        <v>219</v>
      </c>
      <c r="E139" s="2">
        <f t="shared" ca="1" si="20"/>
        <v>1698</v>
      </c>
      <c r="F139" s="2">
        <f t="shared" ca="1" si="21"/>
        <v>32299</v>
      </c>
      <c r="G139" s="2">
        <f t="shared" ca="1" si="22"/>
        <v>1127</v>
      </c>
    </row>
    <row r="140" spans="1:7" x14ac:dyDescent="0.3">
      <c r="A140" s="5" t="str">
        <f t="shared" si="16"/>
        <v>Reebok</v>
      </c>
      <c r="B140" s="5" t="str">
        <f t="shared" si="18"/>
        <v>Club C 85</v>
      </c>
      <c r="C140" s="3">
        <f t="shared" si="17"/>
        <v>45667</v>
      </c>
      <c r="D140" s="4">
        <f t="shared" ca="1" si="19"/>
        <v>146</v>
      </c>
      <c r="E140" s="2">
        <f t="shared" ca="1" si="20"/>
        <v>6712</v>
      </c>
      <c r="F140" s="2">
        <f t="shared" ca="1" si="21"/>
        <v>31318</v>
      </c>
      <c r="G140" s="2">
        <f t="shared" ca="1" si="22"/>
        <v>675</v>
      </c>
    </row>
    <row r="141" spans="1:7" x14ac:dyDescent="0.3">
      <c r="A141" s="5" t="str">
        <f t="shared" si="16"/>
        <v>Nike</v>
      </c>
      <c r="B141" s="5" t="str">
        <f t="shared" si="18"/>
        <v>Pegasus 40</v>
      </c>
      <c r="C141" s="3">
        <f t="shared" si="17"/>
        <v>45667</v>
      </c>
      <c r="D141" s="4">
        <f t="shared" ca="1" si="19"/>
        <v>45</v>
      </c>
      <c r="E141" s="2">
        <f t="shared" ca="1" si="20"/>
        <v>7540</v>
      </c>
      <c r="F141" s="2">
        <f t="shared" ca="1" si="21"/>
        <v>22697</v>
      </c>
      <c r="G141" s="2">
        <f t="shared" ca="1" si="22"/>
        <v>1252</v>
      </c>
    </row>
    <row r="142" spans="1:7" x14ac:dyDescent="0.3">
      <c r="A142" s="5" t="str">
        <f t="shared" si="16"/>
        <v>Adidas</v>
      </c>
      <c r="B142" s="5" t="str">
        <f t="shared" si="18"/>
        <v>Gazelle</v>
      </c>
      <c r="C142" s="3">
        <f t="shared" si="17"/>
        <v>45667</v>
      </c>
      <c r="D142" s="4">
        <f t="shared" ca="1" si="19"/>
        <v>246</v>
      </c>
      <c r="E142" s="2">
        <f t="shared" ca="1" si="20"/>
        <v>3349</v>
      </c>
      <c r="F142" s="2">
        <f t="shared" ca="1" si="21"/>
        <v>16925</v>
      </c>
      <c r="G142" s="2">
        <f t="shared" ca="1" si="22"/>
        <v>702</v>
      </c>
    </row>
    <row r="143" spans="1:7" x14ac:dyDescent="0.3">
      <c r="A143" s="5" t="str">
        <f t="shared" si="16"/>
        <v>Puma</v>
      </c>
      <c r="B143" s="5" t="str">
        <f t="shared" si="18"/>
        <v>Slipstream</v>
      </c>
      <c r="C143" s="3">
        <f t="shared" si="17"/>
        <v>45667</v>
      </c>
      <c r="D143" s="4">
        <f t="shared" ca="1" si="19"/>
        <v>201</v>
      </c>
      <c r="E143" s="2">
        <f t="shared" ca="1" si="20"/>
        <v>10482</v>
      </c>
      <c r="F143" s="2">
        <f t="shared" ca="1" si="21"/>
        <v>5767</v>
      </c>
      <c r="G143" s="2">
        <f t="shared" ca="1" si="22"/>
        <v>281</v>
      </c>
    </row>
    <row r="144" spans="1:7" x14ac:dyDescent="0.3">
      <c r="A144" s="5" t="str">
        <f t="shared" si="16"/>
        <v>New Balance</v>
      </c>
      <c r="B144" s="5" t="str">
        <f t="shared" si="18"/>
        <v>550</v>
      </c>
      <c r="C144" s="3">
        <f t="shared" si="17"/>
        <v>45667</v>
      </c>
      <c r="D144" s="4">
        <f t="shared" ca="1" si="19"/>
        <v>183</v>
      </c>
      <c r="E144" s="2">
        <f t="shared" ca="1" si="20"/>
        <v>2489</v>
      </c>
      <c r="F144" s="2">
        <f t="shared" ca="1" si="21"/>
        <v>29457</v>
      </c>
      <c r="G144" s="2">
        <f t="shared" ca="1" si="22"/>
        <v>1211</v>
      </c>
    </row>
    <row r="145" spans="1:7" x14ac:dyDescent="0.3">
      <c r="A145" s="5" t="str">
        <f t="shared" si="16"/>
        <v>Reebok</v>
      </c>
      <c r="B145" s="5" t="str">
        <f t="shared" si="18"/>
        <v>Classic Leather</v>
      </c>
      <c r="C145" s="3">
        <f t="shared" si="17"/>
        <v>45667</v>
      </c>
      <c r="D145" s="4">
        <f t="shared" ca="1" si="19"/>
        <v>72</v>
      </c>
      <c r="E145" s="2">
        <f t="shared" ca="1" si="20"/>
        <v>5385</v>
      </c>
      <c r="F145" s="2">
        <f t="shared" ca="1" si="21"/>
        <v>21821</v>
      </c>
      <c r="G145" s="2">
        <f t="shared" ca="1" si="22"/>
        <v>1407</v>
      </c>
    </row>
    <row r="146" spans="1:7" x14ac:dyDescent="0.3">
      <c r="A146" s="5" t="str">
        <f t="shared" si="16"/>
        <v>Nike</v>
      </c>
      <c r="B146" s="5" t="str">
        <f t="shared" si="18"/>
        <v>Air Force 1</v>
      </c>
      <c r="C146" s="3">
        <f t="shared" si="17"/>
        <v>45667</v>
      </c>
      <c r="D146" s="4">
        <f t="shared" ca="1" si="19"/>
        <v>83</v>
      </c>
      <c r="E146" s="2">
        <f t="shared" ca="1" si="20"/>
        <v>5654</v>
      </c>
      <c r="F146" s="2">
        <f t="shared" ca="1" si="21"/>
        <v>26580</v>
      </c>
      <c r="G146" s="2">
        <f t="shared" ca="1" si="22"/>
        <v>1060</v>
      </c>
    </row>
    <row r="147" spans="1:7" x14ac:dyDescent="0.3">
      <c r="A147" s="5" t="str">
        <f t="shared" si="16"/>
        <v>Adidas</v>
      </c>
      <c r="B147" s="5" t="str">
        <f t="shared" si="18"/>
        <v>Superstar</v>
      </c>
      <c r="C147" s="3">
        <f t="shared" si="17"/>
        <v>45667</v>
      </c>
      <c r="D147" s="4">
        <f t="shared" ca="1" si="19"/>
        <v>171</v>
      </c>
      <c r="E147" s="2">
        <f t="shared" ca="1" si="20"/>
        <v>7338</v>
      </c>
      <c r="F147" s="2">
        <f t="shared" ca="1" si="21"/>
        <v>19016</v>
      </c>
      <c r="G147" s="2">
        <f t="shared" ca="1" si="22"/>
        <v>448</v>
      </c>
    </row>
    <row r="148" spans="1:7" x14ac:dyDescent="0.3">
      <c r="A148" s="5" t="str">
        <f t="shared" si="16"/>
        <v>Puma</v>
      </c>
      <c r="B148" s="5" t="str">
        <f t="shared" si="18"/>
        <v>Rider Vintage</v>
      </c>
      <c r="C148" s="3">
        <f t="shared" si="17"/>
        <v>45667</v>
      </c>
      <c r="D148" s="4">
        <f t="shared" ca="1" si="19"/>
        <v>79</v>
      </c>
      <c r="E148" s="2">
        <f t="shared" ca="1" si="20"/>
        <v>9730</v>
      </c>
      <c r="F148" s="2">
        <f t="shared" ca="1" si="21"/>
        <v>14556</v>
      </c>
      <c r="G148" s="2">
        <f t="shared" ca="1" si="22"/>
        <v>573</v>
      </c>
    </row>
    <row r="149" spans="1:7" x14ac:dyDescent="0.3">
      <c r="A149" s="5" t="str">
        <f t="shared" si="16"/>
        <v>New Balance</v>
      </c>
      <c r="B149" s="5" t="str">
        <f t="shared" si="18"/>
        <v>327</v>
      </c>
      <c r="C149" s="3">
        <f t="shared" si="17"/>
        <v>45667</v>
      </c>
      <c r="D149" s="4">
        <f t="shared" ca="1" si="19"/>
        <v>55</v>
      </c>
      <c r="E149" s="2">
        <f t="shared" ca="1" si="20"/>
        <v>8891</v>
      </c>
      <c r="F149" s="2">
        <f t="shared" ca="1" si="21"/>
        <v>28383</v>
      </c>
      <c r="G149" s="2">
        <f t="shared" ca="1" si="22"/>
        <v>1798</v>
      </c>
    </row>
    <row r="150" spans="1:7" x14ac:dyDescent="0.3">
      <c r="A150" s="5" t="str">
        <f t="shared" si="16"/>
        <v>Reebok</v>
      </c>
      <c r="B150" s="5" t="str">
        <f t="shared" si="18"/>
        <v>Question Mid</v>
      </c>
      <c r="C150" s="3">
        <f t="shared" si="17"/>
        <v>45667</v>
      </c>
      <c r="D150" s="4">
        <f t="shared" ca="1" si="19"/>
        <v>180</v>
      </c>
      <c r="E150" s="2">
        <f t="shared" ca="1" si="20"/>
        <v>6417</v>
      </c>
      <c r="F150" s="2">
        <f t="shared" ca="1" si="21"/>
        <v>34012</v>
      </c>
      <c r="G150" s="2">
        <f t="shared" ca="1" si="22"/>
        <v>1285</v>
      </c>
    </row>
    <row r="151" spans="1:7" x14ac:dyDescent="0.3">
      <c r="A151" s="5" t="str">
        <f t="shared" si="16"/>
        <v>Nike</v>
      </c>
      <c r="B151" s="5" t="str">
        <f t="shared" si="18"/>
        <v>Air Max 270</v>
      </c>
      <c r="C151" s="3">
        <f t="shared" si="17"/>
        <v>45667</v>
      </c>
      <c r="D151" s="4">
        <f t="shared" ca="1" si="19"/>
        <v>24</v>
      </c>
      <c r="E151" s="2">
        <f t="shared" ca="1" si="20"/>
        <v>4765</v>
      </c>
      <c r="F151" s="2">
        <f t="shared" ca="1" si="21"/>
        <v>5550</v>
      </c>
      <c r="G151" s="2">
        <f t="shared" ca="1" si="22"/>
        <v>353</v>
      </c>
    </row>
    <row r="152" spans="1:7" x14ac:dyDescent="0.3">
      <c r="A152" s="5" t="str">
        <f t="shared" si="16"/>
        <v>Adidas</v>
      </c>
      <c r="B152" s="5" t="str">
        <f t="shared" si="18"/>
        <v>Stan Smith</v>
      </c>
      <c r="C152" s="3">
        <f t="shared" si="17"/>
        <v>45668</v>
      </c>
      <c r="D152" s="4">
        <f t="shared" ca="1" si="19"/>
        <v>221</v>
      </c>
      <c r="E152" s="2">
        <f t="shared" ca="1" si="20"/>
        <v>4280</v>
      </c>
      <c r="F152" s="2">
        <f t="shared" ca="1" si="21"/>
        <v>27190</v>
      </c>
      <c r="G152" s="2">
        <f t="shared" ca="1" si="22"/>
        <v>1822</v>
      </c>
    </row>
    <row r="153" spans="1:7" x14ac:dyDescent="0.3">
      <c r="A153" s="5" t="str">
        <f t="shared" si="16"/>
        <v>Puma</v>
      </c>
      <c r="B153" s="5" t="str">
        <f t="shared" si="18"/>
        <v>Cali Dream</v>
      </c>
      <c r="C153" s="3">
        <f t="shared" si="17"/>
        <v>45668</v>
      </c>
      <c r="D153" s="4">
        <f t="shared" ca="1" si="19"/>
        <v>147</v>
      </c>
      <c r="E153" s="2">
        <f t="shared" ca="1" si="20"/>
        <v>8668</v>
      </c>
      <c r="F153" s="2">
        <f t="shared" ca="1" si="21"/>
        <v>8039</v>
      </c>
      <c r="G153" s="2">
        <f t="shared" ca="1" si="22"/>
        <v>491</v>
      </c>
    </row>
    <row r="154" spans="1:7" x14ac:dyDescent="0.3">
      <c r="A154" s="5" t="str">
        <f t="shared" si="16"/>
        <v>New Balance</v>
      </c>
      <c r="B154" s="5" t="str">
        <f t="shared" si="18"/>
        <v>9060</v>
      </c>
      <c r="C154" s="3">
        <f t="shared" si="17"/>
        <v>45668</v>
      </c>
      <c r="D154" s="4">
        <f t="shared" ca="1" si="19"/>
        <v>179</v>
      </c>
      <c r="E154" s="2">
        <f t="shared" ca="1" si="20"/>
        <v>10844</v>
      </c>
      <c r="F154" s="2">
        <f t="shared" ca="1" si="21"/>
        <v>22791</v>
      </c>
      <c r="G154" s="2">
        <f t="shared" ca="1" si="22"/>
        <v>814</v>
      </c>
    </row>
    <row r="155" spans="1:7" x14ac:dyDescent="0.3">
      <c r="A155" s="5" t="str">
        <f t="shared" si="16"/>
        <v>Reebok</v>
      </c>
      <c r="B155" s="5" t="str">
        <f t="shared" si="18"/>
        <v>Zig Kinetica</v>
      </c>
      <c r="C155" s="3">
        <f t="shared" si="17"/>
        <v>45668</v>
      </c>
      <c r="D155" s="4">
        <f t="shared" ca="1" si="19"/>
        <v>30</v>
      </c>
      <c r="E155" s="2">
        <f t="shared" ca="1" si="20"/>
        <v>2537</v>
      </c>
      <c r="F155" s="2">
        <f t="shared" ca="1" si="21"/>
        <v>16495</v>
      </c>
      <c r="G155" s="2">
        <f t="shared" ca="1" si="22"/>
        <v>682</v>
      </c>
    </row>
    <row r="156" spans="1:7" x14ac:dyDescent="0.3">
      <c r="A156" s="5" t="str">
        <f t="shared" si="16"/>
        <v>Nike</v>
      </c>
      <c r="B156" s="5" t="str">
        <f t="shared" si="18"/>
        <v>Jordan 1</v>
      </c>
      <c r="C156" s="3">
        <f t="shared" si="17"/>
        <v>45668</v>
      </c>
      <c r="D156" s="4">
        <f t="shared" ca="1" si="19"/>
        <v>179</v>
      </c>
      <c r="E156" s="2">
        <f t="shared" ca="1" si="20"/>
        <v>10994</v>
      </c>
      <c r="F156" s="2">
        <f t="shared" ca="1" si="21"/>
        <v>12597</v>
      </c>
      <c r="G156" s="2">
        <f t="shared" ca="1" si="22"/>
        <v>431</v>
      </c>
    </row>
    <row r="157" spans="1:7" x14ac:dyDescent="0.3">
      <c r="A157" s="5" t="str">
        <f t="shared" si="16"/>
        <v>Adidas</v>
      </c>
      <c r="B157" s="5" t="str">
        <f t="shared" si="18"/>
        <v>Ultraboost 23</v>
      </c>
      <c r="C157" s="3">
        <f t="shared" si="17"/>
        <v>45668</v>
      </c>
      <c r="D157" s="4">
        <f t="shared" ca="1" si="19"/>
        <v>145</v>
      </c>
      <c r="E157" s="2">
        <f t="shared" ca="1" si="20"/>
        <v>10541</v>
      </c>
      <c r="F157" s="2">
        <f t="shared" ca="1" si="21"/>
        <v>10475</v>
      </c>
      <c r="G157" s="2">
        <f t="shared" ca="1" si="22"/>
        <v>826</v>
      </c>
    </row>
    <row r="158" spans="1:7" x14ac:dyDescent="0.3">
      <c r="A158" s="5" t="str">
        <f t="shared" si="16"/>
        <v>Puma</v>
      </c>
      <c r="B158" s="5" t="str">
        <f t="shared" si="18"/>
        <v>RS-X</v>
      </c>
      <c r="C158" s="3">
        <f t="shared" si="17"/>
        <v>45668</v>
      </c>
      <c r="D158" s="4">
        <f t="shared" ca="1" si="19"/>
        <v>28</v>
      </c>
      <c r="E158" s="2">
        <f t="shared" ca="1" si="20"/>
        <v>6791</v>
      </c>
      <c r="F158" s="2">
        <f t="shared" ca="1" si="21"/>
        <v>21813</v>
      </c>
      <c r="G158" s="2">
        <f t="shared" ca="1" si="22"/>
        <v>887</v>
      </c>
    </row>
    <row r="159" spans="1:7" x14ac:dyDescent="0.3">
      <c r="A159" s="5" t="str">
        <f t="shared" si="16"/>
        <v>New Balance</v>
      </c>
      <c r="B159" s="5" t="str">
        <f t="shared" si="18"/>
        <v>2002R</v>
      </c>
      <c r="C159" s="3">
        <f t="shared" si="17"/>
        <v>45668</v>
      </c>
      <c r="D159" s="4">
        <f t="shared" ca="1" si="19"/>
        <v>221</v>
      </c>
      <c r="E159" s="2">
        <f t="shared" ca="1" si="20"/>
        <v>11563</v>
      </c>
      <c r="F159" s="2">
        <f t="shared" ca="1" si="21"/>
        <v>7080</v>
      </c>
      <c r="G159" s="2">
        <f t="shared" ca="1" si="22"/>
        <v>192</v>
      </c>
    </row>
    <row r="160" spans="1:7" x14ac:dyDescent="0.3">
      <c r="A160" s="5" t="str">
        <f t="shared" si="16"/>
        <v>Reebok</v>
      </c>
      <c r="B160" s="5" t="str">
        <f t="shared" si="18"/>
        <v>Instapump Fury</v>
      </c>
      <c r="C160" s="3">
        <f t="shared" si="17"/>
        <v>45668</v>
      </c>
      <c r="D160" s="4">
        <f t="shared" ca="1" si="19"/>
        <v>179</v>
      </c>
      <c r="E160" s="2">
        <f t="shared" ca="1" si="20"/>
        <v>11844</v>
      </c>
      <c r="F160" s="2">
        <f t="shared" ca="1" si="21"/>
        <v>31414</v>
      </c>
      <c r="G160" s="2">
        <f t="shared" ca="1" si="22"/>
        <v>1126</v>
      </c>
    </row>
    <row r="161" spans="1:7" x14ac:dyDescent="0.3">
      <c r="A161" s="5" t="str">
        <f t="shared" si="16"/>
        <v>Nike</v>
      </c>
      <c r="B161" s="5" t="str">
        <f t="shared" si="18"/>
        <v>Cortez</v>
      </c>
      <c r="C161" s="3">
        <f t="shared" si="17"/>
        <v>45668</v>
      </c>
      <c r="D161" s="4">
        <f t="shared" ca="1" si="19"/>
        <v>243</v>
      </c>
      <c r="E161" s="2">
        <f t="shared" ca="1" si="20"/>
        <v>1891</v>
      </c>
      <c r="F161" s="2">
        <f t="shared" ca="1" si="21"/>
        <v>30987</v>
      </c>
      <c r="G161" s="2">
        <f t="shared" ca="1" si="22"/>
        <v>729</v>
      </c>
    </row>
    <row r="162" spans="1:7" x14ac:dyDescent="0.3">
      <c r="A162" s="5" t="str">
        <f t="shared" si="16"/>
        <v>Adidas</v>
      </c>
      <c r="B162" s="5" t="str">
        <f t="shared" si="18"/>
        <v>NMD S1</v>
      </c>
      <c r="C162" s="3">
        <f t="shared" si="17"/>
        <v>45668</v>
      </c>
      <c r="D162" s="4">
        <f t="shared" ca="1" si="19"/>
        <v>220</v>
      </c>
      <c r="E162" s="2">
        <f t="shared" ca="1" si="20"/>
        <v>5620</v>
      </c>
      <c r="F162" s="2">
        <f t="shared" ca="1" si="21"/>
        <v>34240</v>
      </c>
      <c r="G162" s="2">
        <f t="shared" ca="1" si="22"/>
        <v>2105</v>
      </c>
    </row>
    <row r="163" spans="1:7" x14ac:dyDescent="0.3">
      <c r="A163" s="5" t="str">
        <f t="shared" si="16"/>
        <v>Puma</v>
      </c>
      <c r="B163" s="5" t="str">
        <f t="shared" si="18"/>
        <v>Suede Classic</v>
      </c>
      <c r="C163" s="3">
        <f t="shared" si="17"/>
        <v>45668</v>
      </c>
      <c r="D163" s="4">
        <f t="shared" ca="1" si="19"/>
        <v>190</v>
      </c>
      <c r="E163" s="2">
        <f t="shared" ca="1" si="20"/>
        <v>7006</v>
      </c>
      <c r="F163" s="2">
        <f t="shared" ca="1" si="21"/>
        <v>11921</v>
      </c>
      <c r="G163" s="2">
        <f t="shared" ca="1" si="22"/>
        <v>729</v>
      </c>
    </row>
    <row r="164" spans="1:7" x14ac:dyDescent="0.3">
      <c r="A164" s="5" t="str">
        <f t="shared" si="16"/>
        <v>New Balance</v>
      </c>
      <c r="B164" s="5" t="str">
        <f t="shared" si="18"/>
        <v>990v6</v>
      </c>
      <c r="C164" s="3">
        <f t="shared" si="17"/>
        <v>45668</v>
      </c>
      <c r="D164" s="4">
        <f t="shared" ca="1" si="19"/>
        <v>47</v>
      </c>
      <c r="E164" s="2">
        <f t="shared" ca="1" si="20"/>
        <v>3453</v>
      </c>
      <c r="F164" s="2">
        <f t="shared" ca="1" si="21"/>
        <v>21703</v>
      </c>
      <c r="G164" s="2">
        <f t="shared" ca="1" si="22"/>
        <v>759</v>
      </c>
    </row>
    <row r="165" spans="1:7" x14ac:dyDescent="0.3">
      <c r="A165" s="5" t="str">
        <f t="shared" si="16"/>
        <v>Reebok</v>
      </c>
      <c r="B165" s="5" t="str">
        <f t="shared" si="18"/>
        <v>Nano X3</v>
      </c>
      <c r="C165" s="3">
        <f t="shared" si="17"/>
        <v>45668</v>
      </c>
      <c r="D165" s="4">
        <f t="shared" ca="1" si="19"/>
        <v>203</v>
      </c>
      <c r="E165" s="2">
        <f t="shared" ca="1" si="20"/>
        <v>7301</v>
      </c>
      <c r="F165" s="2">
        <f t="shared" ca="1" si="21"/>
        <v>32283</v>
      </c>
      <c r="G165" s="2">
        <f t="shared" ca="1" si="22"/>
        <v>1421</v>
      </c>
    </row>
    <row r="166" spans="1:7" x14ac:dyDescent="0.3">
      <c r="A166" s="5" t="str">
        <f t="shared" si="16"/>
        <v>Nike</v>
      </c>
      <c r="B166" s="5" t="str">
        <f t="shared" si="18"/>
        <v>Vaporfly 3</v>
      </c>
      <c r="C166" s="3">
        <f t="shared" si="17"/>
        <v>45668</v>
      </c>
      <c r="D166" s="4">
        <f t="shared" ca="1" si="19"/>
        <v>179</v>
      </c>
      <c r="E166" s="2">
        <f t="shared" ca="1" si="20"/>
        <v>8740</v>
      </c>
      <c r="F166" s="2">
        <f t="shared" ca="1" si="21"/>
        <v>23370</v>
      </c>
      <c r="G166" s="2">
        <f t="shared" ca="1" si="22"/>
        <v>608</v>
      </c>
    </row>
    <row r="167" spans="1:7" x14ac:dyDescent="0.3">
      <c r="A167" s="5" t="str">
        <f t="shared" si="16"/>
        <v>Adidas</v>
      </c>
      <c r="B167" s="5" t="str">
        <f t="shared" si="18"/>
        <v>Samba</v>
      </c>
      <c r="C167" s="3">
        <f t="shared" si="17"/>
        <v>45669</v>
      </c>
      <c r="D167" s="4">
        <f t="shared" ca="1" si="19"/>
        <v>42</v>
      </c>
      <c r="E167" s="2">
        <f t="shared" ca="1" si="20"/>
        <v>11696</v>
      </c>
      <c r="F167" s="2">
        <f t="shared" ca="1" si="21"/>
        <v>19229</v>
      </c>
      <c r="G167" s="2">
        <f t="shared" ca="1" si="22"/>
        <v>1229</v>
      </c>
    </row>
    <row r="168" spans="1:7" x14ac:dyDescent="0.3">
      <c r="A168" s="5" t="str">
        <f t="shared" si="16"/>
        <v>Puma</v>
      </c>
      <c r="B168" s="5" t="str">
        <f t="shared" si="18"/>
        <v>Mayze</v>
      </c>
      <c r="C168" s="3">
        <f t="shared" si="17"/>
        <v>45669</v>
      </c>
      <c r="D168" s="4">
        <f t="shared" ca="1" si="19"/>
        <v>204</v>
      </c>
      <c r="E168" s="2">
        <f t="shared" ca="1" si="20"/>
        <v>9225</v>
      </c>
      <c r="F168" s="2">
        <f t="shared" ca="1" si="21"/>
        <v>29321</v>
      </c>
      <c r="G168" s="2">
        <f t="shared" ca="1" si="22"/>
        <v>1833</v>
      </c>
    </row>
    <row r="169" spans="1:7" x14ac:dyDescent="0.3">
      <c r="A169" s="5" t="str">
        <f t="shared" si="16"/>
        <v>New Balance</v>
      </c>
      <c r="B169" s="5" t="str">
        <f t="shared" si="18"/>
        <v>574 Core</v>
      </c>
      <c r="C169" s="3">
        <f t="shared" si="17"/>
        <v>45669</v>
      </c>
      <c r="D169" s="4">
        <f t="shared" ca="1" si="19"/>
        <v>84</v>
      </c>
      <c r="E169" s="2">
        <f t="shared" ca="1" si="20"/>
        <v>4092</v>
      </c>
      <c r="F169" s="2">
        <f t="shared" ca="1" si="21"/>
        <v>30274</v>
      </c>
      <c r="G169" s="2">
        <f t="shared" ca="1" si="22"/>
        <v>818</v>
      </c>
    </row>
    <row r="170" spans="1:7" x14ac:dyDescent="0.3">
      <c r="A170" s="5" t="str">
        <f t="shared" si="16"/>
        <v>Reebok</v>
      </c>
      <c r="B170" s="5" t="str">
        <f t="shared" si="18"/>
        <v>Club C 85</v>
      </c>
      <c r="C170" s="3">
        <f t="shared" si="17"/>
        <v>45669</v>
      </c>
      <c r="D170" s="4">
        <f t="shared" ca="1" si="19"/>
        <v>250</v>
      </c>
      <c r="E170" s="2">
        <f t="shared" ca="1" si="20"/>
        <v>7816</v>
      </c>
      <c r="F170" s="2">
        <f t="shared" ca="1" si="21"/>
        <v>18036</v>
      </c>
      <c r="G170" s="2">
        <f t="shared" ca="1" si="22"/>
        <v>1076</v>
      </c>
    </row>
    <row r="171" spans="1:7" x14ac:dyDescent="0.3">
      <c r="A171" s="5" t="str">
        <f t="shared" ref="A171:A234" si="23">CHOOSE(MOD(ROW(A170),5)+1,"Nike","Adidas","Puma","New Balance","Reebok")</f>
        <v>Nike</v>
      </c>
      <c r="B171" s="5" t="str">
        <f t="shared" si="18"/>
        <v>Pegasus 40</v>
      </c>
      <c r="C171" s="3">
        <f t="shared" ref="C171:C234" si="24">DATE(2025,1,1)+INT((ROW(A171)-2)/15)</f>
        <v>45669</v>
      </c>
      <c r="D171" s="4">
        <f t="shared" ca="1" si="19"/>
        <v>115</v>
      </c>
      <c r="E171" s="2">
        <f t="shared" ca="1" si="20"/>
        <v>3871</v>
      </c>
      <c r="F171" s="2">
        <f t="shared" ca="1" si="21"/>
        <v>15868</v>
      </c>
      <c r="G171" s="2">
        <f t="shared" ca="1" si="22"/>
        <v>568</v>
      </c>
    </row>
    <row r="172" spans="1:7" x14ac:dyDescent="0.3">
      <c r="A172" s="5" t="str">
        <f t="shared" si="23"/>
        <v>Adidas</v>
      </c>
      <c r="B172" s="5" t="str">
        <f t="shared" si="18"/>
        <v>Gazelle</v>
      </c>
      <c r="C172" s="3">
        <f t="shared" si="24"/>
        <v>45669</v>
      </c>
      <c r="D172" s="4">
        <f t="shared" ca="1" si="19"/>
        <v>121</v>
      </c>
      <c r="E172" s="2">
        <f t="shared" ca="1" si="20"/>
        <v>6690</v>
      </c>
      <c r="F172" s="2">
        <f t="shared" ca="1" si="21"/>
        <v>34762</v>
      </c>
      <c r="G172" s="2">
        <f t="shared" ca="1" si="22"/>
        <v>2509</v>
      </c>
    </row>
    <row r="173" spans="1:7" x14ac:dyDescent="0.3">
      <c r="A173" s="5" t="str">
        <f t="shared" si="23"/>
        <v>Puma</v>
      </c>
      <c r="B173" s="5" t="str">
        <f t="shared" si="18"/>
        <v>Slipstream</v>
      </c>
      <c r="C173" s="3">
        <f t="shared" si="24"/>
        <v>45669</v>
      </c>
      <c r="D173" s="4">
        <f t="shared" ca="1" si="19"/>
        <v>162</v>
      </c>
      <c r="E173" s="2">
        <f t="shared" ca="1" si="20"/>
        <v>3346</v>
      </c>
      <c r="F173" s="2">
        <f t="shared" ca="1" si="21"/>
        <v>16867</v>
      </c>
      <c r="G173" s="2">
        <f t="shared" ca="1" si="22"/>
        <v>380</v>
      </c>
    </row>
    <row r="174" spans="1:7" x14ac:dyDescent="0.3">
      <c r="A174" s="5" t="str">
        <f t="shared" si="23"/>
        <v>New Balance</v>
      </c>
      <c r="B174" s="5" t="str">
        <f t="shared" si="18"/>
        <v>550</v>
      </c>
      <c r="C174" s="3">
        <f t="shared" si="24"/>
        <v>45669</v>
      </c>
      <c r="D174" s="4">
        <f t="shared" ca="1" si="19"/>
        <v>177</v>
      </c>
      <c r="E174" s="2">
        <f t="shared" ca="1" si="20"/>
        <v>11416</v>
      </c>
      <c r="F174" s="2">
        <f t="shared" ca="1" si="21"/>
        <v>6472</v>
      </c>
      <c r="G174" s="2">
        <f t="shared" ca="1" si="22"/>
        <v>317</v>
      </c>
    </row>
    <row r="175" spans="1:7" x14ac:dyDescent="0.3">
      <c r="A175" s="5" t="str">
        <f t="shared" si="23"/>
        <v>Reebok</v>
      </c>
      <c r="B175" s="5" t="str">
        <f t="shared" si="18"/>
        <v>Classic Leather</v>
      </c>
      <c r="C175" s="3">
        <f t="shared" si="24"/>
        <v>45669</v>
      </c>
      <c r="D175" s="4">
        <f t="shared" ca="1" si="19"/>
        <v>214</v>
      </c>
      <c r="E175" s="2">
        <f t="shared" ca="1" si="20"/>
        <v>7312</v>
      </c>
      <c r="F175" s="2">
        <f t="shared" ca="1" si="21"/>
        <v>6041</v>
      </c>
      <c r="G175" s="2">
        <f t="shared" ca="1" si="22"/>
        <v>352</v>
      </c>
    </row>
    <row r="176" spans="1:7" x14ac:dyDescent="0.3">
      <c r="A176" s="5" t="str">
        <f t="shared" si="23"/>
        <v>Nike</v>
      </c>
      <c r="B176" s="5" t="str">
        <f t="shared" si="18"/>
        <v>Air Force 1</v>
      </c>
      <c r="C176" s="3">
        <f t="shared" si="24"/>
        <v>45669</v>
      </c>
      <c r="D176" s="4">
        <f t="shared" ca="1" si="19"/>
        <v>102</v>
      </c>
      <c r="E176" s="2">
        <f t="shared" ca="1" si="20"/>
        <v>2620</v>
      </c>
      <c r="F176" s="2">
        <f t="shared" ca="1" si="21"/>
        <v>27732</v>
      </c>
      <c r="G176" s="2">
        <f t="shared" ca="1" si="22"/>
        <v>1570</v>
      </c>
    </row>
    <row r="177" spans="1:7" x14ac:dyDescent="0.3">
      <c r="A177" s="5" t="str">
        <f t="shared" si="23"/>
        <v>Adidas</v>
      </c>
      <c r="B177" s="5" t="str">
        <f t="shared" si="18"/>
        <v>Superstar</v>
      </c>
      <c r="C177" s="3">
        <f t="shared" si="24"/>
        <v>45669</v>
      </c>
      <c r="D177" s="4">
        <f t="shared" ca="1" si="19"/>
        <v>221</v>
      </c>
      <c r="E177" s="2">
        <f t="shared" ca="1" si="20"/>
        <v>4333</v>
      </c>
      <c r="F177" s="2">
        <f t="shared" ca="1" si="21"/>
        <v>17913</v>
      </c>
      <c r="G177" s="2">
        <f t="shared" ca="1" si="22"/>
        <v>1390</v>
      </c>
    </row>
    <row r="178" spans="1:7" x14ac:dyDescent="0.3">
      <c r="A178" s="5" t="str">
        <f t="shared" si="23"/>
        <v>Puma</v>
      </c>
      <c r="B178" s="5" t="str">
        <f t="shared" si="18"/>
        <v>Rider Vintage</v>
      </c>
      <c r="C178" s="3">
        <f t="shared" si="24"/>
        <v>45669</v>
      </c>
      <c r="D178" s="4">
        <f t="shared" ca="1" si="19"/>
        <v>152</v>
      </c>
      <c r="E178" s="2">
        <f t="shared" ca="1" si="20"/>
        <v>8669</v>
      </c>
      <c r="F178" s="2">
        <f t="shared" ca="1" si="21"/>
        <v>20671</v>
      </c>
      <c r="G178" s="2">
        <f t="shared" ca="1" si="22"/>
        <v>729</v>
      </c>
    </row>
    <row r="179" spans="1:7" x14ac:dyDescent="0.3">
      <c r="A179" s="5" t="str">
        <f t="shared" si="23"/>
        <v>New Balance</v>
      </c>
      <c r="B179" s="5" t="str">
        <f t="shared" si="18"/>
        <v>327</v>
      </c>
      <c r="C179" s="3">
        <f t="shared" si="24"/>
        <v>45669</v>
      </c>
      <c r="D179" s="4">
        <f t="shared" ca="1" si="19"/>
        <v>112</v>
      </c>
      <c r="E179" s="2">
        <f t="shared" ca="1" si="20"/>
        <v>8715</v>
      </c>
      <c r="F179" s="2">
        <f t="shared" ca="1" si="21"/>
        <v>33489</v>
      </c>
      <c r="G179" s="2">
        <f t="shared" ca="1" si="22"/>
        <v>1133</v>
      </c>
    </row>
    <row r="180" spans="1:7" x14ac:dyDescent="0.3">
      <c r="A180" s="5" t="str">
        <f t="shared" si="23"/>
        <v>Reebok</v>
      </c>
      <c r="B180" s="5" t="str">
        <f t="shared" si="18"/>
        <v>Question Mid</v>
      </c>
      <c r="C180" s="3">
        <f t="shared" si="24"/>
        <v>45669</v>
      </c>
      <c r="D180" s="4">
        <f t="shared" ca="1" si="19"/>
        <v>238</v>
      </c>
      <c r="E180" s="2">
        <f t="shared" ca="1" si="20"/>
        <v>7370</v>
      </c>
      <c r="F180" s="2">
        <f t="shared" ca="1" si="21"/>
        <v>14284</v>
      </c>
      <c r="G180" s="2">
        <f t="shared" ca="1" si="22"/>
        <v>971</v>
      </c>
    </row>
    <row r="181" spans="1:7" x14ac:dyDescent="0.3">
      <c r="A181" s="5" t="str">
        <f t="shared" si="23"/>
        <v>Nike</v>
      </c>
      <c r="B181" s="5" t="str">
        <f t="shared" si="18"/>
        <v>Air Max 270</v>
      </c>
      <c r="C181" s="3">
        <f t="shared" si="24"/>
        <v>45669</v>
      </c>
      <c r="D181" s="4">
        <f t="shared" ca="1" si="19"/>
        <v>194</v>
      </c>
      <c r="E181" s="2">
        <f t="shared" ca="1" si="20"/>
        <v>2251</v>
      </c>
      <c r="F181" s="2">
        <f t="shared" ca="1" si="21"/>
        <v>16398</v>
      </c>
      <c r="G181" s="2">
        <f t="shared" ca="1" si="22"/>
        <v>526</v>
      </c>
    </row>
    <row r="182" spans="1:7" x14ac:dyDescent="0.3">
      <c r="A182" s="5" t="str">
        <f t="shared" si="23"/>
        <v>Adidas</v>
      </c>
      <c r="B182" s="5" t="str">
        <f t="shared" si="18"/>
        <v>Stan Smith</v>
      </c>
      <c r="C182" s="3">
        <f t="shared" si="24"/>
        <v>45670</v>
      </c>
      <c r="D182" s="4">
        <f t="shared" ca="1" si="19"/>
        <v>63</v>
      </c>
      <c r="E182" s="2">
        <f t="shared" ca="1" si="20"/>
        <v>10160</v>
      </c>
      <c r="F182" s="2">
        <f t="shared" ca="1" si="21"/>
        <v>34870</v>
      </c>
      <c r="G182" s="2">
        <f t="shared" ca="1" si="22"/>
        <v>1251</v>
      </c>
    </row>
    <row r="183" spans="1:7" x14ac:dyDescent="0.3">
      <c r="A183" s="5" t="str">
        <f t="shared" si="23"/>
        <v>Puma</v>
      </c>
      <c r="B183" s="5" t="str">
        <f t="shared" si="18"/>
        <v>Cali Dream</v>
      </c>
      <c r="C183" s="3">
        <f t="shared" si="24"/>
        <v>45670</v>
      </c>
      <c r="D183" s="4">
        <f t="shared" ca="1" si="19"/>
        <v>184</v>
      </c>
      <c r="E183" s="2">
        <f t="shared" ca="1" si="20"/>
        <v>2595</v>
      </c>
      <c r="F183" s="2">
        <f t="shared" ca="1" si="21"/>
        <v>30590</v>
      </c>
      <c r="G183" s="2">
        <f t="shared" ca="1" si="22"/>
        <v>2385</v>
      </c>
    </row>
    <row r="184" spans="1:7" x14ac:dyDescent="0.3">
      <c r="A184" s="5" t="str">
        <f t="shared" si="23"/>
        <v>New Balance</v>
      </c>
      <c r="B184" s="5" t="str">
        <f t="shared" si="18"/>
        <v>9060</v>
      </c>
      <c r="C184" s="3">
        <f t="shared" si="24"/>
        <v>45670</v>
      </c>
      <c r="D184" s="4">
        <f t="shared" ca="1" si="19"/>
        <v>119</v>
      </c>
      <c r="E184" s="2">
        <f t="shared" ca="1" si="20"/>
        <v>8268</v>
      </c>
      <c r="F184" s="2">
        <f t="shared" ca="1" si="21"/>
        <v>5996</v>
      </c>
      <c r="G184" s="2">
        <f t="shared" ca="1" si="22"/>
        <v>397</v>
      </c>
    </row>
    <row r="185" spans="1:7" x14ac:dyDescent="0.3">
      <c r="A185" s="5" t="str">
        <f t="shared" si="23"/>
        <v>Reebok</v>
      </c>
      <c r="B185" s="5" t="str">
        <f t="shared" si="18"/>
        <v>Zig Kinetica</v>
      </c>
      <c r="C185" s="3">
        <f t="shared" si="24"/>
        <v>45670</v>
      </c>
      <c r="D185" s="4">
        <f t="shared" ca="1" si="19"/>
        <v>117</v>
      </c>
      <c r="E185" s="2">
        <f t="shared" ca="1" si="20"/>
        <v>2476</v>
      </c>
      <c r="F185" s="2">
        <f t="shared" ca="1" si="21"/>
        <v>29993</v>
      </c>
      <c r="G185" s="2">
        <f t="shared" ca="1" si="22"/>
        <v>683</v>
      </c>
    </row>
    <row r="186" spans="1:7" x14ac:dyDescent="0.3">
      <c r="A186" s="5" t="str">
        <f t="shared" si="23"/>
        <v>Nike</v>
      </c>
      <c r="B186" s="5" t="str">
        <f t="shared" si="18"/>
        <v>Jordan 1</v>
      </c>
      <c r="C186" s="3">
        <f t="shared" si="24"/>
        <v>45670</v>
      </c>
      <c r="D186" s="4">
        <f t="shared" ca="1" si="19"/>
        <v>88</v>
      </c>
      <c r="E186" s="2">
        <f t="shared" ca="1" si="20"/>
        <v>6398</v>
      </c>
      <c r="F186" s="2">
        <f t="shared" ca="1" si="21"/>
        <v>19023</v>
      </c>
      <c r="G186" s="2">
        <f t="shared" ca="1" si="22"/>
        <v>1414</v>
      </c>
    </row>
    <row r="187" spans="1:7" x14ac:dyDescent="0.3">
      <c r="A187" s="5" t="str">
        <f t="shared" si="23"/>
        <v>Adidas</v>
      </c>
      <c r="B187" s="5" t="str">
        <f t="shared" si="18"/>
        <v>Ultraboost 23</v>
      </c>
      <c r="C187" s="3">
        <f t="shared" si="24"/>
        <v>45670</v>
      </c>
      <c r="D187" s="4">
        <f t="shared" ca="1" si="19"/>
        <v>225</v>
      </c>
      <c r="E187" s="2">
        <f t="shared" ca="1" si="20"/>
        <v>9659</v>
      </c>
      <c r="F187" s="2">
        <f t="shared" ca="1" si="21"/>
        <v>22877</v>
      </c>
      <c r="G187" s="2">
        <f t="shared" ca="1" si="22"/>
        <v>594</v>
      </c>
    </row>
    <row r="188" spans="1:7" x14ac:dyDescent="0.3">
      <c r="A188" s="5" t="str">
        <f t="shared" si="23"/>
        <v>Puma</v>
      </c>
      <c r="B188" s="5" t="str">
        <f t="shared" si="18"/>
        <v>RS-X</v>
      </c>
      <c r="C188" s="3">
        <f t="shared" si="24"/>
        <v>45670</v>
      </c>
      <c r="D188" s="4">
        <f t="shared" ca="1" si="19"/>
        <v>31</v>
      </c>
      <c r="E188" s="2">
        <f t="shared" ca="1" si="20"/>
        <v>10434</v>
      </c>
      <c r="F188" s="2">
        <f t="shared" ca="1" si="21"/>
        <v>25287</v>
      </c>
      <c r="G188" s="2">
        <f t="shared" ca="1" si="22"/>
        <v>1308</v>
      </c>
    </row>
    <row r="189" spans="1:7" x14ac:dyDescent="0.3">
      <c r="A189" s="5" t="str">
        <f t="shared" si="23"/>
        <v>New Balance</v>
      </c>
      <c r="B189" s="5" t="str">
        <f t="shared" si="18"/>
        <v>2002R</v>
      </c>
      <c r="C189" s="3">
        <f t="shared" si="24"/>
        <v>45670</v>
      </c>
      <c r="D189" s="4">
        <f t="shared" ca="1" si="19"/>
        <v>39</v>
      </c>
      <c r="E189" s="2">
        <f t="shared" ca="1" si="20"/>
        <v>6521</v>
      </c>
      <c r="F189" s="2">
        <f t="shared" ca="1" si="21"/>
        <v>32611</v>
      </c>
      <c r="G189" s="2">
        <f t="shared" ca="1" si="22"/>
        <v>2179</v>
      </c>
    </row>
    <row r="190" spans="1:7" x14ac:dyDescent="0.3">
      <c r="A190" s="5" t="str">
        <f t="shared" si="23"/>
        <v>Reebok</v>
      </c>
      <c r="B190" s="5" t="str">
        <f t="shared" si="18"/>
        <v>Instapump Fury</v>
      </c>
      <c r="C190" s="3">
        <f t="shared" si="24"/>
        <v>45670</v>
      </c>
      <c r="D190" s="4">
        <f t="shared" ca="1" si="19"/>
        <v>46</v>
      </c>
      <c r="E190" s="2">
        <f t="shared" ca="1" si="20"/>
        <v>11369</v>
      </c>
      <c r="F190" s="2">
        <f t="shared" ca="1" si="21"/>
        <v>12640</v>
      </c>
      <c r="G190" s="2">
        <f t="shared" ca="1" si="22"/>
        <v>276</v>
      </c>
    </row>
    <row r="191" spans="1:7" x14ac:dyDescent="0.3">
      <c r="A191" s="5" t="str">
        <f t="shared" si="23"/>
        <v>Nike</v>
      </c>
      <c r="B191" s="5" t="str">
        <f t="shared" si="18"/>
        <v>Cortez</v>
      </c>
      <c r="C191" s="3">
        <f t="shared" si="24"/>
        <v>45670</v>
      </c>
      <c r="D191" s="4">
        <f t="shared" ca="1" si="19"/>
        <v>38</v>
      </c>
      <c r="E191" s="2">
        <f t="shared" ca="1" si="20"/>
        <v>8630</v>
      </c>
      <c r="F191" s="2">
        <f t="shared" ca="1" si="21"/>
        <v>18389</v>
      </c>
      <c r="G191" s="2">
        <f t="shared" ca="1" si="22"/>
        <v>538</v>
      </c>
    </row>
    <row r="192" spans="1:7" x14ac:dyDescent="0.3">
      <c r="A192" s="5" t="str">
        <f t="shared" si="23"/>
        <v>Adidas</v>
      </c>
      <c r="B192" s="5" t="str">
        <f t="shared" si="18"/>
        <v>NMD S1</v>
      </c>
      <c r="C192" s="3">
        <f t="shared" si="24"/>
        <v>45670</v>
      </c>
      <c r="D192" s="4">
        <f t="shared" ca="1" si="19"/>
        <v>215</v>
      </c>
      <c r="E192" s="2">
        <f t="shared" ca="1" si="20"/>
        <v>1642</v>
      </c>
      <c r="F192" s="2">
        <f t="shared" ca="1" si="21"/>
        <v>26256</v>
      </c>
      <c r="G192" s="2">
        <f t="shared" ca="1" si="22"/>
        <v>1336</v>
      </c>
    </row>
    <row r="193" spans="1:7" x14ac:dyDescent="0.3">
      <c r="A193" s="5" t="str">
        <f t="shared" si="23"/>
        <v>Puma</v>
      </c>
      <c r="B193" s="5" t="str">
        <f t="shared" si="18"/>
        <v>Suede Classic</v>
      </c>
      <c r="C193" s="3">
        <f t="shared" si="24"/>
        <v>45670</v>
      </c>
      <c r="D193" s="4">
        <f t="shared" ca="1" si="19"/>
        <v>75</v>
      </c>
      <c r="E193" s="2">
        <f t="shared" ca="1" si="20"/>
        <v>8920</v>
      </c>
      <c r="F193" s="2">
        <f t="shared" ca="1" si="21"/>
        <v>28534</v>
      </c>
      <c r="G193" s="2">
        <f t="shared" ca="1" si="22"/>
        <v>2096</v>
      </c>
    </row>
    <row r="194" spans="1:7" x14ac:dyDescent="0.3">
      <c r="A194" s="5" t="str">
        <f t="shared" si="23"/>
        <v>New Balance</v>
      </c>
      <c r="B194" s="5" t="str">
        <f t="shared" si="18"/>
        <v>990v6</v>
      </c>
      <c r="C194" s="3">
        <f t="shared" si="24"/>
        <v>45670</v>
      </c>
      <c r="D194" s="4">
        <f t="shared" ca="1" si="19"/>
        <v>144</v>
      </c>
      <c r="E194" s="2">
        <f t="shared" ca="1" si="20"/>
        <v>6055</v>
      </c>
      <c r="F194" s="2">
        <f t="shared" ca="1" si="21"/>
        <v>21714</v>
      </c>
      <c r="G194" s="2">
        <f t="shared" ca="1" si="22"/>
        <v>996</v>
      </c>
    </row>
    <row r="195" spans="1:7" x14ac:dyDescent="0.3">
      <c r="A195" s="5" t="str">
        <f t="shared" si="23"/>
        <v>Reebok</v>
      </c>
      <c r="B195" s="5" t="str">
        <f t="shared" ref="B195:B258" si="25">IF(A195="Nike",CHOOSE(MOD(ROW(A194),6)+1,"Air Max 270","Air Force 1","Pegasus 40","Vaporfly 3","Cortez","Jordan 1"),
 IF(A195="Adidas",CHOOSE(MOD(ROW(A194),6)+1,"Ultraboost 23","Stan Smith","Superstar","Gazelle","Samba","NMD S1"),
 IF(A195="Puma",CHOOSE(MOD(ROW(A194),6)+1,"Suede Classic","RS-X","Cali Dream","Rider Vintage","Slipstream","Mayze"),
 IF(A195="New Balance",CHOOSE(MOD(ROW(A194),6)+1,"574 Core","990v6","2002R","9060","327","550"),
 IF(A195="Reebok",CHOOSE(MOD(ROW(A194),6)+1,"Classic Leather","Club C 85","Nano X3","Instapump Fury","Zig Kinetica","Question Mid"),"")))))</f>
        <v>Nano X3</v>
      </c>
      <c r="C195" s="3">
        <f t="shared" si="24"/>
        <v>45670</v>
      </c>
      <c r="D195" s="4">
        <f t="shared" ref="D195:D258" ca="1" si="26">RANDBETWEEN(20,250)</f>
        <v>31</v>
      </c>
      <c r="E195" s="2">
        <f t="shared" ref="E195:E258" ca="1" si="27">ROUND(RANDBETWEEN(1500,12000)+(RANDBETWEEN(-200,200)),2)</f>
        <v>11678</v>
      </c>
      <c r="F195" s="2">
        <f t="shared" ref="F195:F258" ca="1" si="28">RANDBETWEEN(5000,35000)</f>
        <v>12202</v>
      </c>
      <c r="G195" s="2">
        <f t="shared" ref="G195:G258" ca="1" si="29">RANDBETWEEN(ROUND(F195*0.02,0),ROUND(F195*0.08,0))</f>
        <v>439</v>
      </c>
    </row>
    <row r="196" spans="1:7" x14ac:dyDescent="0.3">
      <c r="A196" s="5" t="str">
        <f t="shared" si="23"/>
        <v>Nike</v>
      </c>
      <c r="B196" s="5" t="str">
        <f t="shared" si="25"/>
        <v>Vaporfly 3</v>
      </c>
      <c r="C196" s="3">
        <f t="shared" si="24"/>
        <v>45670</v>
      </c>
      <c r="D196" s="4">
        <f t="shared" ca="1" si="26"/>
        <v>186</v>
      </c>
      <c r="E196" s="2">
        <f t="shared" ca="1" si="27"/>
        <v>11574</v>
      </c>
      <c r="F196" s="2">
        <f t="shared" ca="1" si="28"/>
        <v>7149</v>
      </c>
      <c r="G196" s="2">
        <f t="shared" ca="1" si="29"/>
        <v>525</v>
      </c>
    </row>
    <row r="197" spans="1:7" x14ac:dyDescent="0.3">
      <c r="A197" s="5" t="str">
        <f t="shared" si="23"/>
        <v>Adidas</v>
      </c>
      <c r="B197" s="5" t="str">
        <f t="shared" si="25"/>
        <v>Samba</v>
      </c>
      <c r="C197" s="3">
        <f t="shared" si="24"/>
        <v>45671</v>
      </c>
      <c r="D197" s="4">
        <f t="shared" ca="1" si="26"/>
        <v>142</v>
      </c>
      <c r="E197" s="2">
        <f t="shared" ca="1" si="27"/>
        <v>6934</v>
      </c>
      <c r="F197" s="2">
        <f t="shared" ca="1" si="28"/>
        <v>23441</v>
      </c>
      <c r="G197" s="2">
        <f t="shared" ca="1" si="29"/>
        <v>1485</v>
      </c>
    </row>
    <row r="198" spans="1:7" x14ac:dyDescent="0.3">
      <c r="A198" s="5" t="str">
        <f t="shared" si="23"/>
        <v>Puma</v>
      </c>
      <c r="B198" s="5" t="str">
        <f t="shared" si="25"/>
        <v>Mayze</v>
      </c>
      <c r="C198" s="3">
        <f t="shared" si="24"/>
        <v>45671</v>
      </c>
      <c r="D198" s="4">
        <f t="shared" ca="1" si="26"/>
        <v>46</v>
      </c>
      <c r="E198" s="2">
        <f t="shared" ca="1" si="27"/>
        <v>10804</v>
      </c>
      <c r="F198" s="2">
        <f t="shared" ca="1" si="28"/>
        <v>33177</v>
      </c>
      <c r="G198" s="2">
        <f t="shared" ca="1" si="29"/>
        <v>1626</v>
      </c>
    </row>
    <row r="199" spans="1:7" x14ac:dyDescent="0.3">
      <c r="A199" s="5" t="str">
        <f t="shared" si="23"/>
        <v>New Balance</v>
      </c>
      <c r="B199" s="5" t="str">
        <f t="shared" si="25"/>
        <v>574 Core</v>
      </c>
      <c r="C199" s="3">
        <f t="shared" si="24"/>
        <v>45671</v>
      </c>
      <c r="D199" s="4">
        <f t="shared" ca="1" si="26"/>
        <v>100</v>
      </c>
      <c r="E199" s="2">
        <f t="shared" ca="1" si="27"/>
        <v>1955</v>
      </c>
      <c r="F199" s="2">
        <f t="shared" ca="1" si="28"/>
        <v>31079</v>
      </c>
      <c r="G199" s="2">
        <f t="shared" ca="1" si="29"/>
        <v>1438</v>
      </c>
    </row>
    <row r="200" spans="1:7" x14ac:dyDescent="0.3">
      <c r="A200" s="5" t="str">
        <f t="shared" si="23"/>
        <v>Reebok</v>
      </c>
      <c r="B200" s="5" t="str">
        <f t="shared" si="25"/>
        <v>Club C 85</v>
      </c>
      <c r="C200" s="3">
        <f t="shared" si="24"/>
        <v>45671</v>
      </c>
      <c r="D200" s="4">
        <f t="shared" ca="1" si="26"/>
        <v>103</v>
      </c>
      <c r="E200" s="2">
        <f t="shared" ca="1" si="27"/>
        <v>6836</v>
      </c>
      <c r="F200" s="2">
        <f t="shared" ca="1" si="28"/>
        <v>34984</v>
      </c>
      <c r="G200" s="2">
        <f t="shared" ca="1" si="29"/>
        <v>2755</v>
      </c>
    </row>
    <row r="201" spans="1:7" x14ac:dyDescent="0.3">
      <c r="A201" s="5" t="str">
        <f t="shared" si="23"/>
        <v>Nike</v>
      </c>
      <c r="B201" s="5" t="str">
        <f t="shared" si="25"/>
        <v>Pegasus 40</v>
      </c>
      <c r="C201" s="3">
        <f t="shared" si="24"/>
        <v>45671</v>
      </c>
      <c r="D201" s="4">
        <f t="shared" ca="1" si="26"/>
        <v>37</v>
      </c>
      <c r="E201" s="2">
        <f t="shared" ca="1" si="27"/>
        <v>1652</v>
      </c>
      <c r="F201" s="2">
        <f t="shared" ca="1" si="28"/>
        <v>5652</v>
      </c>
      <c r="G201" s="2">
        <f t="shared" ca="1" si="29"/>
        <v>235</v>
      </c>
    </row>
    <row r="202" spans="1:7" x14ac:dyDescent="0.3">
      <c r="A202" s="5" t="str">
        <f t="shared" si="23"/>
        <v>Adidas</v>
      </c>
      <c r="B202" s="5" t="str">
        <f t="shared" si="25"/>
        <v>Gazelle</v>
      </c>
      <c r="C202" s="3">
        <f t="shared" si="24"/>
        <v>45671</v>
      </c>
      <c r="D202" s="4">
        <f t="shared" ca="1" si="26"/>
        <v>151</v>
      </c>
      <c r="E202" s="2">
        <f t="shared" ca="1" si="27"/>
        <v>11020</v>
      </c>
      <c r="F202" s="2">
        <f t="shared" ca="1" si="28"/>
        <v>28843</v>
      </c>
      <c r="G202" s="2">
        <f t="shared" ca="1" si="29"/>
        <v>2177</v>
      </c>
    </row>
    <row r="203" spans="1:7" x14ac:dyDescent="0.3">
      <c r="A203" s="5" t="str">
        <f t="shared" si="23"/>
        <v>Puma</v>
      </c>
      <c r="B203" s="5" t="str">
        <f t="shared" si="25"/>
        <v>Slipstream</v>
      </c>
      <c r="C203" s="3">
        <f t="shared" si="24"/>
        <v>45671</v>
      </c>
      <c r="D203" s="4">
        <f t="shared" ca="1" si="26"/>
        <v>83</v>
      </c>
      <c r="E203" s="2">
        <f t="shared" ca="1" si="27"/>
        <v>3685</v>
      </c>
      <c r="F203" s="2">
        <f t="shared" ca="1" si="28"/>
        <v>34758</v>
      </c>
      <c r="G203" s="2">
        <f t="shared" ca="1" si="29"/>
        <v>1110</v>
      </c>
    </row>
    <row r="204" spans="1:7" x14ac:dyDescent="0.3">
      <c r="A204" s="5" t="str">
        <f t="shared" si="23"/>
        <v>New Balance</v>
      </c>
      <c r="B204" s="5" t="str">
        <f t="shared" si="25"/>
        <v>550</v>
      </c>
      <c r="C204" s="3">
        <f t="shared" si="24"/>
        <v>45671</v>
      </c>
      <c r="D204" s="4">
        <f t="shared" ca="1" si="26"/>
        <v>226</v>
      </c>
      <c r="E204" s="2">
        <f t="shared" ca="1" si="27"/>
        <v>3021</v>
      </c>
      <c r="F204" s="2">
        <f t="shared" ca="1" si="28"/>
        <v>20596</v>
      </c>
      <c r="G204" s="2">
        <f t="shared" ca="1" si="29"/>
        <v>429</v>
      </c>
    </row>
    <row r="205" spans="1:7" x14ac:dyDescent="0.3">
      <c r="A205" s="5" t="str">
        <f t="shared" si="23"/>
        <v>Reebok</v>
      </c>
      <c r="B205" s="5" t="str">
        <f t="shared" si="25"/>
        <v>Classic Leather</v>
      </c>
      <c r="C205" s="3">
        <f t="shared" si="24"/>
        <v>45671</v>
      </c>
      <c r="D205" s="4">
        <f t="shared" ca="1" si="26"/>
        <v>108</v>
      </c>
      <c r="E205" s="2">
        <f t="shared" ca="1" si="27"/>
        <v>10712</v>
      </c>
      <c r="F205" s="2">
        <f t="shared" ca="1" si="28"/>
        <v>25281</v>
      </c>
      <c r="G205" s="2">
        <f t="shared" ca="1" si="29"/>
        <v>1612</v>
      </c>
    </row>
    <row r="206" spans="1:7" x14ac:dyDescent="0.3">
      <c r="A206" s="5" t="str">
        <f t="shared" si="23"/>
        <v>Nike</v>
      </c>
      <c r="B206" s="5" t="str">
        <f t="shared" si="25"/>
        <v>Air Force 1</v>
      </c>
      <c r="C206" s="3">
        <f t="shared" si="24"/>
        <v>45671</v>
      </c>
      <c r="D206" s="4">
        <f t="shared" ca="1" si="26"/>
        <v>93</v>
      </c>
      <c r="E206" s="2">
        <f t="shared" ca="1" si="27"/>
        <v>8089</v>
      </c>
      <c r="F206" s="2">
        <f t="shared" ca="1" si="28"/>
        <v>31739</v>
      </c>
      <c r="G206" s="2">
        <f t="shared" ca="1" si="29"/>
        <v>1361</v>
      </c>
    </row>
    <row r="207" spans="1:7" x14ac:dyDescent="0.3">
      <c r="A207" s="5" t="str">
        <f t="shared" si="23"/>
        <v>Adidas</v>
      </c>
      <c r="B207" s="5" t="str">
        <f t="shared" si="25"/>
        <v>Superstar</v>
      </c>
      <c r="C207" s="3">
        <f t="shared" si="24"/>
        <v>45671</v>
      </c>
      <c r="D207" s="4">
        <f t="shared" ca="1" si="26"/>
        <v>82</v>
      </c>
      <c r="E207" s="2">
        <f t="shared" ca="1" si="27"/>
        <v>3373</v>
      </c>
      <c r="F207" s="2">
        <f t="shared" ca="1" si="28"/>
        <v>27011</v>
      </c>
      <c r="G207" s="2">
        <f t="shared" ca="1" si="29"/>
        <v>1479</v>
      </c>
    </row>
    <row r="208" spans="1:7" x14ac:dyDescent="0.3">
      <c r="A208" s="5" t="str">
        <f t="shared" si="23"/>
        <v>Puma</v>
      </c>
      <c r="B208" s="5" t="str">
        <f t="shared" si="25"/>
        <v>Rider Vintage</v>
      </c>
      <c r="C208" s="3">
        <f t="shared" si="24"/>
        <v>45671</v>
      </c>
      <c r="D208" s="4">
        <f t="shared" ca="1" si="26"/>
        <v>147</v>
      </c>
      <c r="E208" s="2">
        <f t="shared" ca="1" si="27"/>
        <v>9443</v>
      </c>
      <c r="F208" s="2">
        <f t="shared" ca="1" si="28"/>
        <v>11617</v>
      </c>
      <c r="G208" s="2">
        <f t="shared" ca="1" si="29"/>
        <v>600</v>
      </c>
    </row>
    <row r="209" spans="1:7" x14ac:dyDescent="0.3">
      <c r="A209" s="5" t="str">
        <f t="shared" si="23"/>
        <v>New Balance</v>
      </c>
      <c r="B209" s="5" t="str">
        <f t="shared" si="25"/>
        <v>327</v>
      </c>
      <c r="C209" s="3">
        <f t="shared" si="24"/>
        <v>45671</v>
      </c>
      <c r="D209" s="4">
        <f t="shared" ca="1" si="26"/>
        <v>180</v>
      </c>
      <c r="E209" s="2">
        <f t="shared" ca="1" si="27"/>
        <v>10371</v>
      </c>
      <c r="F209" s="2">
        <f t="shared" ca="1" si="28"/>
        <v>13470</v>
      </c>
      <c r="G209" s="2">
        <f t="shared" ca="1" si="29"/>
        <v>625</v>
      </c>
    </row>
    <row r="210" spans="1:7" x14ac:dyDescent="0.3">
      <c r="A210" s="5" t="str">
        <f t="shared" si="23"/>
        <v>Reebok</v>
      </c>
      <c r="B210" s="5" t="str">
        <f t="shared" si="25"/>
        <v>Question Mid</v>
      </c>
      <c r="C210" s="3">
        <f t="shared" si="24"/>
        <v>45671</v>
      </c>
      <c r="D210" s="4">
        <f t="shared" ca="1" si="26"/>
        <v>107</v>
      </c>
      <c r="E210" s="2">
        <f t="shared" ca="1" si="27"/>
        <v>7274</v>
      </c>
      <c r="F210" s="2">
        <f t="shared" ca="1" si="28"/>
        <v>6411</v>
      </c>
      <c r="G210" s="2">
        <f t="shared" ca="1" si="29"/>
        <v>446</v>
      </c>
    </row>
    <row r="211" spans="1:7" x14ac:dyDescent="0.3">
      <c r="A211" s="5" t="str">
        <f t="shared" si="23"/>
        <v>Nike</v>
      </c>
      <c r="B211" s="5" t="str">
        <f t="shared" si="25"/>
        <v>Air Max 270</v>
      </c>
      <c r="C211" s="3">
        <f t="shared" si="24"/>
        <v>45671</v>
      </c>
      <c r="D211" s="4">
        <f t="shared" ca="1" si="26"/>
        <v>133</v>
      </c>
      <c r="E211" s="2">
        <f t="shared" ca="1" si="27"/>
        <v>8935</v>
      </c>
      <c r="F211" s="2">
        <f t="shared" ca="1" si="28"/>
        <v>10278</v>
      </c>
      <c r="G211" s="2">
        <f t="shared" ca="1" si="29"/>
        <v>734</v>
      </c>
    </row>
    <row r="212" spans="1:7" x14ac:dyDescent="0.3">
      <c r="A212" s="5" t="str">
        <f t="shared" si="23"/>
        <v>Adidas</v>
      </c>
      <c r="B212" s="5" t="str">
        <f t="shared" si="25"/>
        <v>Stan Smith</v>
      </c>
      <c r="C212" s="3">
        <f t="shared" si="24"/>
        <v>45672</v>
      </c>
      <c r="D212" s="4">
        <f t="shared" ca="1" si="26"/>
        <v>88</v>
      </c>
      <c r="E212" s="2">
        <f t="shared" ca="1" si="27"/>
        <v>4066</v>
      </c>
      <c r="F212" s="2">
        <f t="shared" ca="1" si="28"/>
        <v>33604</v>
      </c>
      <c r="G212" s="2">
        <f t="shared" ca="1" si="29"/>
        <v>985</v>
      </c>
    </row>
    <row r="213" spans="1:7" x14ac:dyDescent="0.3">
      <c r="A213" s="5" t="str">
        <f t="shared" si="23"/>
        <v>Puma</v>
      </c>
      <c r="B213" s="5" t="str">
        <f t="shared" si="25"/>
        <v>Cali Dream</v>
      </c>
      <c r="C213" s="3">
        <f t="shared" si="24"/>
        <v>45672</v>
      </c>
      <c r="D213" s="4">
        <f t="shared" ca="1" si="26"/>
        <v>219</v>
      </c>
      <c r="E213" s="2">
        <f t="shared" ca="1" si="27"/>
        <v>3493</v>
      </c>
      <c r="F213" s="2">
        <f t="shared" ca="1" si="28"/>
        <v>32729</v>
      </c>
      <c r="G213" s="2">
        <f t="shared" ca="1" si="29"/>
        <v>812</v>
      </c>
    </row>
    <row r="214" spans="1:7" x14ac:dyDescent="0.3">
      <c r="A214" s="5" t="str">
        <f t="shared" si="23"/>
        <v>New Balance</v>
      </c>
      <c r="B214" s="5" t="str">
        <f t="shared" si="25"/>
        <v>9060</v>
      </c>
      <c r="C214" s="3">
        <f t="shared" si="24"/>
        <v>45672</v>
      </c>
      <c r="D214" s="4">
        <f t="shared" ca="1" si="26"/>
        <v>123</v>
      </c>
      <c r="E214" s="2">
        <f t="shared" ca="1" si="27"/>
        <v>8358</v>
      </c>
      <c r="F214" s="2">
        <f t="shared" ca="1" si="28"/>
        <v>16726</v>
      </c>
      <c r="G214" s="2">
        <f t="shared" ca="1" si="29"/>
        <v>566</v>
      </c>
    </row>
    <row r="215" spans="1:7" x14ac:dyDescent="0.3">
      <c r="A215" s="5" t="str">
        <f t="shared" si="23"/>
        <v>Reebok</v>
      </c>
      <c r="B215" s="5" t="str">
        <f t="shared" si="25"/>
        <v>Zig Kinetica</v>
      </c>
      <c r="C215" s="3">
        <f t="shared" si="24"/>
        <v>45672</v>
      </c>
      <c r="D215" s="4">
        <f t="shared" ca="1" si="26"/>
        <v>219</v>
      </c>
      <c r="E215" s="2">
        <f t="shared" ca="1" si="27"/>
        <v>5660</v>
      </c>
      <c r="F215" s="2">
        <f t="shared" ca="1" si="28"/>
        <v>19667</v>
      </c>
      <c r="G215" s="2">
        <f t="shared" ca="1" si="29"/>
        <v>1043</v>
      </c>
    </row>
    <row r="216" spans="1:7" x14ac:dyDescent="0.3">
      <c r="A216" s="5" t="str">
        <f t="shared" si="23"/>
        <v>Nike</v>
      </c>
      <c r="B216" s="5" t="str">
        <f t="shared" si="25"/>
        <v>Jordan 1</v>
      </c>
      <c r="C216" s="3">
        <f t="shared" si="24"/>
        <v>45672</v>
      </c>
      <c r="D216" s="4">
        <f t="shared" ca="1" si="26"/>
        <v>161</v>
      </c>
      <c r="E216" s="2">
        <f t="shared" ca="1" si="27"/>
        <v>5955</v>
      </c>
      <c r="F216" s="2">
        <f t="shared" ca="1" si="28"/>
        <v>9138</v>
      </c>
      <c r="G216" s="2">
        <f t="shared" ca="1" si="29"/>
        <v>550</v>
      </c>
    </row>
    <row r="217" spans="1:7" x14ac:dyDescent="0.3">
      <c r="A217" s="5" t="str">
        <f t="shared" si="23"/>
        <v>Adidas</v>
      </c>
      <c r="B217" s="5" t="str">
        <f t="shared" si="25"/>
        <v>Ultraboost 23</v>
      </c>
      <c r="C217" s="3">
        <f t="shared" si="24"/>
        <v>45672</v>
      </c>
      <c r="D217" s="4">
        <f t="shared" ca="1" si="26"/>
        <v>186</v>
      </c>
      <c r="E217" s="2">
        <f t="shared" ca="1" si="27"/>
        <v>7399</v>
      </c>
      <c r="F217" s="2">
        <f t="shared" ca="1" si="28"/>
        <v>6319</v>
      </c>
      <c r="G217" s="2">
        <f t="shared" ca="1" si="29"/>
        <v>457</v>
      </c>
    </row>
    <row r="218" spans="1:7" x14ac:dyDescent="0.3">
      <c r="A218" s="5" t="str">
        <f t="shared" si="23"/>
        <v>Puma</v>
      </c>
      <c r="B218" s="5" t="str">
        <f t="shared" si="25"/>
        <v>RS-X</v>
      </c>
      <c r="C218" s="3">
        <f t="shared" si="24"/>
        <v>45672</v>
      </c>
      <c r="D218" s="4">
        <f t="shared" ca="1" si="26"/>
        <v>150</v>
      </c>
      <c r="E218" s="2">
        <f t="shared" ca="1" si="27"/>
        <v>8064</v>
      </c>
      <c r="F218" s="2">
        <f t="shared" ca="1" si="28"/>
        <v>19649</v>
      </c>
      <c r="G218" s="2">
        <f t="shared" ca="1" si="29"/>
        <v>1336</v>
      </c>
    </row>
    <row r="219" spans="1:7" x14ac:dyDescent="0.3">
      <c r="A219" s="5" t="str">
        <f t="shared" si="23"/>
        <v>New Balance</v>
      </c>
      <c r="B219" s="5" t="str">
        <f t="shared" si="25"/>
        <v>2002R</v>
      </c>
      <c r="C219" s="3">
        <f t="shared" si="24"/>
        <v>45672</v>
      </c>
      <c r="D219" s="4">
        <f t="shared" ca="1" si="26"/>
        <v>181</v>
      </c>
      <c r="E219" s="2">
        <f t="shared" ca="1" si="27"/>
        <v>11451</v>
      </c>
      <c r="F219" s="2">
        <f t="shared" ca="1" si="28"/>
        <v>13683</v>
      </c>
      <c r="G219" s="2">
        <f t="shared" ca="1" si="29"/>
        <v>759</v>
      </c>
    </row>
    <row r="220" spans="1:7" x14ac:dyDescent="0.3">
      <c r="A220" s="5" t="str">
        <f t="shared" si="23"/>
        <v>Reebok</v>
      </c>
      <c r="B220" s="5" t="str">
        <f t="shared" si="25"/>
        <v>Instapump Fury</v>
      </c>
      <c r="C220" s="3">
        <f t="shared" si="24"/>
        <v>45672</v>
      </c>
      <c r="D220" s="4">
        <f t="shared" ca="1" si="26"/>
        <v>241</v>
      </c>
      <c r="E220" s="2">
        <f t="shared" ca="1" si="27"/>
        <v>5274</v>
      </c>
      <c r="F220" s="2">
        <f t="shared" ca="1" si="28"/>
        <v>11764</v>
      </c>
      <c r="G220" s="2">
        <f t="shared" ca="1" si="29"/>
        <v>290</v>
      </c>
    </row>
    <row r="221" spans="1:7" x14ac:dyDescent="0.3">
      <c r="A221" s="5" t="str">
        <f t="shared" si="23"/>
        <v>Nike</v>
      </c>
      <c r="B221" s="5" t="str">
        <f t="shared" si="25"/>
        <v>Cortez</v>
      </c>
      <c r="C221" s="3">
        <f t="shared" si="24"/>
        <v>45672</v>
      </c>
      <c r="D221" s="4">
        <f t="shared" ca="1" si="26"/>
        <v>96</v>
      </c>
      <c r="E221" s="2">
        <f t="shared" ca="1" si="27"/>
        <v>3809</v>
      </c>
      <c r="F221" s="2">
        <f t="shared" ca="1" si="28"/>
        <v>32031</v>
      </c>
      <c r="G221" s="2">
        <f t="shared" ca="1" si="29"/>
        <v>2326</v>
      </c>
    </row>
    <row r="222" spans="1:7" x14ac:dyDescent="0.3">
      <c r="A222" s="5" t="str">
        <f t="shared" si="23"/>
        <v>Adidas</v>
      </c>
      <c r="B222" s="5" t="str">
        <f t="shared" si="25"/>
        <v>NMD S1</v>
      </c>
      <c r="C222" s="3">
        <f t="shared" si="24"/>
        <v>45672</v>
      </c>
      <c r="D222" s="4">
        <f t="shared" ca="1" si="26"/>
        <v>232</v>
      </c>
      <c r="E222" s="2">
        <f t="shared" ca="1" si="27"/>
        <v>2883</v>
      </c>
      <c r="F222" s="2">
        <f t="shared" ca="1" si="28"/>
        <v>26220</v>
      </c>
      <c r="G222" s="2">
        <f t="shared" ca="1" si="29"/>
        <v>1552</v>
      </c>
    </row>
    <row r="223" spans="1:7" x14ac:dyDescent="0.3">
      <c r="A223" s="5" t="str">
        <f t="shared" si="23"/>
        <v>Puma</v>
      </c>
      <c r="B223" s="5" t="str">
        <f t="shared" si="25"/>
        <v>Suede Classic</v>
      </c>
      <c r="C223" s="3">
        <f t="shared" si="24"/>
        <v>45672</v>
      </c>
      <c r="D223" s="4">
        <f t="shared" ca="1" si="26"/>
        <v>140</v>
      </c>
      <c r="E223" s="2">
        <f t="shared" ca="1" si="27"/>
        <v>10971</v>
      </c>
      <c r="F223" s="2">
        <f t="shared" ca="1" si="28"/>
        <v>30875</v>
      </c>
      <c r="G223" s="2">
        <f t="shared" ca="1" si="29"/>
        <v>1936</v>
      </c>
    </row>
    <row r="224" spans="1:7" x14ac:dyDescent="0.3">
      <c r="A224" s="5" t="str">
        <f t="shared" si="23"/>
        <v>New Balance</v>
      </c>
      <c r="B224" s="5" t="str">
        <f t="shared" si="25"/>
        <v>990v6</v>
      </c>
      <c r="C224" s="3">
        <f t="shared" si="24"/>
        <v>45672</v>
      </c>
      <c r="D224" s="4">
        <f t="shared" ca="1" si="26"/>
        <v>157</v>
      </c>
      <c r="E224" s="2">
        <f t="shared" ca="1" si="27"/>
        <v>7717</v>
      </c>
      <c r="F224" s="2">
        <f t="shared" ca="1" si="28"/>
        <v>30377</v>
      </c>
      <c r="G224" s="2">
        <f t="shared" ca="1" si="29"/>
        <v>1365</v>
      </c>
    </row>
    <row r="225" spans="1:7" x14ac:dyDescent="0.3">
      <c r="A225" s="5" t="str">
        <f t="shared" si="23"/>
        <v>Reebok</v>
      </c>
      <c r="B225" s="5" t="str">
        <f t="shared" si="25"/>
        <v>Nano X3</v>
      </c>
      <c r="C225" s="3">
        <f t="shared" si="24"/>
        <v>45672</v>
      </c>
      <c r="D225" s="4">
        <f t="shared" ca="1" si="26"/>
        <v>184</v>
      </c>
      <c r="E225" s="2">
        <f t="shared" ca="1" si="27"/>
        <v>8368</v>
      </c>
      <c r="F225" s="2">
        <f t="shared" ca="1" si="28"/>
        <v>8800</v>
      </c>
      <c r="G225" s="2">
        <f t="shared" ca="1" si="29"/>
        <v>589</v>
      </c>
    </row>
    <row r="226" spans="1:7" x14ac:dyDescent="0.3">
      <c r="A226" s="5" t="str">
        <f t="shared" si="23"/>
        <v>Nike</v>
      </c>
      <c r="B226" s="5" t="str">
        <f t="shared" si="25"/>
        <v>Vaporfly 3</v>
      </c>
      <c r="C226" s="3">
        <f t="shared" si="24"/>
        <v>45672</v>
      </c>
      <c r="D226" s="4">
        <f t="shared" ca="1" si="26"/>
        <v>184</v>
      </c>
      <c r="E226" s="2">
        <f t="shared" ca="1" si="27"/>
        <v>7776</v>
      </c>
      <c r="F226" s="2">
        <f t="shared" ca="1" si="28"/>
        <v>12732</v>
      </c>
      <c r="G226" s="2">
        <f t="shared" ca="1" si="29"/>
        <v>403</v>
      </c>
    </row>
    <row r="227" spans="1:7" x14ac:dyDescent="0.3">
      <c r="A227" s="5" t="str">
        <f t="shared" si="23"/>
        <v>Adidas</v>
      </c>
      <c r="B227" s="5" t="str">
        <f t="shared" si="25"/>
        <v>Samba</v>
      </c>
      <c r="C227" s="3">
        <f t="shared" si="24"/>
        <v>45673</v>
      </c>
      <c r="D227" s="4">
        <f t="shared" ca="1" si="26"/>
        <v>203</v>
      </c>
      <c r="E227" s="2">
        <f t="shared" ca="1" si="27"/>
        <v>11807</v>
      </c>
      <c r="F227" s="2">
        <f t="shared" ca="1" si="28"/>
        <v>29300</v>
      </c>
      <c r="G227" s="2">
        <f t="shared" ca="1" si="29"/>
        <v>1539</v>
      </c>
    </row>
    <row r="228" spans="1:7" x14ac:dyDescent="0.3">
      <c r="A228" s="5" t="str">
        <f t="shared" si="23"/>
        <v>Puma</v>
      </c>
      <c r="B228" s="5" t="str">
        <f t="shared" si="25"/>
        <v>Mayze</v>
      </c>
      <c r="C228" s="3">
        <f t="shared" si="24"/>
        <v>45673</v>
      </c>
      <c r="D228" s="4">
        <f t="shared" ca="1" si="26"/>
        <v>76</v>
      </c>
      <c r="E228" s="2">
        <f t="shared" ca="1" si="27"/>
        <v>7813</v>
      </c>
      <c r="F228" s="2">
        <f t="shared" ca="1" si="28"/>
        <v>23786</v>
      </c>
      <c r="G228" s="2">
        <f t="shared" ca="1" si="29"/>
        <v>1129</v>
      </c>
    </row>
    <row r="229" spans="1:7" x14ac:dyDescent="0.3">
      <c r="A229" s="5" t="str">
        <f t="shared" si="23"/>
        <v>New Balance</v>
      </c>
      <c r="B229" s="5" t="str">
        <f t="shared" si="25"/>
        <v>574 Core</v>
      </c>
      <c r="C229" s="3">
        <f t="shared" si="24"/>
        <v>45673</v>
      </c>
      <c r="D229" s="4">
        <f t="shared" ca="1" si="26"/>
        <v>64</v>
      </c>
      <c r="E229" s="2">
        <f t="shared" ca="1" si="27"/>
        <v>2090</v>
      </c>
      <c r="F229" s="2">
        <f t="shared" ca="1" si="28"/>
        <v>32379</v>
      </c>
      <c r="G229" s="2">
        <f t="shared" ca="1" si="29"/>
        <v>849</v>
      </c>
    </row>
    <row r="230" spans="1:7" x14ac:dyDescent="0.3">
      <c r="A230" s="5" t="str">
        <f t="shared" si="23"/>
        <v>Reebok</v>
      </c>
      <c r="B230" s="5" t="str">
        <f t="shared" si="25"/>
        <v>Club C 85</v>
      </c>
      <c r="C230" s="3">
        <f t="shared" si="24"/>
        <v>45673</v>
      </c>
      <c r="D230" s="4">
        <f t="shared" ca="1" si="26"/>
        <v>186</v>
      </c>
      <c r="E230" s="2">
        <f t="shared" ca="1" si="27"/>
        <v>1437</v>
      </c>
      <c r="F230" s="2">
        <f t="shared" ca="1" si="28"/>
        <v>12509</v>
      </c>
      <c r="G230" s="2">
        <f t="shared" ca="1" si="29"/>
        <v>903</v>
      </c>
    </row>
    <row r="231" spans="1:7" x14ac:dyDescent="0.3">
      <c r="A231" s="5" t="str">
        <f t="shared" si="23"/>
        <v>Nike</v>
      </c>
      <c r="B231" s="5" t="str">
        <f t="shared" si="25"/>
        <v>Pegasus 40</v>
      </c>
      <c r="C231" s="3">
        <f t="shared" si="24"/>
        <v>45673</v>
      </c>
      <c r="D231" s="4">
        <f t="shared" ca="1" si="26"/>
        <v>152</v>
      </c>
      <c r="E231" s="2">
        <f t="shared" ca="1" si="27"/>
        <v>8325</v>
      </c>
      <c r="F231" s="2">
        <f t="shared" ca="1" si="28"/>
        <v>5178</v>
      </c>
      <c r="G231" s="2">
        <f t="shared" ca="1" si="29"/>
        <v>403</v>
      </c>
    </row>
    <row r="232" spans="1:7" x14ac:dyDescent="0.3">
      <c r="A232" s="5" t="str">
        <f t="shared" si="23"/>
        <v>Adidas</v>
      </c>
      <c r="B232" s="5" t="str">
        <f t="shared" si="25"/>
        <v>Gazelle</v>
      </c>
      <c r="C232" s="3">
        <f t="shared" si="24"/>
        <v>45673</v>
      </c>
      <c r="D232" s="4">
        <f t="shared" ca="1" si="26"/>
        <v>229</v>
      </c>
      <c r="E232" s="2">
        <f t="shared" ca="1" si="27"/>
        <v>5624</v>
      </c>
      <c r="F232" s="2">
        <f t="shared" ca="1" si="28"/>
        <v>34845</v>
      </c>
      <c r="G232" s="2">
        <f t="shared" ca="1" si="29"/>
        <v>1879</v>
      </c>
    </row>
    <row r="233" spans="1:7" x14ac:dyDescent="0.3">
      <c r="A233" s="5" t="str">
        <f t="shared" si="23"/>
        <v>Puma</v>
      </c>
      <c r="B233" s="5" t="str">
        <f t="shared" si="25"/>
        <v>Slipstream</v>
      </c>
      <c r="C233" s="3">
        <f t="shared" si="24"/>
        <v>45673</v>
      </c>
      <c r="D233" s="4">
        <f t="shared" ca="1" si="26"/>
        <v>162</v>
      </c>
      <c r="E233" s="2">
        <f t="shared" ca="1" si="27"/>
        <v>11600</v>
      </c>
      <c r="F233" s="2">
        <f t="shared" ca="1" si="28"/>
        <v>25776</v>
      </c>
      <c r="G233" s="2">
        <f t="shared" ca="1" si="29"/>
        <v>731</v>
      </c>
    </row>
    <row r="234" spans="1:7" x14ac:dyDescent="0.3">
      <c r="A234" s="5" t="str">
        <f t="shared" si="23"/>
        <v>New Balance</v>
      </c>
      <c r="B234" s="5" t="str">
        <f t="shared" si="25"/>
        <v>550</v>
      </c>
      <c r="C234" s="3">
        <f t="shared" si="24"/>
        <v>45673</v>
      </c>
      <c r="D234" s="4">
        <f t="shared" ca="1" si="26"/>
        <v>22</v>
      </c>
      <c r="E234" s="2">
        <f t="shared" ca="1" si="27"/>
        <v>7945</v>
      </c>
      <c r="F234" s="2">
        <f t="shared" ca="1" si="28"/>
        <v>29628</v>
      </c>
      <c r="G234" s="2">
        <f t="shared" ca="1" si="29"/>
        <v>1137</v>
      </c>
    </row>
    <row r="235" spans="1:7" x14ac:dyDescent="0.3">
      <c r="A235" s="5" t="str">
        <f t="shared" ref="A235:A298" si="30">CHOOSE(MOD(ROW(A234),5)+1,"Nike","Adidas","Puma","New Balance","Reebok")</f>
        <v>Reebok</v>
      </c>
      <c r="B235" s="5" t="str">
        <f t="shared" si="25"/>
        <v>Classic Leather</v>
      </c>
      <c r="C235" s="3">
        <f t="shared" ref="C235:C298" si="31">DATE(2025,1,1)+INT((ROW(A235)-2)/15)</f>
        <v>45673</v>
      </c>
      <c r="D235" s="4">
        <f t="shared" ca="1" si="26"/>
        <v>35</v>
      </c>
      <c r="E235" s="2">
        <f t="shared" ca="1" si="27"/>
        <v>10734</v>
      </c>
      <c r="F235" s="2">
        <f t="shared" ca="1" si="28"/>
        <v>5082</v>
      </c>
      <c r="G235" s="2">
        <f t="shared" ca="1" si="29"/>
        <v>169</v>
      </c>
    </row>
    <row r="236" spans="1:7" x14ac:dyDescent="0.3">
      <c r="A236" s="5" t="str">
        <f t="shared" si="30"/>
        <v>Nike</v>
      </c>
      <c r="B236" s="5" t="str">
        <f t="shared" si="25"/>
        <v>Air Force 1</v>
      </c>
      <c r="C236" s="3">
        <f t="shared" si="31"/>
        <v>45673</v>
      </c>
      <c r="D236" s="4">
        <f t="shared" ca="1" si="26"/>
        <v>182</v>
      </c>
      <c r="E236" s="2">
        <f t="shared" ca="1" si="27"/>
        <v>6488</v>
      </c>
      <c r="F236" s="2">
        <f t="shared" ca="1" si="28"/>
        <v>7497</v>
      </c>
      <c r="G236" s="2">
        <f t="shared" ca="1" si="29"/>
        <v>166</v>
      </c>
    </row>
    <row r="237" spans="1:7" x14ac:dyDescent="0.3">
      <c r="A237" s="5" t="str">
        <f t="shared" si="30"/>
        <v>Adidas</v>
      </c>
      <c r="B237" s="5" t="str">
        <f t="shared" si="25"/>
        <v>Superstar</v>
      </c>
      <c r="C237" s="3">
        <f t="shared" si="31"/>
        <v>45673</v>
      </c>
      <c r="D237" s="4">
        <f t="shared" ca="1" si="26"/>
        <v>90</v>
      </c>
      <c r="E237" s="2">
        <f t="shared" ca="1" si="27"/>
        <v>8251</v>
      </c>
      <c r="F237" s="2">
        <f t="shared" ca="1" si="28"/>
        <v>5800</v>
      </c>
      <c r="G237" s="2">
        <f t="shared" ca="1" si="29"/>
        <v>199</v>
      </c>
    </row>
    <row r="238" spans="1:7" x14ac:dyDescent="0.3">
      <c r="A238" s="5" t="str">
        <f t="shared" si="30"/>
        <v>Puma</v>
      </c>
      <c r="B238" s="5" t="str">
        <f t="shared" si="25"/>
        <v>Rider Vintage</v>
      </c>
      <c r="C238" s="3">
        <f t="shared" si="31"/>
        <v>45673</v>
      </c>
      <c r="D238" s="4">
        <f t="shared" ca="1" si="26"/>
        <v>116</v>
      </c>
      <c r="E238" s="2">
        <f t="shared" ca="1" si="27"/>
        <v>9485</v>
      </c>
      <c r="F238" s="2">
        <f t="shared" ca="1" si="28"/>
        <v>13121</v>
      </c>
      <c r="G238" s="2">
        <f t="shared" ca="1" si="29"/>
        <v>866</v>
      </c>
    </row>
    <row r="239" spans="1:7" x14ac:dyDescent="0.3">
      <c r="A239" s="5" t="str">
        <f t="shared" si="30"/>
        <v>New Balance</v>
      </c>
      <c r="B239" s="5" t="str">
        <f t="shared" si="25"/>
        <v>327</v>
      </c>
      <c r="C239" s="3">
        <f t="shared" si="31"/>
        <v>45673</v>
      </c>
      <c r="D239" s="4">
        <f t="shared" ca="1" si="26"/>
        <v>197</v>
      </c>
      <c r="E239" s="2">
        <f t="shared" ca="1" si="27"/>
        <v>7486</v>
      </c>
      <c r="F239" s="2">
        <f t="shared" ca="1" si="28"/>
        <v>28777</v>
      </c>
      <c r="G239" s="2">
        <f t="shared" ca="1" si="29"/>
        <v>1975</v>
      </c>
    </row>
    <row r="240" spans="1:7" x14ac:dyDescent="0.3">
      <c r="A240" s="5" t="str">
        <f t="shared" si="30"/>
        <v>Reebok</v>
      </c>
      <c r="B240" s="5" t="str">
        <f t="shared" si="25"/>
        <v>Question Mid</v>
      </c>
      <c r="C240" s="3">
        <f t="shared" si="31"/>
        <v>45673</v>
      </c>
      <c r="D240" s="4">
        <f t="shared" ca="1" si="26"/>
        <v>184</v>
      </c>
      <c r="E240" s="2">
        <f t="shared" ca="1" si="27"/>
        <v>6864</v>
      </c>
      <c r="F240" s="2">
        <f t="shared" ca="1" si="28"/>
        <v>25997</v>
      </c>
      <c r="G240" s="2">
        <f t="shared" ca="1" si="29"/>
        <v>796</v>
      </c>
    </row>
    <row r="241" spans="1:7" x14ac:dyDescent="0.3">
      <c r="A241" s="5" t="str">
        <f t="shared" si="30"/>
        <v>Nike</v>
      </c>
      <c r="B241" s="5" t="str">
        <f t="shared" si="25"/>
        <v>Air Max 270</v>
      </c>
      <c r="C241" s="3">
        <f t="shared" si="31"/>
        <v>45673</v>
      </c>
      <c r="D241" s="4">
        <f t="shared" ca="1" si="26"/>
        <v>193</v>
      </c>
      <c r="E241" s="2">
        <f t="shared" ca="1" si="27"/>
        <v>11021</v>
      </c>
      <c r="F241" s="2">
        <f t="shared" ca="1" si="28"/>
        <v>29578</v>
      </c>
      <c r="G241" s="2">
        <f t="shared" ca="1" si="29"/>
        <v>1502</v>
      </c>
    </row>
    <row r="242" spans="1:7" x14ac:dyDescent="0.3">
      <c r="A242" s="5" t="str">
        <f t="shared" si="30"/>
        <v>Adidas</v>
      </c>
      <c r="B242" s="5" t="str">
        <f t="shared" si="25"/>
        <v>Stan Smith</v>
      </c>
      <c r="C242" s="3">
        <f t="shared" si="31"/>
        <v>45674</v>
      </c>
      <c r="D242" s="4">
        <f t="shared" ca="1" si="26"/>
        <v>198</v>
      </c>
      <c r="E242" s="2">
        <f t="shared" ca="1" si="27"/>
        <v>4661</v>
      </c>
      <c r="F242" s="2">
        <f t="shared" ca="1" si="28"/>
        <v>29155</v>
      </c>
      <c r="G242" s="2">
        <f t="shared" ca="1" si="29"/>
        <v>1138</v>
      </c>
    </row>
    <row r="243" spans="1:7" x14ac:dyDescent="0.3">
      <c r="A243" s="5" t="str">
        <f t="shared" si="30"/>
        <v>Puma</v>
      </c>
      <c r="B243" s="5" t="str">
        <f t="shared" si="25"/>
        <v>Cali Dream</v>
      </c>
      <c r="C243" s="3">
        <f t="shared" si="31"/>
        <v>45674</v>
      </c>
      <c r="D243" s="4">
        <f t="shared" ca="1" si="26"/>
        <v>227</v>
      </c>
      <c r="E243" s="2">
        <f t="shared" ca="1" si="27"/>
        <v>6489</v>
      </c>
      <c r="F243" s="2">
        <f t="shared" ca="1" si="28"/>
        <v>31733</v>
      </c>
      <c r="G243" s="2">
        <f t="shared" ca="1" si="29"/>
        <v>2203</v>
      </c>
    </row>
    <row r="244" spans="1:7" x14ac:dyDescent="0.3">
      <c r="A244" s="5" t="str">
        <f t="shared" si="30"/>
        <v>New Balance</v>
      </c>
      <c r="B244" s="5" t="str">
        <f t="shared" si="25"/>
        <v>9060</v>
      </c>
      <c r="C244" s="3">
        <f t="shared" si="31"/>
        <v>45674</v>
      </c>
      <c r="D244" s="4">
        <f t="shared" ca="1" si="26"/>
        <v>247</v>
      </c>
      <c r="E244" s="2">
        <f t="shared" ca="1" si="27"/>
        <v>4688</v>
      </c>
      <c r="F244" s="2">
        <f t="shared" ca="1" si="28"/>
        <v>32104</v>
      </c>
      <c r="G244" s="2">
        <f t="shared" ca="1" si="29"/>
        <v>1508</v>
      </c>
    </row>
    <row r="245" spans="1:7" x14ac:dyDescent="0.3">
      <c r="A245" s="5" t="str">
        <f t="shared" si="30"/>
        <v>Reebok</v>
      </c>
      <c r="B245" s="5" t="str">
        <f t="shared" si="25"/>
        <v>Zig Kinetica</v>
      </c>
      <c r="C245" s="3">
        <f t="shared" si="31"/>
        <v>45674</v>
      </c>
      <c r="D245" s="4">
        <f t="shared" ca="1" si="26"/>
        <v>61</v>
      </c>
      <c r="E245" s="2">
        <f t="shared" ca="1" si="27"/>
        <v>7973</v>
      </c>
      <c r="F245" s="2">
        <f t="shared" ca="1" si="28"/>
        <v>10294</v>
      </c>
      <c r="G245" s="2">
        <f t="shared" ca="1" si="29"/>
        <v>670</v>
      </c>
    </row>
    <row r="246" spans="1:7" x14ac:dyDescent="0.3">
      <c r="A246" s="5" t="str">
        <f t="shared" si="30"/>
        <v>Nike</v>
      </c>
      <c r="B246" s="5" t="str">
        <f t="shared" si="25"/>
        <v>Jordan 1</v>
      </c>
      <c r="C246" s="3">
        <f t="shared" si="31"/>
        <v>45674</v>
      </c>
      <c r="D246" s="4">
        <f t="shared" ca="1" si="26"/>
        <v>167</v>
      </c>
      <c r="E246" s="2">
        <f t="shared" ca="1" si="27"/>
        <v>2676</v>
      </c>
      <c r="F246" s="2">
        <f t="shared" ca="1" si="28"/>
        <v>15353</v>
      </c>
      <c r="G246" s="2">
        <f t="shared" ca="1" si="29"/>
        <v>882</v>
      </c>
    </row>
    <row r="247" spans="1:7" x14ac:dyDescent="0.3">
      <c r="A247" s="5" t="str">
        <f t="shared" si="30"/>
        <v>Adidas</v>
      </c>
      <c r="B247" s="5" t="str">
        <f t="shared" si="25"/>
        <v>Ultraboost 23</v>
      </c>
      <c r="C247" s="3">
        <f t="shared" si="31"/>
        <v>45674</v>
      </c>
      <c r="D247" s="4">
        <f t="shared" ca="1" si="26"/>
        <v>98</v>
      </c>
      <c r="E247" s="2">
        <f t="shared" ca="1" si="27"/>
        <v>2459</v>
      </c>
      <c r="F247" s="2">
        <f t="shared" ca="1" si="28"/>
        <v>10972</v>
      </c>
      <c r="G247" s="2">
        <f t="shared" ca="1" si="29"/>
        <v>457</v>
      </c>
    </row>
    <row r="248" spans="1:7" x14ac:dyDescent="0.3">
      <c r="A248" s="5" t="str">
        <f t="shared" si="30"/>
        <v>Puma</v>
      </c>
      <c r="B248" s="5" t="str">
        <f t="shared" si="25"/>
        <v>RS-X</v>
      </c>
      <c r="C248" s="3">
        <f t="shared" si="31"/>
        <v>45674</v>
      </c>
      <c r="D248" s="4">
        <f t="shared" ca="1" si="26"/>
        <v>72</v>
      </c>
      <c r="E248" s="2">
        <f t="shared" ca="1" si="27"/>
        <v>3767</v>
      </c>
      <c r="F248" s="2">
        <f t="shared" ca="1" si="28"/>
        <v>34169</v>
      </c>
      <c r="G248" s="2">
        <f t="shared" ca="1" si="29"/>
        <v>1324</v>
      </c>
    </row>
    <row r="249" spans="1:7" x14ac:dyDescent="0.3">
      <c r="A249" s="5" t="str">
        <f t="shared" si="30"/>
        <v>New Balance</v>
      </c>
      <c r="B249" s="5" t="str">
        <f t="shared" si="25"/>
        <v>2002R</v>
      </c>
      <c r="C249" s="3">
        <f t="shared" si="31"/>
        <v>45674</v>
      </c>
      <c r="D249" s="4">
        <f t="shared" ca="1" si="26"/>
        <v>71</v>
      </c>
      <c r="E249" s="2">
        <f t="shared" ca="1" si="27"/>
        <v>2884</v>
      </c>
      <c r="F249" s="2">
        <f t="shared" ca="1" si="28"/>
        <v>20898</v>
      </c>
      <c r="G249" s="2">
        <f t="shared" ca="1" si="29"/>
        <v>1448</v>
      </c>
    </row>
    <row r="250" spans="1:7" x14ac:dyDescent="0.3">
      <c r="A250" s="5" t="str">
        <f t="shared" si="30"/>
        <v>Reebok</v>
      </c>
      <c r="B250" s="5" t="str">
        <f t="shared" si="25"/>
        <v>Instapump Fury</v>
      </c>
      <c r="C250" s="3">
        <f t="shared" si="31"/>
        <v>45674</v>
      </c>
      <c r="D250" s="4">
        <f t="shared" ca="1" si="26"/>
        <v>43</v>
      </c>
      <c r="E250" s="2">
        <f t="shared" ca="1" si="27"/>
        <v>11072</v>
      </c>
      <c r="F250" s="2">
        <f t="shared" ca="1" si="28"/>
        <v>34916</v>
      </c>
      <c r="G250" s="2">
        <f t="shared" ca="1" si="29"/>
        <v>2621</v>
      </c>
    </row>
    <row r="251" spans="1:7" x14ac:dyDescent="0.3">
      <c r="A251" s="5" t="str">
        <f t="shared" si="30"/>
        <v>Nike</v>
      </c>
      <c r="B251" s="5" t="str">
        <f t="shared" si="25"/>
        <v>Cortez</v>
      </c>
      <c r="C251" s="3">
        <f t="shared" si="31"/>
        <v>45674</v>
      </c>
      <c r="D251" s="4">
        <f t="shared" ca="1" si="26"/>
        <v>97</v>
      </c>
      <c r="E251" s="2">
        <f t="shared" ca="1" si="27"/>
        <v>4714</v>
      </c>
      <c r="F251" s="2">
        <f t="shared" ca="1" si="28"/>
        <v>14194</v>
      </c>
      <c r="G251" s="2">
        <f t="shared" ca="1" si="29"/>
        <v>869</v>
      </c>
    </row>
    <row r="252" spans="1:7" x14ac:dyDescent="0.3">
      <c r="A252" s="5" t="str">
        <f t="shared" si="30"/>
        <v>Adidas</v>
      </c>
      <c r="B252" s="5" t="str">
        <f t="shared" si="25"/>
        <v>NMD S1</v>
      </c>
      <c r="C252" s="3">
        <f t="shared" si="31"/>
        <v>45674</v>
      </c>
      <c r="D252" s="4">
        <f t="shared" ca="1" si="26"/>
        <v>89</v>
      </c>
      <c r="E252" s="2">
        <f t="shared" ca="1" si="27"/>
        <v>7486</v>
      </c>
      <c r="F252" s="2">
        <f t="shared" ca="1" si="28"/>
        <v>32867</v>
      </c>
      <c r="G252" s="2">
        <f t="shared" ca="1" si="29"/>
        <v>2452</v>
      </c>
    </row>
    <row r="253" spans="1:7" x14ac:dyDescent="0.3">
      <c r="A253" s="5" t="str">
        <f t="shared" si="30"/>
        <v>Puma</v>
      </c>
      <c r="B253" s="5" t="str">
        <f t="shared" si="25"/>
        <v>Suede Classic</v>
      </c>
      <c r="C253" s="3">
        <f t="shared" si="31"/>
        <v>45674</v>
      </c>
      <c r="D253" s="4">
        <f t="shared" ca="1" si="26"/>
        <v>71</v>
      </c>
      <c r="E253" s="2">
        <f t="shared" ca="1" si="27"/>
        <v>6046</v>
      </c>
      <c r="F253" s="2">
        <f t="shared" ca="1" si="28"/>
        <v>16342</v>
      </c>
      <c r="G253" s="2">
        <f t="shared" ca="1" si="29"/>
        <v>638</v>
      </c>
    </row>
    <row r="254" spans="1:7" x14ac:dyDescent="0.3">
      <c r="A254" s="5" t="str">
        <f t="shared" si="30"/>
        <v>New Balance</v>
      </c>
      <c r="B254" s="5" t="str">
        <f t="shared" si="25"/>
        <v>990v6</v>
      </c>
      <c r="C254" s="3">
        <f t="shared" si="31"/>
        <v>45674</v>
      </c>
      <c r="D254" s="4">
        <f t="shared" ca="1" si="26"/>
        <v>104</v>
      </c>
      <c r="E254" s="2">
        <f t="shared" ca="1" si="27"/>
        <v>2001</v>
      </c>
      <c r="F254" s="2">
        <f t="shared" ca="1" si="28"/>
        <v>17250</v>
      </c>
      <c r="G254" s="2">
        <f t="shared" ca="1" si="29"/>
        <v>478</v>
      </c>
    </row>
    <row r="255" spans="1:7" x14ac:dyDescent="0.3">
      <c r="A255" s="5" t="str">
        <f t="shared" si="30"/>
        <v>Reebok</v>
      </c>
      <c r="B255" s="5" t="str">
        <f t="shared" si="25"/>
        <v>Nano X3</v>
      </c>
      <c r="C255" s="3">
        <f t="shared" si="31"/>
        <v>45674</v>
      </c>
      <c r="D255" s="4">
        <f t="shared" ca="1" si="26"/>
        <v>227</v>
      </c>
      <c r="E255" s="2">
        <f t="shared" ca="1" si="27"/>
        <v>2120</v>
      </c>
      <c r="F255" s="2">
        <f t="shared" ca="1" si="28"/>
        <v>18833</v>
      </c>
      <c r="G255" s="2">
        <f t="shared" ca="1" si="29"/>
        <v>957</v>
      </c>
    </row>
    <row r="256" spans="1:7" x14ac:dyDescent="0.3">
      <c r="A256" s="5" t="str">
        <f t="shared" si="30"/>
        <v>Nike</v>
      </c>
      <c r="B256" s="5" t="str">
        <f t="shared" si="25"/>
        <v>Vaporfly 3</v>
      </c>
      <c r="C256" s="3">
        <f t="shared" si="31"/>
        <v>45674</v>
      </c>
      <c r="D256" s="4">
        <f t="shared" ca="1" si="26"/>
        <v>52</v>
      </c>
      <c r="E256" s="2">
        <f t="shared" ca="1" si="27"/>
        <v>1636</v>
      </c>
      <c r="F256" s="2">
        <f t="shared" ca="1" si="28"/>
        <v>28878</v>
      </c>
      <c r="G256" s="2">
        <f t="shared" ca="1" si="29"/>
        <v>1138</v>
      </c>
    </row>
    <row r="257" spans="1:7" x14ac:dyDescent="0.3">
      <c r="A257" s="5" t="str">
        <f t="shared" si="30"/>
        <v>Adidas</v>
      </c>
      <c r="B257" s="5" t="str">
        <f t="shared" si="25"/>
        <v>Samba</v>
      </c>
      <c r="C257" s="3">
        <f t="shared" si="31"/>
        <v>45675</v>
      </c>
      <c r="D257" s="4">
        <f t="shared" ca="1" si="26"/>
        <v>69</v>
      </c>
      <c r="E257" s="2">
        <f t="shared" ca="1" si="27"/>
        <v>4022</v>
      </c>
      <c r="F257" s="2">
        <f t="shared" ca="1" si="28"/>
        <v>30082</v>
      </c>
      <c r="G257" s="2">
        <f t="shared" ca="1" si="29"/>
        <v>1006</v>
      </c>
    </row>
    <row r="258" spans="1:7" x14ac:dyDescent="0.3">
      <c r="A258" s="5" t="str">
        <f t="shared" si="30"/>
        <v>Puma</v>
      </c>
      <c r="B258" s="5" t="str">
        <f t="shared" si="25"/>
        <v>Mayze</v>
      </c>
      <c r="C258" s="3">
        <f t="shared" si="31"/>
        <v>45675</v>
      </c>
      <c r="D258" s="4">
        <f t="shared" ca="1" si="26"/>
        <v>37</v>
      </c>
      <c r="E258" s="2">
        <f t="shared" ca="1" si="27"/>
        <v>7220</v>
      </c>
      <c r="F258" s="2">
        <f t="shared" ca="1" si="28"/>
        <v>29604</v>
      </c>
      <c r="G258" s="2">
        <f t="shared" ca="1" si="29"/>
        <v>1517</v>
      </c>
    </row>
    <row r="259" spans="1:7" x14ac:dyDescent="0.3">
      <c r="A259" s="5" t="str">
        <f t="shared" si="30"/>
        <v>New Balance</v>
      </c>
      <c r="B259" s="5" t="str">
        <f t="shared" ref="B259:B322" si="32">IF(A259="Nike",CHOOSE(MOD(ROW(A258),6)+1,"Air Max 270","Air Force 1","Pegasus 40","Vaporfly 3","Cortez","Jordan 1"),
 IF(A259="Adidas",CHOOSE(MOD(ROW(A258),6)+1,"Ultraboost 23","Stan Smith","Superstar","Gazelle","Samba","NMD S1"),
 IF(A259="Puma",CHOOSE(MOD(ROW(A258),6)+1,"Suede Classic","RS-X","Cali Dream","Rider Vintage","Slipstream","Mayze"),
 IF(A259="New Balance",CHOOSE(MOD(ROW(A258),6)+1,"574 Core","990v6","2002R","9060","327","550"),
 IF(A259="Reebok",CHOOSE(MOD(ROW(A258),6)+1,"Classic Leather","Club C 85","Nano X3","Instapump Fury","Zig Kinetica","Question Mid"),"")))))</f>
        <v>574 Core</v>
      </c>
      <c r="C259" s="3">
        <f t="shared" si="31"/>
        <v>45675</v>
      </c>
      <c r="D259" s="4">
        <f t="shared" ref="D259:D322" ca="1" si="33">RANDBETWEEN(20,250)</f>
        <v>219</v>
      </c>
      <c r="E259" s="2">
        <f t="shared" ref="E259:E322" ca="1" si="34">ROUND(RANDBETWEEN(1500,12000)+(RANDBETWEEN(-200,200)),2)</f>
        <v>11611</v>
      </c>
      <c r="F259" s="2">
        <f t="shared" ref="F259:F322" ca="1" si="35">RANDBETWEEN(5000,35000)</f>
        <v>29869</v>
      </c>
      <c r="G259" s="2">
        <f t="shared" ref="G259:G322" ca="1" si="36">RANDBETWEEN(ROUND(F259*0.02,0),ROUND(F259*0.08,0))</f>
        <v>792</v>
      </c>
    </row>
    <row r="260" spans="1:7" x14ac:dyDescent="0.3">
      <c r="A260" s="5" t="str">
        <f t="shared" si="30"/>
        <v>Reebok</v>
      </c>
      <c r="B260" s="5" t="str">
        <f t="shared" si="32"/>
        <v>Club C 85</v>
      </c>
      <c r="C260" s="3">
        <f t="shared" si="31"/>
        <v>45675</v>
      </c>
      <c r="D260" s="4">
        <f t="shared" ca="1" si="33"/>
        <v>89</v>
      </c>
      <c r="E260" s="2">
        <f t="shared" ca="1" si="34"/>
        <v>4630</v>
      </c>
      <c r="F260" s="2">
        <f t="shared" ca="1" si="35"/>
        <v>27721</v>
      </c>
      <c r="G260" s="2">
        <f t="shared" ca="1" si="36"/>
        <v>664</v>
      </c>
    </row>
    <row r="261" spans="1:7" x14ac:dyDescent="0.3">
      <c r="A261" s="5" t="str">
        <f t="shared" si="30"/>
        <v>Nike</v>
      </c>
      <c r="B261" s="5" t="str">
        <f t="shared" si="32"/>
        <v>Pegasus 40</v>
      </c>
      <c r="C261" s="3">
        <f t="shared" si="31"/>
        <v>45675</v>
      </c>
      <c r="D261" s="4">
        <f t="shared" ca="1" si="33"/>
        <v>69</v>
      </c>
      <c r="E261" s="2">
        <f t="shared" ca="1" si="34"/>
        <v>2616</v>
      </c>
      <c r="F261" s="2">
        <f t="shared" ca="1" si="35"/>
        <v>33545</v>
      </c>
      <c r="G261" s="2">
        <f t="shared" ca="1" si="36"/>
        <v>2457</v>
      </c>
    </row>
    <row r="262" spans="1:7" x14ac:dyDescent="0.3">
      <c r="A262" s="5" t="str">
        <f t="shared" si="30"/>
        <v>Adidas</v>
      </c>
      <c r="B262" s="5" t="str">
        <f t="shared" si="32"/>
        <v>Gazelle</v>
      </c>
      <c r="C262" s="3">
        <f t="shared" si="31"/>
        <v>45675</v>
      </c>
      <c r="D262" s="4">
        <f t="shared" ca="1" si="33"/>
        <v>241</v>
      </c>
      <c r="E262" s="2">
        <f t="shared" ca="1" si="34"/>
        <v>5934</v>
      </c>
      <c r="F262" s="2">
        <f t="shared" ca="1" si="35"/>
        <v>15937</v>
      </c>
      <c r="G262" s="2">
        <f t="shared" ca="1" si="36"/>
        <v>819</v>
      </c>
    </row>
    <row r="263" spans="1:7" x14ac:dyDescent="0.3">
      <c r="A263" s="5" t="str">
        <f t="shared" si="30"/>
        <v>Puma</v>
      </c>
      <c r="B263" s="5" t="str">
        <f t="shared" si="32"/>
        <v>Slipstream</v>
      </c>
      <c r="C263" s="3">
        <f t="shared" si="31"/>
        <v>45675</v>
      </c>
      <c r="D263" s="4">
        <f t="shared" ca="1" si="33"/>
        <v>130</v>
      </c>
      <c r="E263" s="2">
        <f t="shared" ca="1" si="34"/>
        <v>6034</v>
      </c>
      <c r="F263" s="2">
        <f t="shared" ca="1" si="35"/>
        <v>13069</v>
      </c>
      <c r="G263" s="2">
        <f t="shared" ca="1" si="36"/>
        <v>793</v>
      </c>
    </row>
    <row r="264" spans="1:7" x14ac:dyDescent="0.3">
      <c r="A264" s="5" t="str">
        <f t="shared" si="30"/>
        <v>New Balance</v>
      </c>
      <c r="B264" s="5" t="str">
        <f t="shared" si="32"/>
        <v>550</v>
      </c>
      <c r="C264" s="3">
        <f t="shared" si="31"/>
        <v>45675</v>
      </c>
      <c r="D264" s="4">
        <f t="shared" ca="1" si="33"/>
        <v>126</v>
      </c>
      <c r="E264" s="2">
        <f t="shared" ca="1" si="34"/>
        <v>9612</v>
      </c>
      <c r="F264" s="2">
        <f t="shared" ca="1" si="35"/>
        <v>34874</v>
      </c>
      <c r="G264" s="2">
        <f t="shared" ca="1" si="36"/>
        <v>2008</v>
      </c>
    </row>
    <row r="265" spans="1:7" x14ac:dyDescent="0.3">
      <c r="A265" s="5" t="str">
        <f t="shared" si="30"/>
        <v>Reebok</v>
      </c>
      <c r="B265" s="5" t="str">
        <f t="shared" si="32"/>
        <v>Classic Leather</v>
      </c>
      <c r="C265" s="3">
        <f t="shared" si="31"/>
        <v>45675</v>
      </c>
      <c r="D265" s="4">
        <f t="shared" ca="1" si="33"/>
        <v>121</v>
      </c>
      <c r="E265" s="2">
        <f t="shared" ca="1" si="34"/>
        <v>11153</v>
      </c>
      <c r="F265" s="2">
        <f t="shared" ca="1" si="35"/>
        <v>23381</v>
      </c>
      <c r="G265" s="2">
        <f t="shared" ca="1" si="36"/>
        <v>506</v>
      </c>
    </row>
    <row r="266" spans="1:7" x14ac:dyDescent="0.3">
      <c r="A266" s="5" t="str">
        <f t="shared" si="30"/>
        <v>Nike</v>
      </c>
      <c r="B266" s="5" t="str">
        <f t="shared" si="32"/>
        <v>Air Force 1</v>
      </c>
      <c r="C266" s="3">
        <f t="shared" si="31"/>
        <v>45675</v>
      </c>
      <c r="D266" s="4">
        <f t="shared" ca="1" si="33"/>
        <v>51</v>
      </c>
      <c r="E266" s="2">
        <f t="shared" ca="1" si="34"/>
        <v>10106</v>
      </c>
      <c r="F266" s="2">
        <f t="shared" ca="1" si="35"/>
        <v>6365</v>
      </c>
      <c r="G266" s="2">
        <f t="shared" ca="1" si="36"/>
        <v>509</v>
      </c>
    </row>
    <row r="267" spans="1:7" x14ac:dyDescent="0.3">
      <c r="A267" s="5" t="str">
        <f t="shared" si="30"/>
        <v>Adidas</v>
      </c>
      <c r="B267" s="5" t="str">
        <f t="shared" si="32"/>
        <v>Superstar</v>
      </c>
      <c r="C267" s="3">
        <f t="shared" si="31"/>
        <v>45675</v>
      </c>
      <c r="D267" s="4">
        <f t="shared" ca="1" si="33"/>
        <v>139</v>
      </c>
      <c r="E267" s="2">
        <f t="shared" ca="1" si="34"/>
        <v>2640</v>
      </c>
      <c r="F267" s="2">
        <f t="shared" ca="1" si="35"/>
        <v>24525</v>
      </c>
      <c r="G267" s="2">
        <f t="shared" ca="1" si="36"/>
        <v>953</v>
      </c>
    </row>
    <row r="268" spans="1:7" x14ac:dyDescent="0.3">
      <c r="A268" s="5" t="str">
        <f t="shared" si="30"/>
        <v>Puma</v>
      </c>
      <c r="B268" s="5" t="str">
        <f t="shared" si="32"/>
        <v>Rider Vintage</v>
      </c>
      <c r="C268" s="3">
        <f t="shared" si="31"/>
        <v>45675</v>
      </c>
      <c r="D268" s="4">
        <f t="shared" ca="1" si="33"/>
        <v>22</v>
      </c>
      <c r="E268" s="2">
        <f t="shared" ca="1" si="34"/>
        <v>3929</v>
      </c>
      <c r="F268" s="2">
        <f t="shared" ca="1" si="35"/>
        <v>7272</v>
      </c>
      <c r="G268" s="2">
        <f t="shared" ca="1" si="36"/>
        <v>364</v>
      </c>
    </row>
    <row r="269" spans="1:7" x14ac:dyDescent="0.3">
      <c r="A269" s="5" t="str">
        <f t="shared" si="30"/>
        <v>New Balance</v>
      </c>
      <c r="B269" s="5" t="str">
        <f t="shared" si="32"/>
        <v>327</v>
      </c>
      <c r="C269" s="3">
        <f t="shared" si="31"/>
        <v>45675</v>
      </c>
      <c r="D269" s="4">
        <f t="shared" ca="1" si="33"/>
        <v>207</v>
      </c>
      <c r="E269" s="2">
        <f t="shared" ca="1" si="34"/>
        <v>1768</v>
      </c>
      <c r="F269" s="2">
        <f t="shared" ca="1" si="35"/>
        <v>17950</v>
      </c>
      <c r="G269" s="2">
        <f t="shared" ca="1" si="36"/>
        <v>475</v>
      </c>
    </row>
    <row r="270" spans="1:7" x14ac:dyDescent="0.3">
      <c r="A270" s="5" t="str">
        <f t="shared" si="30"/>
        <v>Reebok</v>
      </c>
      <c r="B270" s="5" t="str">
        <f t="shared" si="32"/>
        <v>Question Mid</v>
      </c>
      <c r="C270" s="3">
        <f t="shared" si="31"/>
        <v>45675</v>
      </c>
      <c r="D270" s="4">
        <f t="shared" ca="1" si="33"/>
        <v>66</v>
      </c>
      <c r="E270" s="2">
        <f t="shared" ca="1" si="34"/>
        <v>3218</v>
      </c>
      <c r="F270" s="2">
        <f t="shared" ca="1" si="35"/>
        <v>8018</v>
      </c>
      <c r="G270" s="2">
        <f t="shared" ca="1" si="36"/>
        <v>279</v>
      </c>
    </row>
    <row r="271" spans="1:7" x14ac:dyDescent="0.3">
      <c r="A271" s="5" t="str">
        <f t="shared" si="30"/>
        <v>Nike</v>
      </c>
      <c r="B271" s="5" t="str">
        <f t="shared" si="32"/>
        <v>Air Max 270</v>
      </c>
      <c r="C271" s="3">
        <f t="shared" si="31"/>
        <v>45675</v>
      </c>
      <c r="D271" s="4">
        <f t="shared" ca="1" si="33"/>
        <v>169</v>
      </c>
      <c r="E271" s="2">
        <f t="shared" ca="1" si="34"/>
        <v>11836</v>
      </c>
      <c r="F271" s="2">
        <f t="shared" ca="1" si="35"/>
        <v>25091</v>
      </c>
      <c r="G271" s="2">
        <f t="shared" ca="1" si="36"/>
        <v>1667</v>
      </c>
    </row>
    <row r="272" spans="1:7" x14ac:dyDescent="0.3">
      <c r="A272" s="5" t="str">
        <f t="shared" si="30"/>
        <v>Adidas</v>
      </c>
      <c r="B272" s="5" t="str">
        <f t="shared" si="32"/>
        <v>Stan Smith</v>
      </c>
      <c r="C272" s="3">
        <f t="shared" si="31"/>
        <v>45676</v>
      </c>
      <c r="D272" s="4">
        <f t="shared" ca="1" si="33"/>
        <v>62</v>
      </c>
      <c r="E272" s="2">
        <f t="shared" ca="1" si="34"/>
        <v>9786</v>
      </c>
      <c r="F272" s="2">
        <f t="shared" ca="1" si="35"/>
        <v>12107</v>
      </c>
      <c r="G272" s="2">
        <f t="shared" ca="1" si="36"/>
        <v>351</v>
      </c>
    </row>
    <row r="273" spans="1:7" x14ac:dyDescent="0.3">
      <c r="A273" s="5" t="str">
        <f t="shared" si="30"/>
        <v>Puma</v>
      </c>
      <c r="B273" s="5" t="str">
        <f t="shared" si="32"/>
        <v>Cali Dream</v>
      </c>
      <c r="C273" s="3">
        <f t="shared" si="31"/>
        <v>45676</v>
      </c>
      <c r="D273" s="4">
        <f t="shared" ca="1" si="33"/>
        <v>99</v>
      </c>
      <c r="E273" s="2">
        <f t="shared" ca="1" si="34"/>
        <v>10650</v>
      </c>
      <c r="F273" s="2">
        <f t="shared" ca="1" si="35"/>
        <v>25329</v>
      </c>
      <c r="G273" s="2">
        <f t="shared" ca="1" si="36"/>
        <v>974</v>
      </c>
    </row>
    <row r="274" spans="1:7" x14ac:dyDescent="0.3">
      <c r="A274" s="5" t="str">
        <f t="shared" si="30"/>
        <v>New Balance</v>
      </c>
      <c r="B274" s="5" t="str">
        <f t="shared" si="32"/>
        <v>9060</v>
      </c>
      <c r="C274" s="3">
        <f t="shared" si="31"/>
        <v>45676</v>
      </c>
      <c r="D274" s="4">
        <f t="shared" ca="1" si="33"/>
        <v>153</v>
      </c>
      <c r="E274" s="2">
        <f t="shared" ca="1" si="34"/>
        <v>8806</v>
      </c>
      <c r="F274" s="2">
        <f t="shared" ca="1" si="35"/>
        <v>22944</v>
      </c>
      <c r="G274" s="2">
        <f t="shared" ca="1" si="36"/>
        <v>1810</v>
      </c>
    </row>
    <row r="275" spans="1:7" x14ac:dyDescent="0.3">
      <c r="A275" s="5" t="str">
        <f t="shared" si="30"/>
        <v>Reebok</v>
      </c>
      <c r="B275" s="5" t="str">
        <f t="shared" si="32"/>
        <v>Zig Kinetica</v>
      </c>
      <c r="C275" s="3">
        <f t="shared" si="31"/>
        <v>45676</v>
      </c>
      <c r="D275" s="4">
        <f t="shared" ca="1" si="33"/>
        <v>190</v>
      </c>
      <c r="E275" s="2">
        <f t="shared" ca="1" si="34"/>
        <v>9369</v>
      </c>
      <c r="F275" s="2">
        <f t="shared" ca="1" si="35"/>
        <v>13559</v>
      </c>
      <c r="G275" s="2">
        <f t="shared" ca="1" si="36"/>
        <v>754</v>
      </c>
    </row>
    <row r="276" spans="1:7" x14ac:dyDescent="0.3">
      <c r="A276" s="5" t="str">
        <f t="shared" si="30"/>
        <v>Nike</v>
      </c>
      <c r="B276" s="5" t="str">
        <f t="shared" si="32"/>
        <v>Jordan 1</v>
      </c>
      <c r="C276" s="3">
        <f t="shared" si="31"/>
        <v>45676</v>
      </c>
      <c r="D276" s="4">
        <f t="shared" ca="1" si="33"/>
        <v>130</v>
      </c>
      <c r="E276" s="2">
        <f t="shared" ca="1" si="34"/>
        <v>7706</v>
      </c>
      <c r="F276" s="2">
        <f t="shared" ca="1" si="35"/>
        <v>24014</v>
      </c>
      <c r="G276" s="2">
        <f t="shared" ca="1" si="36"/>
        <v>1238</v>
      </c>
    </row>
    <row r="277" spans="1:7" x14ac:dyDescent="0.3">
      <c r="A277" s="5" t="str">
        <f t="shared" si="30"/>
        <v>Adidas</v>
      </c>
      <c r="B277" s="5" t="str">
        <f t="shared" si="32"/>
        <v>Ultraboost 23</v>
      </c>
      <c r="C277" s="3">
        <f t="shared" si="31"/>
        <v>45676</v>
      </c>
      <c r="D277" s="4">
        <f t="shared" ca="1" si="33"/>
        <v>247</v>
      </c>
      <c r="E277" s="2">
        <f t="shared" ca="1" si="34"/>
        <v>1989</v>
      </c>
      <c r="F277" s="2">
        <f t="shared" ca="1" si="35"/>
        <v>33958</v>
      </c>
      <c r="G277" s="2">
        <f t="shared" ca="1" si="36"/>
        <v>2174</v>
      </c>
    </row>
    <row r="278" spans="1:7" x14ac:dyDescent="0.3">
      <c r="A278" s="5" t="str">
        <f t="shared" si="30"/>
        <v>Puma</v>
      </c>
      <c r="B278" s="5" t="str">
        <f t="shared" si="32"/>
        <v>RS-X</v>
      </c>
      <c r="C278" s="3">
        <f t="shared" si="31"/>
        <v>45676</v>
      </c>
      <c r="D278" s="4">
        <f t="shared" ca="1" si="33"/>
        <v>214</v>
      </c>
      <c r="E278" s="2">
        <f t="shared" ca="1" si="34"/>
        <v>4106</v>
      </c>
      <c r="F278" s="2">
        <f t="shared" ca="1" si="35"/>
        <v>34070</v>
      </c>
      <c r="G278" s="2">
        <f t="shared" ca="1" si="36"/>
        <v>2377</v>
      </c>
    </row>
    <row r="279" spans="1:7" x14ac:dyDescent="0.3">
      <c r="A279" s="5" t="str">
        <f t="shared" si="30"/>
        <v>New Balance</v>
      </c>
      <c r="B279" s="5" t="str">
        <f t="shared" si="32"/>
        <v>2002R</v>
      </c>
      <c r="C279" s="3">
        <f t="shared" si="31"/>
        <v>45676</v>
      </c>
      <c r="D279" s="4">
        <f t="shared" ca="1" si="33"/>
        <v>94</v>
      </c>
      <c r="E279" s="2">
        <f t="shared" ca="1" si="34"/>
        <v>1570</v>
      </c>
      <c r="F279" s="2">
        <f t="shared" ca="1" si="35"/>
        <v>16271</v>
      </c>
      <c r="G279" s="2">
        <f t="shared" ca="1" si="36"/>
        <v>893</v>
      </c>
    </row>
    <row r="280" spans="1:7" x14ac:dyDescent="0.3">
      <c r="A280" s="5" t="str">
        <f t="shared" si="30"/>
        <v>Reebok</v>
      </c>
      <c r="B280" s="5" t="str">
        <f t="shared" si="32"/>
        <v>Instapump Fury</v>
      </c>
      <c r="C280" s="3">
        <f t="shared" si="31"/>
        <v>45676</v>
      </c>
      <c r="D280" s="4">
        <f t="shared" ca="1" si="33"/>
        <v>183</v>
      </c>
      <c r="E280" s="2">
        <f t="shared" ca="1" si="34"/>
        <v>6223</v>
      </c>
      <c r="F280" s="2">
        <f t="shared" ca="1" si="35"/>
        <v>20188</v>
      </c>
      <c r="G280" s="2">
        <f t="shared" ca="1" si="36"/>
        <v>907</v>
      </c>
    </row>
    <row r="281" spans="1:7" x14ac:dyDescent="0.3">
      <c r="A281" s="5" t="str">
        <f t="shared" si="30"/>
        <v>Nike</v>
      </c>
      <c r="B281" s="5" t="str">
        <f t="shared" si="32"/>
        <v>Cortez</v>
      </c>
      <c r="C281" s="3">
        <f t="shared" si="31"/>
        <v>45676</v>
      </c>
      <c r="D281" s="4">
        <f t="shared" ca="1" si="33"/>
        <v>174</v>
      </c>
      <c r="E281" s="2">
        <f t="shared" ca="1" si="34"/>
        <v>6386</v>
      </c>
      <c r="F281" s="2">
        <f t="shared" ca="1" si="35"/>
        <v>24238</v>
      </c>
      <c r="G281" s="2">
        <f t="shared" ca="1" si="36"/>
        <v>1390</v>
      </c>
    </row>
    <row r="282" spans="1:7" x14ac:dyDescent="0.3">
      <c r="A282" s="5" t="str">
        <f t="shared" si="30"/>
        <v>Adidas</v>
      </c>
      <c r="B282" s="5" t="str">
        <f t="shared" si="32"/>
        <v>NMD S1</v>
      </c>
      <c r="C282" s="3">
        <f t="shared" si="31"/>
        <v>45676</v>
      </c>
      <c r="D282" s="4">
        <f t="shared" ca="1" si="33"/>
        <v>175</v>
      </c>
      <c r="E282" s="2">
        <f t="shared" ca="1" si="34"/>
        <v>4953</v>
      </c>
      <c r="F282" s="2">
        <f t="shared" ca="1" si="35"/>
        <v>14140</v>
      </c>
      <c r="G282" s="2">
        <f t="shared" ca="1" si="36"/>
        <v>481</v>
      </c>
    </row>
    <row r="283" spans="1:7" x14ac:dyDescent="0.3">
      <c r="A283" s="5" t="str">
        <f t="shared" si="30"/>
        <v>Puma</v>
      </c>
      <c r="B283" s="5" t="str">
        <f t="shared" si="32"/>
        <v>Suede Classic</v>
      </c>
      <c r="C283" s="3">
        <f t="shared" si="31"/>
        <v>45676</v>
      </c>
      <c r="D283" s="4">
        <f t="shared" ca="1" si="33"/>
        <v>119</v>
      </c>
      <c r="E283" s="2">
        <f t="shared" ca="1" si="34"/>
        <v>5383</v>
      </c>
      <c r="F283" s="2">
        <f t="shared" ca="1" si="35"/>
        <v>8456</v>
      </c>
      <c r="G283" s="2">
        <f t="shared" ca="1" si="36"/>
        <v>609</v>
      </c>
    </row>
    <row r="284" spans="1:7" x14ac:dyDescent="0.3">
      <c r="A284" s="5" t="str">
        <f t="shared" si="30"/>
        <v>New Balance</v>
      </c>
      <c r="B284" s="5" t="str">
        <f t="shared" si="32"/>
        <v>990v6</v>
      </c>
      <c r="C284" s="3">
        <f t="shared" si="31"/>
        <v>45676</v>
      </c>
      <c r="D284" s="4">
        <f t="shared" ca="1" si="33"/>
        <v>104</v>
      </c>
      <c r="E284" s="2">
        <f t="shared" ca="1" si="34"/>
        <v>1775</v>
      </c>
      <c r="F284" s="2">
        <f t="shared" ca="1" si="35"/>
        <v>31197</v>
      </c>
      <c r="G284" s="2">
        <f t="shared" ca="1" si="36"/>
        <v>1721</v>
      </c>
    </row>
    <row r="285" spans="1:7" x14ac:dyDescent="0.3">
      <c r="A285" s="5" t="str">
        <f t="shared" si="30"/>
        <v>Reebok</v>
      </c>
      <c r="B285" s="5" t="str">
        <f t="shared" si="32"/>
        <v>Nano X3</v>
      </c>
      <c r="C285" s="3">
        <f t="shared" si="31"/>
        <v>45676</v>
      </c>
      <c r="D285" s="4">
        <f t="shared" ca="1" si="33"/>
        <v>155</v>
      </c>
      <c r="E285" s="2">
        <f t="shared" ca="1" si="34"/>
        <v>9962</v>
      </c>
      <c r="F285" s="2">
        <f t="shared" ca="1" si="35"/>
        <v>26478</v>
      </c>
      <c r="G285" s="2">
        <f t="shared" ca="1" si="36"/>
        <v>973</v>
      </c>
    </row>
    <row r="286" spans="1:7" x14ac:dyDescent="0.3">
      <c r="A286" s="5" t="str">
        <f t="shared" si="30"/>
        <v>Nike</v>
      </c>
      <c r="B286" s="5" t="str">
        <f t="shared" si="32"/>
        <v>Vaporfly 3</v>
      </c>
      <c r="C286" s="3">
        <f t="shared" si="31"/>
        <v>45676</v>
      </c>
      <c r="D286" s="4">
        <f t="shared" ca="1" si="33"/>
        <v>52</v>
      </c>
      <c r="E286" s="2">
        <f t="shared" ca="1" si="34"/>
        <v>3564</v>
      </c>
      <c r="F286" s="2">
        <f t="shared" ca="1" si="35"/>
        <v>5138</v>
      </c>
      <c r="G286" s="2">
        <f t="shared" ca="1" si="36"/>
        <v>292</v>
      </c>
    </row>
    <row r="287" spans="1:7" x14ac:dyDescent="0.3">
      <c r="A287" s="5" t="str">
        <f t="shared" si="30"/>
        <v>Adidas</v>
      </c>
      <c r="B287" s="5" t="str">
        <f t="shared" si="32"/>
        <v>Samba</v>
      </c>
      <c r="C287" s="3">
        <f t="shared" si="31"/>
        <v>45677</v>
      </c>
      <c r="D287" s="4">
        <f t="shared" ca="1" si="33"/>
        <v>190</v>
      </c>
      <c r="E287" s="2">
        <f t="shared" ca="1" si="34"/>
        <v>3200</v>
      </c>
      <c r="F287" s="2">
        <f t="shared" ca="1" si="35"/>
        <v>12944</v>
      </c>
      <c r="G287" s="2">
        <f t="shared" ca="1" si="36"/>
        <v>395</v>
      </c>
    </row>
    <row r="288" spans="1:7" x14ac:dyDescent="0.3">
      <c r="A288" s="5" t="str">
        <f t="shared" si="30"/>
        <v>Puma</v>
      </c>
      <c r="B288" s="5" t="str">
        <f t="shared" si="32"/>
        <v>Mayze</v>
      </c>
      <c r="C288" s="3">
        <f t="shared" si="31"/>
        <v>45677</v>
      </c>
      <c r="D288" s="4">
        <f t="shared" ca="1" si="33"/>
        <v>66</v>
      </c>
      <c r="E288" s="2">
        <f t="shared" ca="1" si="34"/>
        <v>5993</v>
      </c>
      <c r="F288" s="2">
        <f t="shared" ca="1" si="35"/>
        <v>34472</v>
      </c>
      <c r="G288" s="2">
        <f t="shared" ca="1" si="36"/>
        <v>1474</v>
      </c>
    </row>
    <row r="289" spans="1:7" x14ac:dyDescent="0.3">
      <c r="A289" s="5" t="str">
        <f t="shared" si="30"/>
        <v>New Balance</v>
      </c>
      <c r="B289" s="5" t="str">
        <f t="shared" si="32"/>
        <v>574 Core</v>
      </c>
      <c r="C289" s="3">
        <f t="shared" si="31"/>
        <v>45677</v>
      </c>
      <c r="D289" s="4">
        <f t="shared" ca="1" si="33"/>
        <v>121</v>
      </c>
      <c r="E289" s="2">
        <f t="shared" ca="1" si="34"/>
        <v>8693</v>
      </c>
      <c r="F289" s="2">
        <f t="shared" ca="1" si="35"/>
        <v>16768</v>
      </c>
      <c r="G289" s="2">
        <f t="shared" ca="1" si="36"/>
        <v>1018</v>
      </c>
    </row>
    <row r="290" spans="1:7" x14ac:dyDescent="0.3">
      <c r="A290" s="5" t="str">
        <f t="shared" si="30"/>
        <v>Reebok</v>
      </c>
      <c r="B290" s="5" t="str">
        <f t="shared" si="32"/>
        <v>Club C 85</v>
      </c>
      <c r="C290" s="3">
        <f t="shared" si="31"/>
        <v>45677</v>
      </c>
      <c r="D290" s="4">
        <f t="shared" ca="1" si="33"/>
        <v>86</v>
      </c>
      <c r="E290" s="2">
        <f t="shared" ca="1" si="34"/>
        <v>7805</v>
      </c>
      <c r="F290" s="2">
        <f t="shared" ca="1" si="35"/>
        <v>13058</v>
      </c>
      <c r="G290" s="2">
        <f t="shared" ca="1" si="36"/>
        <v>599</v>
      </c>
    </row>
    <row r="291" spans="1:7" x14ac:dyDescent="0.3">
      <c r="A291" s="5" t="str">
        <f t="shared" si="30"/>
        <v>Nike</v>
      </c>
      <c r="B291" s="5" t="str">
        <f t="shared" si="32"/>
        <v>Pegasus 40</v>
      </c>
      <c r="C291" s="3">
        <f t="shared" si="31"/>
        <v>45677</v>
      </c>
      <c r="D291" s="4">
        <f t="shared" ca="1" si="33"/>
        <v>162</v>
      </c>
      <c r="E291" s="2">
        <f t="shared" ca="1" si="34"/>
        <v>6765</v>
      </c>
      <c r="F291" s="2">
        <f t="shared" ca="1" si="35"/>
        <v>10797</v>
      </c>
      <c r="G291" s="2">
        <f t="shared" ca="1" si="36"/>
        <v>316</v>
      </c>
    </row>
    <row r="292" spans="1:7" x14ac:dyDescent="0.3">
      <c r="A292" s="5" t="str">
        <f t="shared" si="30"/>
        <v>Adidas</v>
      </c>
      <c r="B292" s="5" t="str">
        <f t="shared" si="32"/>
        <v>Gazelle</v>
      </c>
      <c r="C292" s="3">
        <f t="shared" si="31"/>
        <v>45677</v>
      </c>
      <c r="D292" s="4">
        <f t="shared" ca="1" si="33"/>
        <v>104</v>
      </c>
      <c r="E292" s="2">
        <f t="shared" ca="1" si="34"/>
        <v>8525</v>
      </c>
      <c r="F292" s="2">
        <f t="shared" ca="1" si="35"/>
        <v>26172</v>
      </c>
      <c r="G292" s="2">
        <f t="shared" ca="1" si="36"/>
        <v>1991</v>
      </c>
    </row>
    <row r="293" spans="1:7" x14ac:dyDescent="0.3">
      <c r="A293" s="5" t="str">
        <f t="shared" si="30"/>
        <v>Puma</v>
      </c>
      <c r="B293" s="5" t="str">
        <f t="shared" si="32"/>
        <v>Slipstream</v>
      </c>
      <c r="C293" s="3">
        <f t="shared" si="31"/>
        <v>45677</v>
      </c>
      <c r="D293" s="4">
        <f t="shared" ca="1" si="33"/>
        <v>231</v>
      </c>
      <c r="E293" s="2">
        <f t="shared" ca="1" si="34"/>
        <v>7046</v>
      </c>
      <c r="F293" s="2">
        <f t="shared" ca="1" si="35"/>
        <v>14465</v>
      </c>
      <c r="G293" s="2">
        <f t="shared" ca="1" si="36"/>
        <v>424</v>
      </c>
    </row>
    <row r="294" spans="1:7" x14ac:dyDescent="0.3">
      <c r="A294" s="5" t="str">
        <f t="shared" si="30"/>
        <v>New Balance</v>
      </c>
      <c r="B294" s="5" t="str">
        <f t="shared" si="32"/>
        <v>550</v>
      </c>
      <c r="C294" s="3">
        <f t="shared" si="31"/>
        <v>45677</v>
      </c>
      <c r="D294" s="4">
        <f t="shared" ca="1" si="33"/>
        <v>125</v>
      </c>
      <c r="E294" s="2">
        <f t="shared" ca="1" si="34"/>
        <v>5078</v>
      </c>
      <c r="F294" s="2">
        <f t="shared" ca="1" si="35"/>
        <v>25119</v>
      </c>
      <c r="G294" s="2">
        <f t="shared" ca="1" si="36"/>
        <v>557</v>
      </c>
    </row>
    <row r="295" spans="1:7" x14ac:dyDescent="0.3">
      <c r="A295" s="5" t="str">
        <f t="shared" si="30"/>
        <v>Reebok</v>
      </c>
      <c r="B295" s="5" t="str">
        <f t="shared" si="32"/>
        <v>Classic Leather</v>
      </c>
      <c r="C295" s="3">
        <f t="shared" si="31"/>
        <v>45677</v>
      </c>
      <c r="D295" s="4">
        <f t="shared" ca="1" si="33"/>
        <v>243</v>
      </c>
      <c r="E295" s="2">
        <f t="shared" ca="1" si="34"/>
        <v>2833</v>
      </c>
      <c r="F295" s="2">
        <f t="shared" ca="1" si="35"/>
        <v>27168</v>
      </c>
      <c r="G295" s="2">
        <f t="shared" ca="1" si="36"/>
        <v>1166</v>
      </c>
    </row>
    <row r="296" spans="1:7" x14ac:dyDescent="0.3">
      <c r="A296" s="5" t="str">
        <f t="shared" si="30"/>
        <v>Nike</v>
      </c>
      <c r="B296" s="5" t="str">
        <f t="shared" si="32"/>
        <v>Air Force 1</v>
      </c>
      <c r="C296" s="3">
        <f t="shared" si="31"/>
        <v>45677</v>
      </c>
      <c r="D296" s="4">
        <f t="shared" ca="1" si="33"/>
        <v>126</v>
      </c>
      <c r="E296" s="2">
        <f t="shared" ca="1" si="34"/>
        <v>5132</v>
      </c>
      <c r="F296" s="2">
        <f t="shared" ca="1" si="35"/>
        <v>34456</v>
      </c>
      <c r="G296" s="2">
        <f t="shared" ca="1" si="36"/>
        <v>2169</v>
      </c>
    </row>
    <row r="297" spans="1:7" x14ac:dyDescent="0.3">
      <c r="A297" s="5" t="str">
        <f t="shared" si="30"/>
        <v>Adidas</v>
      </c>
      <c r="B297" s="5" t="str">
        <f t="shared" si="32"/>
        <v>Superstar</v>
      </c>
      <c r="C297" s="3">
        <f t="shared" si="31"/>
        <v>45677</v>
      </c>
      <c r="D297" s="4">
        <f t="shared" ca="1" si="33"/>
        <v>194</v>
      </c>
      <c r="E297" s="2">
        <f t="shared" ca="1" si="34"/>
        <v>4684</v>
      </c>
      <c r="F297" s="2">
        <f t="shared" ca="1" si="35"/>
        <v>9517</v>
      </c>
      <c r="G297" s="2">
        <f t="shared" ca="1" si="36"/>
        <v>351</v>
      </c>
    </row>
    <row r="298" spans="1:7" x14ac:dyDescent="0.3">
      <c r="A298" s="5" t="str">
        <f t="shared" si="30"/>
        <v>Puma</v>
      </c>
      <c r="B298" s="5" t="str">
        <f t="shared" si="32"/>
        <v>Rider Vintage</v>
      </c>
      <c r="C298" s="3">
        <f t="shared" si="31"/>
        <v>45677</v>
      </c>
      <c r="D298" s="4">
        <f t="shared" ca="1" si="33"/>
        <v>58</v>
      </c>
      <c r="E298" s="2">
        <f t="shared" ca="1" si="34"/>
        <v>8904</v>
      </c>
      <c r="F298" s="2">
        <f t="shared" ca="1" si="35"/>
        <v>24465</v>
      </c>
      <c r="G298" s="2">
        <f t="shared" ca="1" si="36"/>
        <v>1380</v>
      </c>
    </row>
    <row r="299" spans="1:7" x14ac:dyDescent="0.3">
      <c r="A299" s="5" t="str">
        <f t="shared" ref="A299:A362" si="37">CHOOSE(MOD(ROW(A298),5)+1,"Nike","Adidas","Puma","New Balance","Reebok")</f>
        <v>New Balance</v>
      </c>
      <c r="B299" s="5" t="str">
        <f t="shared" si="32"/>
        <v>327</v>
      </c>
      <c r="C299" s="3">
        <f t="shared" ref="C299:C362" si="38">DATE(2025,1,1)+INT((ROW(A299)-2)/15)</f>
        <v>45677</v>
      </c>
      <c r="D299" s="4">
        <f t="shared" ca="1" si="33"/>
        <v>178</v>
      </c>
      <c r="E299" s="2">
        <f t="shared" ca="1" si="34"/>
        <v>1469</v>
      </c>
      <c r="F299" s="2">
        <f t="shared" ca="1" si="35"/>
        <v>34051</v>
      </c>
      <c r="G299" s="2">
        <f t="shared" ca="1" si="36"/>
        <v>2148</v>
      </c>
    </row>
    <row r="300" spans="1:7" x14ac:dyDescent="0.3">
      <c r="A300" s="5" t="str">
        <f t="shared" si="37"/>
        <v>Reebok</v>
      </c>
      <c r="B300" s="5" t="str">
        <f t="shared" si="32"/>
        <v>Question Mid</v>
      </c>
      <c r="C300" s="3">
        <f t="shared" si="38"/>
        <v>45677</v>
      </c>
      <c r="D300" s="4">
        <f t="shared" ca="1" si="33"/>
        <v>28</v>
      </c>
      <c r="E300" s="2">
        <f t="shared" ca="1" si="34"/>
        <v>7968</v>
      </c>
      <c r="F300" s="2">
        <f t="shared" ca="1" si="35"/>
        <v>25761</v>
      </c>
      <c r="G300" s="2">
        <f t="shared" ca="1" si="36"/>
        <v>1574</v>
      </c>
    </row>
    <row r="301" spans="1:7" x14ac:dyDescent="0.3">
      <c r="A301" s="5" t="str">
        <f t="shared" si="37"/>
        <v>Nike</v>
      </c>
      <c r="B301" s="5" t="str">
        <f t="shared" si="32"/>
        <v>Air Max 270</v>
      </c>
      <c r="C301" s="3">
        <f t="shared" si="38"/>
        <v>45677</v>
      </c>
      <c r="D301" s="4">
        <f t="shared" ca="1" si="33"/>
        <v>73</v>
      </c>
      <c r="E301" s="2">
        <f t="shared" ca="1" si="34"/>
        <v>3308</v>
      </c>
      <c r="F301" s="2">
        <f t="shared" ca="1" si="35"/>
        <v>15804</v>
      </c>
      <c r="G301" s="2">
        <f t="shared" ca="1" si="36"/>
        <v>730</v>
      </c>
    </row>
    <row r="302" spans="1:7" x14ac:dyDescent="0.3">
      <c r="A302" s="5" t="str">
        <f t="shared" si="37"/>
        <v>Adidas</v>
      </c>
      <c r="B302" s="5" t="str">
        <f t="shared" si="32"/>
        <v>Stan Smith</v>
      </c>
      <c r="C302" s="3">
        <f t="shared" si="38"/>
        <v>45678</v>
      </c>
      <c r="D302" s="4">
        <f t="shared" ca="1" si="33"/>
        <v>236</v>
      </c>
      <c r="E302" s="2">
        <f t="shared" ca="1" si="34"/>
        <v>3961</v>
      </c>
      <c r="F302" s="2">
        <f t="shared" ca="1" si="35"/>
        <v>15505</v>
      </c>
      <c r="G302" s="2">
        <f t="shared" ca="1" si="36"/>
        <v>583</v>
      </c>
    </row>
    <row r="303" spans="1:7" x14ac:dyDescent="0.3">
      <c r="A303" s="5" t="str">
        <f t="shared" si="37"/>
        <v>Puma</v>
      </c>
      <c r="B303" s="5" t="str">
        <f t="shared" si="32"/>
        <v>Cali Dream</v>
      </c>
      <c r="C303" s="3">
        <f t="shared" si="38"/>
        <v>45678</v>
      </c>
      <c r="D303" s="4">
        <f t="shared" ca="1" si="33"/>
        <v>240</v>
      </c>
      <c r="E303" s="2">
        <f t="shared" ca="1" si="34"/>
        <v>4456</v>
      </c>
      <c r="F303" s="2">
        <f t="shared" ca="1" si="35"/>
        <v>34822</v>
      </c>
      <c r="G303" s="2">
        <f t="shared" ca="1" si="36"/>
        <v>1229</v>
      </c>
    </row>
    <row r="304" spans="1:7" x14ac:dyDescent="0.3">
      <c r="A304" s="5" t="str">
        <f t="shared" si="37"/>
        <v>New Balance</v>
      </c>
      <c r="B304" s="5" t="str">
        <f t="shared" si="32"/>
        <v>9060</v>
      </c>
      <c r="C304" s="3">
        <f t="shared" si="38"/>
        <v>45678</v>
      </c>
      <c r="D304" s="4">
        <f t="shared" ca="1" si="33"/>
        <v>89</v>
      </c>
      <c r="E304" s="2">
        <f t="shared" ca="1" si="34"/>
        <v>3893</v>
      </c>
      <c r="F304" s="2">
        <f t="shared" ca="1" si="35"/>
        <v>15471</v>
      </c>
      <c r="G304" s="2">
        <f t="shared" ca="1" si="36"/>
        <v>653</v>
      </c>
    </row>
    <row r="305" spans="1:7" x14ac:dyDescent="0.3">
      <c r="A305" s="5" t="str">
        <f t="shared" si="37"/>
        <v>Reebok</v>
      </c>
      <c r="B305" s="5" t="str">
        <f t="shared" si="32"/>
        <v>Zig Kinetica</v>
      </c>
      <c r="C305" s="3">
        <f t="shared" si="38"/>
        <v>45678</v>
      </c>
      <c r="D305" s="4">
        <f t="shared" ca="1" si="33"/>
        <v>72</v>
      </c>
      <c r="E305" s="2">
        <f t="shared" ca="1" si="34"/>
        <v>9956</v>
      </c>
      <c r="F305" s="2">
        <f t="shared" ca="1" si="35"/>
        <v>6471</v>
      </c>
      <c r="G305" s="2">
        <f t="shared" ca="1" si="36"/>
        <v>202</v>
      </c>
    </row>
    <row r="306" spans="1:7" x14ac:dyDescent="0.3">
      <c r="A306" s="5" t="str">
        <f t="shared" si="37"/>
        <v>Nike</v>
      </c>
      <c r="B306" s="5" t="str">
        <f t="shared" si="32"/>
        <v>Jordan 1</v>
      </c>
      <c r="C306" s="3">
        <f t="shared" si="38"/>
        <v>45678</v>
      </c>
      <c r="D306" s="4">
        <f t="shared" ca="1" si="33"/>
        <v>246</v>
      </c>
      <c r="E306" s="2">
        <f t="shared" ca="1" si="34"/>
        <v>11809</v>
      </c>
      <c r="F306" s="2">
        <f t="shared" ca="1" si="35"/>
        <v>19297</v>
      </c>
      <c r="G306" s="2">
        <f t="shared" ca="1" si="36"/>
        <v>1117</v>
      </c>
    </row>
    <row r="307" spans="1:7" x14ac:dyDescent="0.3">
      <c r="A307" s="5" t="str">
        <f t="shared" si="37"/>
        <v>Adidas</v>
      </c>
      <c r="B307" s="5" t="str">
        <f t="shared" si="32"/>
        <v>Ultraboost 23</v>
      </c>
      <c r="C307" s="3">
        <f t="shared" si="38"/>
        <v>45678</v>
      </c>
      <c r="D307" s="4">
        <f t="shared" ca="1" si="33"/>
        <v>21</v>
      </c>
      <c r="E307" s="2">
        <f t="shared" ca="1" si="34"/>
        <v>4016</v>
      </c>
      <c r="F307" s="2">
        <f t="shared" ca="1" si="35"/>
        <v>31647</v>
      </c>
      <c r="G307" s="2">
        <f t="shared" ca="1" si="36"/>
        <v>2113</v>
      </c>
    </row>
    <row r="308" spans="1:7" x14ac:dyDescent="0.3">
      <c r="A308" s="5" t="str">
        <f t="shared" si="37"/>
        <v>Puma</v>
      </c>
      <c r="B308" s="5" t="str">
        <f t="shared" si="32"/>
        <v>RS-X</v>
      </c>
      <c r="C308" s="3">
        <f t="shared" si="38"/>
        <v>45678</v>
      </c>
      <c r="D308" s="4">
        <f t="shared" ca="1" si="33"/>
        <v>59</v>
      </c>
      <c r="E308" s="2">
        <f t="shared" ca="1" si="34"/>
        <v>10125</v>
      </c>
      <c r="F308" s="2">
        <f t="shared" ca="1" si="35"/>
        <v>26220</v>
      </c>
      <c r="G308" s="2">
        <f t="shared" ca="1" si="36"/>
        <v>1187</v>
      </c>
    </row>
    <row r="309" spans="1:7" x14ac:dyDescent="0.3">
      <c r="A309" s="5" t="str">
        <f t="shared" si="37"/>
        <v>New Balance</v>
      </c>
      <c r="B309" s="5" t="str">
        <f t="shared" si="32"/>
        <v>2002R</v>
      </c>
      <c r="C309" s="3">
        <f t="shared" si="38"/>
        <v>45678</v>
      </c>
      <c r="D309" s="4">
        <f t="shared" ca="1" si="33"/>
        <v>205</v>
      </c>
      <c r="E309" s="2">
        <f t="shared" ca="1" si="34"/>
        <v>5257</v>
      </c>
      <c r="F309" s="2">
        <f t="shared" ca="1" si="35"/>
        <v>23728</v>
      </c>
      <c r="G309" s="2">
        <f t="shared" ca="1" si="36"/>
        <v>1867</v>
      </c>
    </row>
    <row r="310" spans="1:7" x14ac:dyDescent="0.3">
      <c r="A310" s="5" t="str">
        <f t="shared" si="37"/>
        <v>Reebok</v>
      </c>
      <c r="B310" s="5" t="str">
        <f t="shared" si="32"/>
        <v>Instapump Fury</v>
      </c>
      <c r="C310" s="3">
        <f t="shared" si="38"/>
        <v>45678</v>
      </c>
      <c r="D310" s="4">
        <f t="shared" ca="1" si="33"/>
        <v>220</v>
      </c>
      <c r="E310" s="2">
        <f t="shared" ca="1" si="34"/>
        <v>4417</v>
      </c>
      <c r="F310" s="2">
        <f t="shared" ca="1" si="35"/>
        <v>8349</v>
      </c>
      <c r="G310" s="2">
        <f t="shared" ca="1" si="36"/>
        <v>605</v>
      </c>
    </row>
    <row r="311" spans="1:7" x14ac:dyDescent="0.3">
      <c r="A311" s="5" t="str">
        <f t="shared" si="37"/>
        <v>Nike</v>
      </c>
      <c r="B311" s="5" t="str">
        <f t="shared" si="32"/>
        <v>Cortez</v>
      </c>
      <c r="C311" s="3">
        <f t="shared" si="38"/>
        <v>45678</v>
      </c>
      <c r="D311" s="4">
        <f t="shared" ca="1" si="33"/>
        <v>212</v>
      </c>
      <c r="E311" s="2">
        <f t="shared" ca="1" si="34"/>
        <v>6631</v>
      </c>
      <c r="F311" s="2">
        <f t="shared" ca="1" si="35"/>
        <v>26834</v>
      </c>
      <c r="G311" s="2">
        <f t="shared" ca="1" si="36"/>
        <v>1900</v>
      </c>
    </row>
    <row r="312" spans="1:7" x14ac:dyDescent="0.3">
      <c r="A312" s="5" t="str">
        <f t="shared" si="37"/>
        <v>Adidas</v>
      </c>
      <c r="B312" s="5" t="str">
        <f t="shared" si="32"/>
        <v>NMD S1</v>
      </c>
      <c r="C312" s="3">
        <f t="shared" si="38"/>
        <v>45678</v>
      </c>
      <c r="D312" s="4">
        <f t="shared" ca="1" si="33"/>
        <v>130</v>
      </c>
      <c r="E312" s="2">
        <f t="shared" ca="1" si="34"/>
        <v>6196</v>
      </c>
      <c r="F312" s="2">
        <f t="shared" ca="1" si="35"/>
        <v>23994</v>
      </c>
      <c r="G312" s="2">
        <f t="shared" ca="1" si="36"/>
        <v>1259</v>
      </c>
    </row>
    <row r="313" spans="1:7" x14ac:dyDescent="0.3">
      <c r="A313" s="5" t="str">
        <f t="shared" si="37"/>
        <v>Puma</v>
      </c>
      <c r="B313" s="5" t="str">
        <f t="shared" si="32"/>
        <v>Suede Classic</v>
      </c>
      <c r="C313" s="3">
        <f t="shared" si="38"/>
        <v>45678</v>
      </c>
      <c r="D313" s="4">
        <f t="shared" ca="1" si="33"/>
        <v>27</v>
      </c>
      <c r="E313" s="2">
        <f t="shared" ca="1" si="34"/>
        <v>8651</v>
      </c>
      <c r="F313" s="2">
        <f t="shared" ca="1" si="35"/>
        <v>30089</v>
      </c>
      <c r="G313" s="2">
        <f t="shared" ca="1" si="36"/>
        <v>2329</v>
      </c>
    </row>
    <row r="314" spans="1:7" x14ac:dyDescent="0.3">
      <c r="A314" s="5" t="str">
        <f t="shared" si="37"/>
        <v>New Balance</v>
      </c>
      <c r="B314" s="5" t="str">
        <f t="shared" si="32"/>
        <v>990v6</v>
      </c>
      <c r="C314" s="3">
        <f t="shared" si="38"/>
        <v>45678</v>
      </c>
      <c r="D314" s="4">
        <f t="shared" ca="1" si="33"/>
        <v>46</v>
      </c>
      <c r="E314" s="2">
        <f t="shared" ca="1" si="34"/>
        <v>8184</v>
      </c>
      <c r="F314" s="2">
        <f t="shared" ca="1" si="35"/>
        <v>27430</v>
      </c>
      <c r="G314" s="2">
        <f t="shared" ca="1" si="36"/>
        <v>1472</v>
      </c>
    </row>
    <row r="315" spans="1:7" x14ac:dyDescent="0.3">
      <c r="A315" s="5" t="str">
        <f t="shared" si="37"/>
        <v>Reebok</v>
      </c>
      <c r="B315" s="5" t="str">
        <f t="shared" si="32"/>
        <v>Nano X3</v>
      </c>
      <c r="C315" s="3">
        <f t="shared" si="38"/>
        <v>45678</v>
      </c>
      <c r="D315" s="4">
        <f t="shared" ca="1" si="33"/>
        <v>35</v>
      </c>
      <c r="E315" s="2">
        <f t="shared" ca="1" si="34"/>
        <v>9764</v>
      </c>
      <c r="F315" s="2">
        <f t="shared" ca="1" si="35"/>
        <v>23023</v>
      </c>
      <c r="G315" s="2">
        <f t="shared" ca="1" si="36"/>
        <v>1490</v>
      </c>
    </row>
    <row r="316" spans="1:7" x14ac:dyDescent="0.3">
      <c r="A316" s="5" t="str">
        <f t="shared" si="37"/>
        <v>Nike</v>
      </c>
      <c r="B316" s="5" t="str">
        <f t="shared" si="32"/>
        <v>Vaporfly 3</v>
      </c>
      <c r="C316" s="3">
        <f t="shared" si="38"/>
        <v>45678</v>
      </c>
      <c r="D316" s="4">
        <f t="shared" ca="1" si="33"/>
        <v>175</v>
      </c>
      <c r="E316" s="2">
        <f t="shared" ca="1" si="34"/>
        <v>10689</v>
      </c>
      <c r="F316" s="2">
        <f t="shared" ca="1" si="35"/>
        <v>19838</v>
      </c>
      <c r="G316" s="2">
        <f t="shared" ca="1" si="36"/>
        <v>952</v>
      </c>
    </row>
    <row r="317" spans="1:7" x14ac:dyDescent="0.3">
      <c r="A317" s="5" t="str">
        <f t="shared" si="37"/>
        <v>Adidas</v>
      </c>
      <c r="B317" s="5" t="str">
        <f t="shared" si="32"/>
        <v>Samba</v>
      </c>
      <c r="C317" s="3">
        <f t="shared" si="38"/>
        <v>45679</v>
      </c>
      <c r="D317" s="4">
        <f t="shared" ca="1" si="33"/>
        <v>242</v>
      </c>
      <c r="E317" s="2">
        <f t="shared" ca="1" si="34"/>
        <v>5346</v>
      </c>
      <c r="F317" s="2">
        <f t="shared" ca="1" si="35"/>
        <v>10812</v>
      </c>
      <c r="G317" s="2">
        <f t="shared" ca="1" si="36"/>
        <v>332</v>
      </c>
    </row>
    <row r="318" spans="1:7" x14ac:dyDescent="0.3">
      <c r="A318" s="5" t="str">
        <f t="shared" si="37"/>
        <v>Puma</v>
      </c>
      <c r="B318" s="5" t="str">
        <f t="shared" si="32"/>
        <v>Mayze</v>
      </c>
      <c r="C318" s="3">
        <f t="shared" si="38"/>
        <v>45679</v>
      </c>
      <c r="D318" s="4">
        <f t="shared" ca="1" si="33"/>
        <v>133</v>
      </c>
      <c r="E318" s="2">
        <f t="shared" ca="1" si="34"/>
        <v>4985</v>
      </c>
      <c r="F318" s="2">
        <f t="shared" ca="1" si="35"/>
        <v>30946</v>
      </c>
      <c r="G318" s="2">
        <f t="shared" ca="1" si="36"/>
        <v>1004</v>
      </c>
    </row>
    <row r="319" spans="1:7" x14ac:dyDescent="0.3">
      <c r="A319" s="5" t="str">
        <f t="shared" si="37"/>
        <v>New Balance</v>
      </c>
      <c r="B319" s="5" t="str">
        <f t="shared" si="32"/>
        <v>574 Core</v>
      </c>
      <c r="C319" s="3">
        <f t="shared" si="38"/>
        <v>45679</v>
      </c>
      <c r="D319" s="4">
        <f t="shared" ca="1" si="33"/>
        <v>101</v>
      </c>
      <c r="E319" s="2">
        <f t="shared" ca="1" si="34"/>
        <v>11481</v>
      </c>
      <c r="F319" s="2">
        <f t="shared" ca="1" si="35"/>
        <v>23956</v>
      </c>
      <c r="G319" s="2">
        <f t="shared" ca="1" si="36"/>
        <v>1134</v>
      </c>
    </row>
    <row r="320" spans="1:7" x14ac:dyDescent="0.3">
      <c r="A320" s="5" t="str">
        <f t="shared" si="37"/>
        <v>Reebok</v>
      </c>
      <c r="B320" s="5" t="str">
        <f t="shared" si="32"/>
        <v>Club C 85</v>
      </c>
      <c r="C320" s="3">
        <f t="shared" si="38"/>
        <v>45679</v>
      </c>
      <c r="D320" s="4">
        <f t="shared" ca="1" si="33"/>
        <v>46</v>
      </c>
      <c r="E320" s="2">
        <f t="shared" ca="1" si="34"/>
        <v>1679</v>
      </c>
      <c r="F320" s="2">
        <f t="shared" ca="1" si="35"/>
        <v>19198</v>
      </c>
      <c r="G320" s="2">
        <f t="shared" ca="1" si="36"/>
        <v>1204</v>
      </c>
    </row>
    <row r="321" spans="1:7" x14ac:dyDescent="0.3">
      <c r="A321" s="5" t="str">
        <f t="shared" si="37"/>
        <v>Nike</v>
      </c>
      <c r="B321" s="5" t="str">
        <f t="shared" si="32"/>
        <v>Pegasus 40</v>
      </c>
      <c r="C321" s="3">
        <f t="shared" si="38"/>
        <v>45679</v>
      </c>
      <c r="D321" s="4">
        <f t="shared" ca="1" si="33"/>
        <v>82</v>
      </c>
      <c r="E321" s="2">
        <f t="shared" ca="1" si="34"/>
        <v>9007</v>
      </c>
      <c r="F321" s="2">
        <f t="shared" ca="1" si="35"/>
        <v>32576</v>
      </c>
      <c r="G321" s="2">
        <f t="shared" ca="1" si="36"/>
        <v>1777</v>
      </c>
    </row>
    <row r="322" spans="1:7" x14ac:dyDescent="0.3">
      <c r="A322" s="5" t="str">
        <f t="shared" si="37"/>
        <v>Adidas</v>
      </c>
      <c r="B322" s="5" t="str">
        <f t="shared" si="32"/>
        <v>Gazelle</v>
      </c>
      <c r="C322" s="3">
        <f t="shared" si="38"/>
        <v>45679</v>
      </c>
      <c r="D322" s="4">
        <f t="shared" ca="1" si="33"/>
        <v>100</v>
      </c>
      <c r="E322" s="2">
        <f t="shared" ca="1" si="34"/>
        <v>6712</v>
      </c>
      <c r="F322" s="2">
        <f t="shared" ca="1" si="35"/>
        <v>7349</v>
      </c>
      <c r="G322" s="2">
        <f t="shared" ca="1" si="36"/>
        <v>355</v>
      </c>
    </row>
    <row r="323" spans="1:7" x14ac:dyDescent="0.3">
      <c r="A323" s="5" t="str">
        <f t="shared" si="37"/>
        <v>Puma</v>
      </c>
      <c r="B323" s="5" t="str">
        <f t="shared" ref="B323:B386" si="39">IF(A323="Nike",CHOOSE(MOD(ROW(A322),6)+1,"Air Max 270","Air Force 1","Pegasus 40","Vaporfly 3","Cortez","Jordan 1"),
 IF(A323="Adidas",CHOOSE(MOD(ROW(A322),6)+1,"Ultraboost 23","Stan Smith","Superstar","Gazelle","Samba","NMD S1"),
 IF(A323="Puma",CHOOSE(MOD(ROW(A322),6)+1,"Suede Classic","RS-X","Cali Dream","Rider Vintage","Slipstream","Mayze"),
 IF(A323="New Balance",CHOOSE(MOD(ROW(A322),6)+1,"574 Core","990v6","2002R","9060","327","550"),
 IF(A323="Reebok",CHOOSE(MOD(ROW(A322),6)+1,"Classic Leather","Club C 85","Nano X3","Instapump Fury","Zig Kinetica","Question Mid"),"")))))</f>
        <v>Slipstream</v>
      </c>
      <c r="C323" s="3">
        <f t="shared" si="38"/>
        <v>45679</v>
      </c>
      <c r="D323" s="4">
        <f t="shared" ref="D323:D386" ca="1" si="40">RANDBETWEEN(20,250)</f>
        <v>32</v>
      </c>
      <c r="E323" s="2">
        <f t="shared" ref="E323:E386" ca="1" si="41">ROUND(RANDBETWEEN(1500,12000)+(RANDBETWEEN(-200,200)),2)</f>
        <v>9049</v>
      </c>
      <c r="F323" s="2">
        <f t="shared" ref="F323:F386" ca="1" si="42">RANDBETWEEN(5000,35000)</f>
        <v>7614</v>
      </c>
      <c r="G323" s="2">
        <f t="shared" ref="G323:G386" ca="1" si="43">RANDBETWEEN(ROUND(F323*0.02,0),ROUND(F323*0.08,0))</f>
        <v>539</v>
      </c>
    </row>
    <row r="324" spans="1:7" x14ac:dyDescent="0.3">
      <c r="A324" s="5" t="str">
        <f t="shared" si="37"/>
        <v>New Balance</v>
      </c>
      <c r="B324" s="5" t="str">
        <f t="shared" si="39"/>
        <v>550</v>
      </c>
      <c r="C324" s="3">
        <f t="shared" si="38"/>
        <v>45679</v>
      </c>
      <c r="D324" s="4">
        <f t="shared" ca="1" si="40"/>
        <v>109</v>
      </c>
      <c r="E324" s="2">
        <f t="shared" ca="1" si="41"/>
        <v>8275</v>
      </c>
      <c r="F324" s="2">
        <f t="shared" ca="1" si="42"/>
        <v>26449</v>
      </c>
      <c r="G324" s="2">
        <f t="shared" ca="1" si="43"/>
        <v>1389</v>
      </c>
    </row>
    <row r="325" spans="1:7" x14ac:dyDescent="0.3">
      <c r="A325" s="5" t="str">
        <f t="shared" si="37"/>
        <v>Reebok</v>
      </c>
      <c r="B325" s="5" t="str">
        <f t="shared" si="39"/>
        <v>Classic Leather</v>
      </c>
      <c r="C325" s="3">
        <f t="shared" si="38"/>
        <v>45679</v>
      </c>
      <c r="D325" s="4">
        <f t="shared" ca="1" si="40"/>
        <v>225</v>
      </c>
      <c r="E325" s="2">
        <f t="shared" ca="1" si="41"/>
        <v>4535</v>
      </c>
      <c r="F325" s="2">
        <f t="shared" ca="1" si="42"/>
        <v>9583</v>
      </c>
      <c r="G325" s="2">
        <f t="shared" ca="1" si="43"/>
        <v>752</v>
      </c>
    </row>
    <row r="326" spans="1:7" x14ac:dyDescent="0.3">
      <c r="A326" s="5" t="str">
        <f t="shared" si="37"/>
        <v>Nike</v>
      </c>
      <c r="B326" s="5" t="str">
        <f t="shared" si="39"/>
        <v>Air Force 1</v>
      </c>
      <c r="C326" s="3">
        <f t="shared" si="38"/>
        <v>45679</v>
      </c>
      <c r="D326" s="4">
        <f t="shared" ca="1" si="40"/>
        <v>124</v>
      </c>
      <c r="E326" s="2">
        <f t="shared" ca="1" si="41"/>
        <v>9178</v>
      </c>
      <c r="F326" s="2">
        <f t="shared" ca="1" si="42"/>
        <v>30688</v>
      </c>
      <c r="G326" s="2">
        <f t="shared" ca="1" si="43"/>
        <v>1327</v>
      </c>
    </row>
    <row r="327" spans="1:7" x14ac:dyDescent="0.3">
      <c r="A327" s="5" t="str">
        <f t="shared" si="37"/>
        <v>Adidas</v>
      </c>
      <c r="B327" s="5" t="str">
        <f t="shared" si="39"/>
        <v>Superstar</v>
      </c>
      <c r="C327" s="3">
        <f t="shared" si="38"/>
        <v>45679</v>
      </c>
      <c r="D327" s="4">
        <f t="shared" ca="1" si="40"/>
        <v>21</v>
      </c>
      <c r="E327" s="2">
        <f t="shared" ca="1" si="41"/>
        <v>4724</v>
      </c>
      <c r="F327" s="2">
        <f t="shared" ca="1" si="42"/>
        <v>11132</v>
      </c>
      <c r="G327" s="2">
        <f t="shared" ca="1" si="43"/>
        <v>498</v>
      </c>
    </row>
    <row r="328" spans="1:7" x14ac:dyDescent="0.3">
      <c r="A328" s="5" t="str">
        <f t="shared" si="37"/>
        <v>Puma</v>
      </c>
      <c r="B328" s="5" t="str">
        <f t="shared" si="39"/>
        <v>Rider Vintage</v>
      </c>
      <c r="C328" s="3">
        <f t="shared" si="38"/>
        <v>45679</v>
      </c>
      <c r="D328" s="4">
        <f t="shared" ca="1" si="40"/>
        <v>228</v>
      </c>
      <c r="E328" s="2">
        <f t="shared" ca="1" si="41"/>
        <v>6511</v>
      </c>
      <c r="F328" s="2">
        <f t="shared" ca="1" si="42"/>
        <v>30016</v>
      </c>
      <c r="G328" s="2">
        <f t="shared" ca="1" si="43"/>
        <v>1425</v>
      </c>
    </row>
    <row r="329" spans="1:7" x14ac:dyDescent="0.3">
      <c r="A329" s="5" t="str">
        <f t="shared" si="37"/>
        <v>New Balance</v>
      </c>
      <c r="B329" s="5" t="str">
        <f t="shared" si="39"/>
        <v>327</v>
      </c>
      <c r="C329" s="3">
        <f t="shared" si="38"/>
        <v>45679</v>
      </c>
      <c r="D329" s="4">
        <f t="shared" ca="1" si="40"/>
        <v>250</v>
      </c>
      <c r="E329" s="2">
        <f t="shared" ca="1" si="41"/>
        <v>2479</v>
      </c>
      <c r="F329" s="2">
        <f t="shared" ca="1" si="42"/>
        <v>13437</v>
      </c>
      <c r="G329" s="2">
        <f t="shared" ca="1" si="43"/>
        <v>605</v>
      </c>
    </row>
    <row r="330" spans="1:7" x14ac:dyDescent="0.3">
      <c r="A330" s="5" t="str">
        <f t="shared" si="37"/>
        <v>Reebok</v>
      </c>
      <c r="B330" s="5" t="str">
        <f t="shared" si="39"/>
        <v>Question Mid</v>
      </c>
      <c r="C330" s="3">
        <f t="shared" si="38"/>
        <v>45679</v>
      </c>
      <c r="D330" s="4">
        <f t="shared" ca="1" si="40"/>
        <v>160</v>
      </c>
      <c r="E330" s="2">
        <f t="shared" ca="1" si="41"/>
        <v>4252</v>
      </c>
      <c r="F330" s="2">
        <f t="shared" ca="1" si="42"/>
        <v>24711</v>
      </c>
      <c r="G330" s="2">
        <f t="shared" ca="1" si="43"/>
        <v>1108</v>
      </c>
    </row>
    <row r="331" spans="1:7" x14ac:dyDescent="0.3">
      <c r="A331" s="5" t="str">
        <f t="shared" si="37"/>
        <v>Nike</v>
      </c>
      <c r="B331" s="5" t="str">
        <f t="shared" si="39"/>
        <v>Air Max 270</v>
      </c>
      <c r="C331" s="3">
        <f t="shared" si="38"/>
        <v>45679</v>
      </c>
      <c r="D331" s="4">
        <f t="shared" ca="1" si="40"/>
        <v>71</v>
      </c>
      <c r="E331" s="2">
        <f t="shared" ca="1" si="41"/>
        <v>6759</v>
      </c>
      <c r="F331" s="2">
        <f t="shared" ca="1" si="42"/>
        <v>26655</v>
      </c>
      <c r="G331" s="2">
        <f t="shared" ca="1" si="43"/>
        <v>1314</v>
      </c>
    </row>
    <row r="332" spans="1:7" x14ac:dyDescent="0.3">
      <c r="A332" s="5" t="str">
        <f t="shared" si="37"/>
        <v>Adidas</v>
      </c>
      <c r="B332" s="5" t="str">
        <f t="shared" si="39"/>
        <v>Stan Smith</v>
      </c>
      <c r="C332" s="3">
        <f t="shared" si="38"/>
        <v>45680</v>
      </c>
      <c r="D332" s="4">
        <f t="shared" ca="1" si="40"/>
        <v>234</v>
      </c>
      <c r="E332" s="2">
        <f t="shared" ca="1" si="41"/>
        <v>10149</v>
      </c>
      <c r="F332" s="2">
        <f t="shared" ca="1" si="42"/>
        <v>30694</v>
      </c>
      <c r="G332" s="2">
        <f t="shared" ca="1" si="43"/>
        <v>1636</v>
      </c>
    </row>
    <row r="333" spans="1:7" x14ac:dyDescent="0.3">
      <c r="A333" s="5" t="str">
        <f t="shared" si="37"/>
        <v>Puma</v>
      </c>
      <c r="B333" s="5" t="str">
        <f t="shared" si="39"/>
        <v>Cali Dream</v>
      </c>
      <c r="C333" s="3">
        <f t="shared" si="38"/>
        <v>45680</v>
      </c>
      <c r="D333" s="4">
        <f t="shared" ca="1" si="40"/>
        <v>147</v>
      </c>
      <c r="E333" s="2">
        <f t="shared" ca="1" si="41"/>
        <v>6825</v>
      </c>
      <c r="F333" s="2">
        <f t="shared" ca="1" si="42"/>
        <v>5076</v>
      </c>
      <c r="G333" s="2">
        <f t="shared" ca="1" si="43"/>
        <v>257</v>
      </c>
    </row>
    <row r="334" spans="1:7" x14ac:dyDescent="0.3">
      <c r="A334" s="5" t="str">
        <f t="shared" si="37"/>
        <v>New Balance</v>
      </c>
      <c r="B334" s="5" t="str">
        <f t="shared" si="39"/>
        <v>9060</v>
      </c>
      <c r="C334" s="3">
        <f t="shared" si="38"/>
        <v>45680</v>
      </c>
      <c r="D334" s="4">
        <f t="shared" ca="1" si="40"/>
        <v>200</v>
      </c>
      <c r="E334" s="2">
        <f t="shared" ca="1" si="41"/>
        <v>6779</v>
      </c>
      <c r="F334" s="2">
        <f t="shared" ca="1" si="42"/>
        <v>15110</v>
      </c>
      <c r="G334" s="2">
        <f t="shared" ca="1" si="43"/>
        <v>1081</v>
      </c>
    </row>
    <row r="335" spans="1:7" x14ac:dyDescent="0.3">
      <c r="A335" s="5" t="str">
        <f t="shared" si="37"/>
        <v>Reebok</v>
      </c>
      <c r="B335" s="5" t="str">
        <f t="shared" si="39"/>
        <v>Zig Kinetica</v>
      </c>
      <c r="C335" s="3">
        <f t="shared" si="38"/>
        <v>45680</v>
      </c>
      <c r="D335" s="4">
        <f t="shared" ca="1" si="40"/>
        <v>149</v>
      </c>
      <c r="E335" s="2">
        <f t="shared" ca="1" si="41"/>
        <v>4112</v>
      </c>
      <c r="F335" s="2">
        <f t="shared" ca="1" si="42"/>
        <v>29835</v>
      </c>
      <c r="G335" s="2">
        <f t="shared" ca="1" si="43"/>
        <v>747</v>
      </c>
    </row>
    <row r="336" spans="1:7" x14ac:dyDescent="0.3">
      <c r="A336" s="5" t="str">
        <f t="shared" si="37"/>
        <v>Nike</v>
      </c>
      <c r="B336" s="5" t="str">
        <f t="shared" si="39"/>
        <v>Jordan 1</v>
      </c>
      <c r="C336" s="3">
        <f t="shared" si="38"/>
        <v>45680</v>
      </c>
      <c r="D336" s="4">
        <f t="shared" ca="1" si="40"/>
        <v>59</v>
      </c>
      <c r="E336" s="2">
        <f t="shared" ca="1" si="41"/>
        <v>8118</v>
      </c>
      <c r="F336" s="2">
        <f t="shared" ca="1" si="42"/>
        <v>25757</v>
      </c>
      <c r="G336" s="2">
        <f t="shared" ca="1" si="43"/>
        <v>1117</v>
      </c>
    </row>
    <row r="337" spans="1:7" x14ac:dyDescent="0.3">
      <c r="A337" s="5" t="str">
        <f t="shared" si="37"/>
        <v>Adidas</v>
      </c>
      <c r="B337" s="5" t="str">
        <f t="shared" si="39"/>
        <v>Ultraboost 23</v>
      </c>
      <c r="C337" s="3">
        <f t="shared" si="38"/>
        <v>45680</v>
      </c>
      <c r="D337" s="4">
        <f t="shared" ca="1" si="40"/>
        <v>205</v>
      </c>
      <c r="E337" s="2">
        <f t="shared" ca="1" si="41"/>
        <v>9646</v>
      </c>
      <c r="F337" s="2">
        <f t="shared" ca="1" si="42"/>
        <v>27598</v>
      </c>
      <c r="G337" s="2">
        <f t="shared" ca="1" si="43"/>
        <v>761</v>
      </c>
    </row>
    <row r="338" spans="1:7" x14ac:dyDescent="0.3">
      <c r="A338" s="5" t="str">
        <f t="shared" si="37"/>
        <v>Puma</v>
      </c>
      <c r="B338" s="5" t="str">
        <f t="shared" si="39"/>
        <v>RS-X</v>
      </c>
      <c r="C338" s="3">
        <f t="shared" si="38"/>
        <v>45680</v>
      </c>
      <c r="D338" s="4">
        <f t="shared" ca="1" si="40"/>
        <v>213</v>
      </c>
      <c r="E338" s="2">
        <f t="shared" ca="1" si="41"/>
        <v>5308</v>
      </c>
      <c r="F338" s="2">
        <f t="shared" ca="1" si="42"/>
        <v>30268</v>
      </c>
      <c r="G338" s="2">
        <f t="shared" ca="1" si="43"/>
        <v>1850</v>
      </c>
    </row>
    <row r="339" spans="1:7" x14ac:dyDescent="0.3">
      <c r="A339" s="5" t="str">
        <f t="shared" si="37"/>
        <v>New Balance</v>
      </c>
      <c r="B339" s="5" t="str">
        <f t="shared" si="39"/>
        <v>2002R</v>
      </c>
      <c r="C339" s="3">
        <f t="shared" si="38"/>
        <v>45680</v>
      </c>
      <c r="D339" s="4">
        <f t="shared" ca="1" si="40"/>
        <v>163</v>
      </c>
      <c r="E339" s="2">
        <f t="shared" ca="1" si="41"/>
        <v>11114</v>
      </c>
      <c r="F339" s="2">
        <f t="shared" ca="1" si="42"/>
        <v>33796</v>
      </c>
      <c r="G339" s="2">
        <f t="shared" ca="1" si="43"/>
        <v>2388</v>
      </c>
    </row>
    <row r="340" spans="1:7" x14ac:dyDescent="0.3">
      <c r="A340" s="5" t="str">
        <f t="shared" si="37"/>
        <v>Reebok</v>
      </c>
      <c r="B340" s="5" t="str">
        <f t="shared" si="39"/>
        <v>Instapump Fury</v>
      </c>
      <c r="C340" s="3">
        <f t="shared" si="38"/>
        <v>45680</v>
      </c>
      <c r="D340" s="4">
        <f t="shared" ca="1" si="40"/>
        <v>54</v>
      </c>
      <c r="E340" s="2">
        <f t="shared" ca="1" si="41"/>
        <v>3236</v>
      </c>
      <c r="F340" s="2">
        <f t="shared" ca="1" si="42"/>
        <v>23087</v>
      </c>
      <c r="G340" s="2">
        <f t="shared" ca="1" si="43"/>
        <v>1338</v>
      </c>
    </row>
    <row r="341" spans="1:7" x14ac:dyDescent="0.3">
      <c r="A341" s="5" t="str">
        <f t="shared" si="37"/>
        <v>Nike</v>
      </c>
      <c r="B341" s="5" t="str">
        <f t="shared" si="39"/>
        <v>Cortez</v>
      </c>
      <c r="C341" s="3">
        <f t="shared" si="38"/>
        <v>45680</v>
      </c>
      <c r="D341" s="4">
        <f t="shared" ca="1" si="40"/>
        <v>90</v>
      </c>
      <c r="E341" s="2">
        <f t="shared" ca="1" si="41"/>
        <v>8616</v>
      </c>
      <c r="F341" s="2">
        <f t="shared" ca="1" si="42"/>
        <v>34940</v>
      </c>
      <c r="G341" s="2">
        <f t="shared" ca="1" si="43"/>
        <v>1130</v>
      </c>
    </row>
    <row r="342" spans="1:7" x14ac:dyDescent="0.3">
      <c r="A342" s="5" t="str">
        <f t="shared" si="37"/>
        <v>Adidas</v>
      </c>
      <c r="B342" s="5" t="str">
        <f t="shared" si="39"/>
        <v>NMD S1</v>
      </c>
      <c r="C342" s="3">
        <f t="shared" si="38"/>
        <v>45680</v>
      </c>
      <c r="D342" s="4">
        <f t="shared" ca="1" si="40"/>
        <v>214</v>
      </c>
      <c r="E342" s="2">
        <f t="shared" ca="1" si="41"/>
        <v>7142</v>
      </c>
      <c r="F342" s="2">
        <f t="shared" ca="1" si="42"/>
        <v>32726</v>
      </c>
      <c r="G342" s="2">
        <f t="shared" ca="1" si="43"/>
        <v>1248</v>
      </c>
    </row>
    <row r="343" spans="1:7" x14ac:dyDescent="0.3">
      <c r="A343" s="5" t="str">
        <f t="shared" si="37"/>
        <v>Puma</v>
      </c>
      <c r="B343" s="5" t="str">
        <f t="shared" si="39"/>
        <v>Suede Classic</v>
      </c>
      <c r="C343" s="3">
        <f t="shared" si="38"/>
        <v>45680</v>
      </c>
      <c r="D343" s="4">
        <f t="shared" ca="1" si="40"/>
        <v>160</v>
      </c>
      <c r="E343" s="2">
        <f t="shared" ca="1" si="41"/>
        <v>3562</v>
      </c>
      <c r="F343" s="2">
        <f t="shared" ca="1" si="42"/>
        <v>30185</v>
      </c>
      <c r="G343" s="2">
        <f t="shared" ca="1" si="43"/>
        <v>1393</v>
      </c>
    </row>
    <row r="344" spans="1:7" x14ac:dyDescent="0.3">
      <c r="A344" s="5" t="str">
        <f t="shared" si="37"/>
        <v>New Balance</v>
      </c>
      <c r="B344" s="5" t="str">
        <f t="shared" si="39"/>
        <v>990v6</v>
      </c>
      <c r="C344" s="3">
        <f t="shared" si="38"/>
        <v>45680</v>
      </c>
      <c r="D344" s="4">
        <f t="shared" ca="1" si="40"/>
        <v>32</v>
      </c>
      <c r="E344" s="2">
        <f t="shared" ca="1" si="41"/>
        <v>6092</v>
      </c>
      <c r="F344" s="2">
        <f t="shared" ca="1" si="42"/>
        <v>31092</v>
      </c>
      <c r="G344" s="2">
        <f t="shared" ca="1" si="43"/>
        <v>2154</v>
      </c>
    </row>
    <row r="345" spans="1:7" x14ac:dyDescent="0.3">
      <c r="A345" s="5" t="str">
        <f t="shared" si="37"/>
        <v>Reebok</v>
      </c>
      <c r="B345" s="5" t="str">
        <f t="shared" si="39"/>
        <v>Nano X3</v>
      </c>
      <c r="C345" s="3">
        <f t="shared" si="38"/>
        <v>45680</v>
      </c>
      <c r="D345" s="4">
        <f t="shared" ca="1" si="40"/>
        <v>93</v>
      </c>
      <c r="E345" s="2">
        <f t="shared" ca="1" si="41"/>
        <v>11594</v>
      </c>
      <c r="F345" s="2">
        <f t="shared" ca="1" si="42"/>
        <v>28719</v>
      </c>
      <c r="G345" s="2">
        <f t="shared" ca="1" si="43"/>
        <v>1982</v>
      </c>
    </row>
    <row r="346" spans="1:7" x14ac:dyDescent="0.3">
      <c r="A346" s="5" t="str">
        <f t="shared" si="37"/>
        <v>Nike</v>
      </c>
      <c r="B346" s="5" t="str">
        <f t="shared" si="39"/>
        <v>Vaporfly 3</v>
      </c>
      <c r="C346" s="3">
        <f t="shared" si="38"/>
        <v>45680</v>
      </c>
      <c r="D346" s="4">
        <f t="shared" ca="1" si="40"/>
        <v>44</v>
      </c>
      <c r="E346" s="2">
        <f t="shared" ca="1" si="41"/>
        <v>1855</v>
      </c>
      <c r="F346" s="2">
        <f t="shared" ca="1" si="42"/>
        <v>13330</v>
      </c>
      <c r="G346" s="2">
        <f t="shared" ca="1" si="43"/>
        <v>562</v>
      </c>
    </row>
    <row r="347" spans="1:7" x14ac:dyDescent="0.3">
      <c r="A347" s="5" t="str">
        <f t="shared" si="37"/>
        <v>Adidas</v>
      </c>
      <c r="B347" s="5" t="str">
        <f t="shared" si="39"/>
        <v>Samba</v>
      </c>
      <c r="C347" s="3">
        <f t="shared" si="38"/>
        <v>45681</v>
      </c>
      <c r="D347" s="4">
        <f t="shared" ca="1" si="40"/>
        <v>31</v>
      </c>
      <c r="E347" s="2">
        <f t="shared" ca="1" si="41"/>
        <v>1354</v>
      </c>
      <c r="F347" s="2">
        <f t="shared" ca="1" si="42"/>
        <v>18219</v>
      </c>
      <c r="G347" s="2">
        <f t="shared" ca="1" si="43"/>
        <v>1317</v>
      </c>
    </row>
    <row r="348" spans="1:7" x14ac:dyDescent="0.3">
      <c r="A348" s="5" t="str">
        <f t="shared" si="37"/>
        <v>Puma</v>
      </c>
      <c r="B348" s="5" t="str">
        <f t="shared" si="39"/>
        <v>Mayze</v>
      </c>
      <c r="C348" s="3">
        <f t="shared" si="38"/>
        <v>45681</v>
      </c>
      <c r="D348" s="4">
        <f t="shared" ca="1" si="40"/>
        <v>116</v>
      </c>
      <c r="E348" s="2">
        <f t="shared" ca="1" si="41"/>
        <v>4700</v>
      </c>
      <c r="F348" s="2">
        <f t="shared" ca="1" si="42"/>
        <v>11788</v>
      </c>
      <c r="G348" s="2">
        <f t="shared" ca="1" si="43"/>
        <v>422</v>
      </c>
    </row>
    <row r="349" spans="1:7" x14ac:dyDescent="0.3">
      <c r="A349" s="5" t="str">
        <f t="shared" si="37"/>
        <v>New Balance</v>
      </c>
      <c r="B349" s="5" t="str">
        <f t="shared" si="39"/>
        <v>574 Core</v>
      </c>
      <c r="C349" s="3">
        <f t="shared" si="38"/>
        <v>45681</v>
      </c>
      <c r="D349" s="4">
        <f t="shared" ca="1" si="40"/>
        <v>137</v>
      </c>
      <c r="E349" s="2">
        <f t="shared" ca="1" si="41"/>
        <v>9073</v>
      </c>
      <c r="F349" s="2">
        <f t="shared" ca="1" si="42"/>
        <v>26191</v>
      </c>
      <c r="G349" s="2">
        <f t="shared" ca="1" si="43"/>
        <v>956</v>
      </c>
    </row>
    <row r="350" spans="1:7" x14ac:dyDescent="0.3">
      <c r="A350" s="5" t="str">
        <f t="shared" si="37"/>
        <v>Reebok</v>
      </c>
      <c r="B350" s="5" t="str">
        <f t="shared" si="39"/>
        <v>Club C 85</v>
      </c>
      <c r="C350" s="3">
        <f t="shared" si="38"/>
        <v>45681</v>
      </c>
      <c r="D350" s="4">
        <f t="shared" ca="1" si="40"/>
        <v>100</v>
      </c>
      <c r="E350" s="2">
        <f t="shared" ca="1" si="41"/>
        <v>3377</v>
      </c>
      <c r="F350" s="2">
        <f t="shared" ca="1" si="42"/>
        <v>6992</v>
      </c>
      <c r="G350" s="2">
        <f t="shared" ca="1" si="43"/>
        <v>497</v>
      </c>
    </row>
    <row r="351" spans="1:7" x14ac:dyDescent="0.3">
      <c r="A351" s="5" t="str">
        <f t="shared" si="37"/>
        <v>Nike</v>
      </c>
      <c r="B351" s="5" t="str">
        <f t="shared" si="39"/>
        <v>Pegasus 40</v>
      </c>
      <c r="C351" s="3">
        <f t="shared" si="38"/>
        <v>45681</v>
      </c>
      <c r="D351" s="4">
        <f t="shared" ca="1" si="40"/>
        <v>203</v>
      </c>
      <c r="E351" s="2">
        <f t="shared" ca="1" si="41"/>
        <v>4301</v>
      </c>
      <c r="F351" s="2">
        <f t="shared" ca="1" si="42"/>
        <v>7760</v>
      </c>
      <c r="G351" s="2">
        <f t="shared" ca="1" si="43"/>
        <v>275</v>
      </c>
    </row>
    <row r="352" spans="1:7" x14ac:dyDescent="0.3">
      <c r="A352" s="5" t="str">
        <f t="shared" si="37"/>
        <v>Adidas</v>
      </c>
      <c r="B352" s="5" t="str">
        <f t="shared" si="39"/>
        <v>Gazelle</v>
      </c>
      <c r="C352" s="3">
        <f t="shared" si="38"/>
        <v>45681</v>
      </c>
      <c r="D352" s="4">
        <f t="shared" ca="1" si="40"/>
        <v>136</v>
      </c>
      <c r="E352" s="2">
        <f t="shared" ca="1" si="41"/>
        <v>5273</v>
      </c>
      <c r="F352" s="2">
        <f t="shared" ca="1" si="42"/>
        <v>32006</v>
      </c>
      <c r="G352" s="2">
        <f t="shared" ca="1" si="43"/>
        <v>2246</v>
      </c>
    </row>
    <row r="353" spans="1:7" x14ac:dyDescent="0.3">
      <c r="A353" s="5" t="str">
        <f t="shared" si="37"/>
        <v>Puma</v>
      </c>
      <c r="B353" s="5" t="str">
        <f t="shared" si="39"/>
        <v>Slipstream</v>
      </c>
      <c r="C353" s="3">
        <f t="shared" si="38"/>
        <v>45681</v>
      </c>
      <c r="D353" s="4">
        <f t="shared" ca="1" si="40"/>
        <v>229</v>
      </c>
      <c r="E353" s="2">
        <f t="shared" ca="1" si="41"/>
        <v>6470</v>
      </c>
      <c r="F353" s="2">
        <f t="shared" ca="1" si="42"/>
        <v>5178</v>
      </c>
      <c r="G353" s="2">
        <f t="shared" ca="1" si="43"/>
        <v>409</v>
      </c>
    </row>
    <row r="354" spans="1:7" x14ac:dyDescent="0.3">
      <c r="A354" s="5" t="str">
        <f t="shared" si="37"/>
        <v>New Balance</v>
      </c>
      <c r="B354" s="5" t="str">
        <f t="shared" si="39"/>
        <v>550</v>
      </c>
      <c r="C354" s="3">
        <f t="shared" si="38"/>
        <v>45681</v>
      </c>
      <c r="D354" s="4">
        <f t="shared" ca="1" si="40"/>
        <v>249</v>
      </c>
      <c r="E354" s="2">
        <f t="shared" ca="1" si="41"/>
        <v>10565</v>
      </c>
      <c r="F354" s="2">
        <f t="shared" ca="1" si="42"/>
        <v>33319</v>
      </c>
      <c r="G354" s="2">
        <f t="shared" ca="1" si="43"/>
        <v>2253</v>
      </c>
    </row>
    <row r="355" spans="1:7" x14ac:dyDescent="0.3">
      <c r="A355" s="5" t="str">
        <f t="shared" si="37"/>
        <v>Reebok</v>
      </c>
      <c r="B355" s="5" t="str">
        <f t="shared" si="39"/>
        <v>Classic Leather</v>
      </c>
      <c r="C355" s="3">
        <f t="shared" si="38"/>
        <v>45681</v>
      </c>
      <c r="D355" s="4">
        <f t="shared" ca="1" si="40"/>
        <v>250</v>
      </c>
      <c r="E355" s="2">
        <f t="shared" ca="1" si="41"/>
        <v>10541</v>
      </c>
      <c r="F355" s="2">
        <f t="shared" ca="1" si="42"/>
        <v>30644</v>
      </c>
      <c r="G355" s="2">
        <f t="shared" ca="1" si="43"/>
        <v>2251</v>
      </c>
    </row>
    <row r="356" spans="1:7" x14ac:dyDescent="0.3">
      <c r="A356" s="5" t="str">
        <f t="shared" si="37"/>
        <v>Nike</v>
      </c>
      <c r="B356" s="5" t="str">
        <f t="shared" si="39"/>
        <v>Air Force 1</v>
      </c>
      <c r="C356" s="3">
        <f t="shared" si="38"/>
        <v>45681</v>
      </c>
      <c r="D356" s="4">
        <f t="shared" ca="1" si="40"/>
        <v>56</v>
      </c>
      <c r="E356" s="2">
        <f t="shared" ca="1" si="41"/>
        <v>4262</v>
      </c>
      <c r="F356" s="2">
        <f t="shared" ca="1" si="42"/>
        <v>6084</v>
      </c>
      <c r="G356" s="2">
        <f t="shared" ca="1" si="43"/>
        <v>122</v>
      </c>
    </row>
    <row r="357" spans="1:7" x14ac:dyDescent="0.3">
      <c r="A357" s="5" t="str">
        <f t="shared" si="37"/>
        <v>Adidas</v>
      </c>
      <c r="B357" s="5" t="str">
        <f t="shared" si="39"/>
        <v>Superstar</v>
      </c>
      <c r="C357" s="3">
        <f t="shared" si="38"/>
        <v>45681</v>
      </c>
      <c r="D357" s="4">
        <f t="shared" ca="1" si="40"/>
        <v>118</v>
      </c>
      <c r="E357" s="2">
        <f t="shared" ca="1" si="41"/>
        <v>4370</v>
      </c>
      <c r="F357" s="2">
        <f t="shared" ca="1" si="42"/>
        <v>28119</v>
      </c>
      <c r="G357" s="2">
        <f t="shared" ca="1" si="43"/>
        <v>744</v>
      </c>
    </row>
    <row r="358" spans="1:7" x14ac:dyDescent="0.3">
      <c r="A358" s="5" t="str">
        <f t="shared" si="37"/>
        <v>Puma</v>
      </c>
      <c r="B358" s="5" t="str">
        <f t="shared" si="39"/>
        <v>Rider Vintage</v>
      </c>
      <c r="C358" s="3">
        <f t="shared" si="38"/>
        <v>45681</v>
      </c>
      <c r="D358" s="4">
        <f t="shared" ca="1" si="40"/>
        <v>20</v>
      </c>
      <c r="E358" s="2">
        <f t="shared" ca="1" si="41"/>
        <v>1950</v>
      </c>
      <c r="F358" s="2">
        <f t="shared" ca="1" si="42"/>
        <v>27675</v>
      </c>
      <c r="G358" s="2">
        <f t="shared" ca="1" si="43"/>
        <v>1663</v>
      </c>
    </row>
    <row r="359" spans="1:7" x14ac:dyDescent="0.3">
      <c r="A359" s="5" t="str">
        <f t="shared" si="37"/>
        <v>New Balance</v>
      </c>
      <c r="B359" s="5" t="str">
        <f t="shared" si="39"/>
        <v>327</v>
      </c>
      <c r="C359" s="3">
        <f t="shared" si="38"/>
        <v>45681</v>
      </c>
      <c r="D359" s="4">
        <f t="shared" ca="1" si="40"/>
        <v>96</v>
      </c>
      <c r="E359" s="2">
        <f t="shared" ca="1" si="41"/>
        <v>10046</v>
      </c>
      <c r="F359" s="2">
        <f t="shared" ca="1" si="42"/>
        <v>10466</v>
      </c>
      <c r="G359" s="2">
        <f t="shared" ca="1" si="43"/>
        <v>446</v>
      </c>
    </row>
    <row r="360" spans="1:7" x14ac:dyDescent="0.3">
      <c r="A360" s="5" t="str">
        <f t="shared" si="37"/>
        <v>Reebok</v>
      </c>
      <c r="B360" s="5" t="str">
        <f t="shared" si="39"/>
        <v>Question Mid</v>
      </c>
      <c r="C360" s="3">
        <f t="shared" si="38"/>
        <v>45681</v>
      </c>
      <c r="D360" s="4">
        <f t="shared" ca="1" si="40"/>
        <v>25</v>
      </c>
      <c r="E360" s="2">
        <f t="shared" ca="1" si="41"/>
        <v>5751</v>
      </c>
      <c r="F360" s="2">
        <f t="shared" ca="1" si="42"/>
        <v>20476</v>
      </c>
      <c r="G360" s="2">
        <f t="shared" ca="1" si="43"/>
        <v>618</v>
      </c>
    </row>
    <row r="361" spans="1:7" x14ac:dyDescent="0.3">
      <c r="A361" s="5" t="str">
        <f t="shared" si="37"/>
        <v>Nike</v>
      </c>
      <c r="B361" s="5" t="str">
        <f t="shared" si="39"/>
        <v>Air Max 270</v>
      </c>
      <c r="C361" s="3">
        <f t="shared" si="38"/>
        <v>45681</v>
      </c>
      <c r="D361" s="4">
        <f t="shared" ca="1" si="40"/>
        <v>207</v>
      </c>
      <c r="E361" s="2">
        <f t="shared" ca="1" si="41"/>
        <v>9830</v>
      </c>
      <c r="F361" s="2">
        <f t="shared" ca="1" si="42"/>
        <v>22317</v>
      </c>
      <c r="G361" s="2">
        <f t="shared" ca="1" si="43"/>
        <v>493</v>
      </c>
    </row>
    <row r="362" spans="1:7" x14ac:dyDescent="0.3">
      <c r="A362" s="5" t="str">
        <f t="shared" si="37"/>
        <v>Adidas</v>
      </c>
      <c r="B362" s="5" t="str">
        <f t="shared" si="39"/>
        <v>Stan Smith</v>
      </c>
      <c r="C362" s="3">
        <f t="shared" si="38"/>
        <v>45682</v>
      </c>
      <c r="D362" s="4">
        <f t="shared" ca="1" si="40"/>
        <v>182</v>
      </c>
      <c r="E362" s="2">
        <f t="shared" ca="1" si="41"/>
        <v>4064</v>
      </c>
      <c r="F362" s="2">
        <f t="shared" ca="1" si="42"/>
        <v>9715</v>
      </c>
      <c r="G362" s="2">
        <f t="shared" ca="1" si="43"/>
        <v>233</v>
      </c>
    </row>
    <row r="363" spans="1:7" x14ac:dyDescent="0.3">
      <c r="A363" s="5" t="str">
        <f t="shared" ref="A363:A426" si="44">CHOOSE(MOD(ROW(A362),5)+1,"Nike","Adidas","Puma","New Balance","Reebok")</f>
        <v>Puma</v>
      </c>
      <c r="B363" s="5" t="str">
        <f t="shared" si="39"/>
        <v>Cali Dream</v>
      </c>
      <c r="C363" s="3">
        <f t="shared" ref="C363:C426" si="45">DATE(2025,1,1)+INT((ROW(A363)-2)/15)</f>
        <v>45682</v>
      </c>
      <c r="D363" s="4">
        <f t="shared" ca="1" si="40"/>
        <v>236</v>
      </c>
      <c r="E363" s="2">
        <f t="shared" ca="1" si="41"/>
        <v>5574</v>
      </c>
      <c r="F363" s="2">
        <f t="shared" ca="1" si="42"/>
        <v>23808</v>
      </c>
      <c r="G363" s="2">
        <f t="shared" ca="1" si="43"/>
        <v>627</v>
      </c>
    </row>
    <row r="364" spans="1:7" x14ac:dyDescent="0.3">
      <c r="A364" s="5" t="str">
        <f t="shared" si="44"/>
        <v>New Balance</v>
      </c>
      <c r="B364" s="5" t="str">
        <f t="shared" si="39"/>
        <v>9060</v>
      </c>
      <c r="C364" s="3">
        <f t="shared" si="45"/>
        <v>45682</v>
      </c>
      <c r="D364" s="4">
        <f t="shared" ca="1" si="40"/>
        <v>227</v>
      </c>
      <c r="E364" s="2">
        <f t="shared" ca="1" si="41"/>
        <v>2181</v>
      </c>
      <c r="F364" s="2">
        <f t="shared" ca="1" si="42"/>
        <v>34014</v>
      </c>
      <c r="G364" s="2">
        <f t="shared" ca="1" si="43"/>
        <v>2390</v>
      </c>
    </row>
    <row r="365" spans="1:7" x14ac:dyDescent="0.3">
      <c r="A365" s="5" t="str">
        <f t="shared" si="44"/>
        <v>Reebok</v>
      </c>
      <c r="B365" s="5" t="str">
        <f t="shared" si="39"/>
        <v>Zig Kinetica</v>
      </c>
      <c r="C365" s="3">
        <f t="shared" si="45"/>
        <v>45682</v>
      </c>
      <c r="D365" s="4">
        <f t="shared" ca="1" si="40"/>
        <v>233</v>
      </c>
      <c r="E365" s="2">
        <f t="shared" ca="1" si="41"/>
        <v>9791</v>
      </c>
      <c r="F365" s="2">
        <f t="shared" ca="1" si="42"/>
        <v>8716</v>
      </c>
      <c r="G365" s="2">
        <f t="shared" ca="1" si="43"/>
        <v>551</v>
      </c>
    </row>
    <row r="366" spans="1:7" x14ac:dyDescent="0.3">
      <c r="A366" s="5" t="str">
        <f t="shared" si="44"/>
        <v>Nike</v>
      </c>
      <c r="B366" s="5" t="str">
        <f t="shared" si="39"/>
        <v>Jordan 1</v>
      </c>
      <c r="C366" s="3">
        <f t="shared" si="45"/>
        <v>45682</v>
      </c>
      <c r="D366" s="4">
        <f t="shared" ca="1" si="40"/>
        <v>90</v>
      </c>
      <c r="E366" s="2">
        <f t="shared" ca="1" si="41"/>
        <v>4633</v>
      </c>
      <c r="F366" s="2">
        <f t="shared" ca="1" si="42"/>
        <v>24291</v>
      </c>
      <c r="G366" s="2">
        <f t="shared" ca="1" si="43"/>
        <v>1241</v>
      </c>
    </row>
    <row r="367" spans="1:7" x14ac:dyDescent="0.3">
      <c r="A367" s="5" t="str">
        <f t="shared" si="44"/>
        <v>Adidas</v>
      </c>
      <c r="B367" s="5" t="str">
        <f t="shared" si="39"/>
        <v>Ultraboost 23</v>
      </c>
      <c r="C367" s="3">
        <f t="shared" si="45"/>
        <v>45682</v>
      </c>
      <c r="D367" s="4">
        <f t="shared" ca="1" si="40"/>
        <v>188</v>
      </c>
      <c r="E367" s="2">
        <f t="shared" ca="1" si="41"/>
        <v>10460</v>
      </c>
      <c r="F367" s="2">
        <f t="shared" ca="1" si="42"/>
        <v>25959</v>
      </c>
      <c r="G367" s="2">
        <f t="shared" ca="1" si="43"/>
        <v>1025</v>
      </c>
    </row>
    <row r="368" spans="1:7" x14ac:dyDescent="0.3">
      <c r="A368" s="5" t="str">
        <f t="shared" si="44"/>
        <v>Puma</v>
      </c>
      <c r="B368" s="5" t="str">
        <f t="shared" si="39"/>
        <v>RS-X</v>
      </c>
      <c r="C368" s="3">
        <f t="shared" si="45"/>
        <v>45682</v>
      </c>
      <c r="D368" s="4">
        <f t="shared" ca="1" si="40"/>
        <v>93</v>
      </c>
      <c r="E368" s="2">
        <f t="shared" ca="1" si="41"/>
        <v>9368</v>
      </c>
      <c r="F368" s="2">
        <f t="shared" ca="1" si="42"/>
        <v>26761</v>
      </c>
      <c r="G368" s="2">
        <f t="shared" ca="1" si="43"/>
        <v>2012</v>
      </c>
    </row>
    <row r="369" spans="1:7" x14ac:dyDescent="0.3">
      <c r="A369" s="5" t="str">
        <f t="shared" si="44"/>
        <v>New Balance</v>
      </c>
      <c r="B369" s="5" t="str">
        <f t="shared" si="39"/>
        <v>2002R</v>
      </c>
      <c r="C369" s="3">
        <f t="shared" si="45"/>
        <v>45682</v>
      </c>
      <c r="D369" s="4">
        <f t="shared" ca="1" si="40"/>
        <v>49</v>
      </c>
      <c r="E369" s="2">
        <f t="shared" ca="1" si="41"/>
        <v>7436</v>
      </c>
      <c r="F369" s="2">
        <f t="shared" ca="1" si="42"/>
        <v>10218</v>
      </c>
      <c r="G369" s="2">
        <f t="shared" ca="1" si="43"/>
        <v>350</v>
      </c>
    </row>
    <row r="370" spans="1:7" x14ac:dyDescent="0.3">
      <c r="A370" s="5" t="str">
        <f t="shared" si="44"/>
        <v>Reebok</v>
      </c>
      <c r="B370" s="5" t="str">
        <f t="shared" si="39"/>
        <v>Instapump Fury</v>
      </c>
      <c r="C370" s="3">
        <f t="shared" si="45"/>
        <v>45682</v>
      </c>
      <c r="D370" s="4">
        <f t="shared" ca="1" si="40"/>
        <v>34</v>
      </c>
      <c r="E370" s="2">
        <f t="shared" ca="1" si="41"/>
        <v>3658</v>
      </c>
      <c r="F370" s="2">
        <f t="shared" ca="1" si="42"/>
        <v>18286</v>
      </c>
      <c r="G370" s="2">
        <f t="shared" ca="1" si="43"/>
        <v>392</v>
      </c>
    </row>
    <row r="371" spans="1:7" x14ac:dyDescent="0.3">
      <c r="A371" s="5" t="str">
        <f t="shared" si="44"/>
        <v>Nike</v>
      </c>
      <c r="B371" s="5" t="str">
        <f t="shared" si="39"/>
        <v>Cortez</v>
      </c>
      <c r="C371" s="3">
        <f t="shared" si="45"/>
        <v>45682</v>
      </c>
      <c r="D371" s="4">
        <f t="shared" ca="1" si="40"/>
        <v>141</v>
      </c>
      <c r="E371" s="2">
        <f t="shared" ca="1" si="41"/>
        <v>11949</v>
      </c>
      <c r="F371" s="2">
        <f t="shared" ca="1" si="42"/>
        <v>17204</v>
      </c>
      <c r="G371" s="2">
        <f t="shared" ca="1" si="43"/>
        <v>1304</v>
      </c>
    </row>
    <row r="372" spans="1:7" x14ac:dyDescent="0.3">
      <c r="A372" s="5" t="str">
        <f t="shared" si="44"/>
        <v>Adidas</v>
      </c>
      <c r="B372" s="5" t="str">
        <f t="shared" si="39"/>
        <v>NMD S1</v>
      </c>
      <c r="C372" s="3">
        <f t="shared" si="45"/>
        <v>45682</v>
      </c>
      <c r="D372" s="4">
        <f t="shared" ca="1" si="40"/>
        <v>151</v>
      </c>
      <c r="E372" s="2">
        <f t="shared" ca="1" si="41"/>
        <v>4660</v>
      </c>
      <c r="F372" s="2">
        <f t="shared" ca="1" si="42"/>
        <v>16240</v>
      </c>
      <c r="G372" s="2">
        <f t="shared" ca="1" si="43"/>
        <v>1062</v>
      </c>
    </row>
    <row r="373" spans="1:7" x14ac:dyDescent="0.3">
      <c r="A373" s="5" t="str">
        <f t="shared" si="44"/>
        <v>Puma</v>
      </c>
      <c r="B373" s="5" t="str">
        <f t="shared" si="39"/>
        <v>Suede Classic</v>
      </c>
      <c r="C373" s="3">
        <f t="shared" si="45"/>
        <v>45682</v>
      </c>
      <c r="D373" s="4">
        <f t="shared" ca="1" si="40"/>
        <v>51</v>
      </c>
      <c r="E373" s="2">
        <f t="shared" ca="1" si="41"/>
        <v>7402</v>
      </c>
      <c r="F373" s="2">
        <f t="shared" ca="1" si="42"/>
        <v>15203</v>
      </c>
      <c r="G373" s="2">
        <f t="shared" ca="1" si="43"/>
        <v>805</v>
      </c>
    </row>
    <row r="374" spans="1:7" x14ac:dyDescent="0.3">
      <c r="A374" s="5" t="str">
        <f t="shared" si="44"/>
        <v>New Balance</v>
      </c>
      <c r="B374" s="5" t="str">
        <f t="shared" si="39"/>
        <v>990v6</v>
      </c>
      <c r="C374" s="3">
        <f t="shared" si="45"/>
        <v>45682</v>
      </c>
      <c r="D374" s="4">
        <f t="shared" ca="1" si="40"/>
        <v>232</v>
      </c>
      <c r="E374" s="2">
        <f t="shared" ca="1" si="41"/>
        <v>9310</v>
      </c>
      <c r="F374" s="2">
        <f t="shared" ca="1" si="42"/>
        <v>19329</v>
      </c>
      <c r="G374" s="2">
        <f t="shared" ca="1" si="43"/>
        <v>1158</v>
      </c>
    </row>
    <row r="375" spans="1:7" x14ac:dyDescent="0.3">
      <c r="A375" s="5" t="str">
        <f t="shared" si="44"/>
        <v>Reebok</v>
      </c>
      <c r="B375" s="5" t="str">
        <f t="shared" si="39"/>
        <v>Nano X3</v>
      </c>
      <c r="C375" s="3">
        <f t="shared" si="45"/>
        <v>45682</v>
      </c>
      <c r="D375" s="4">
        <f t="shared" ca="1" si="40"/>
        <v>138</v>
      </c>
      <c r="E375" s="2">
        <f t="shared" ca="1" si="41"/>
        <v>10083</v>
      </c>
      <c r="F375" s="2">
        <f t="shared" ca="1" si="42"/>
        <v>21121</v>
      </c>
      <c r="G375" s="2">
        <f t="shared" ca="1" si="43"/>
        <v>1277</v>
      </c>
    </row>
    <row r="376" spans="1:7" x14ac:dyDescent="0.3">
      <c r="A376" s="5" t="str">
        <f t="shared" si="44"/>
        <v>Nike</v>
      </c>
      <c r="B376" s="5" t="str">
        <f t="shared" si="39"/>
        <v>Vaporfly 3</v>
      </c>
      <c r="C376" s="3">
        <f t="shared" si="45"/>
        <v>45682</v>
      </c>
      <c r="D376" s="4">
        <f t="shared" ca="1" si="40"/>
        <v>111</v>
      </c>
      <c r="E376" s="2">
        <f t="shared" ca="1" si="41"/>
        <v>11894</v>
      </c>
      <c r="F376" s="2">
        <f t="shared" ca="1" si="42"/>
        <v>10049</v>
      </c>
      <c r="G376" s="2">
        <f t="shared" ca="1" si="43"/>
        <v>543</v>
      </c>
    </row>
    <row r="377" spans="1:7" x14ac:dyDescent="0.3">
      <c r="A377" s="5" t="str">
        <f t="shared" si="44"/>
        <v>Adidas</v>
      </c>
      <c r="B377" s="5" t="str">
        <f t="shared" si="39"/>
        <v>Samba</v>
      </c>
      <c r="C377" s="3">
        <f t="shared" si="45"/>
        <v>45683</v>
      </c>
      <c r="D377" s="4">
        <f t="shared" ca="1" si="40"/>
        <v>90</v>
      </c>
      <c r="E377" s="2">
        <f t="shared" ca="1" si="41"/>
        <v>4283</v>
      </c>
      <c r="F377" s="2">
        <f t="shared" ca="1" si="42"/>
        <v>26566</v>
      </c>
      <c r="G377" s="2">
        <f t="shared" ca="1" si="43"/>
        <v>1704</v>
      </c>
    </row>
    <row r="378" spans="1:7" x14ac:dyDescent="0.3">
      <c r="A378" s="5" t="str">
        <f t="shared" si="44"/>
        <v>Puma</v>
      </c>
      <c r="B378" s="5" t="str">
        <f t="shared" si="39"/>
        <v>Mayze</v>
      </c>
      <c r="C378" s="3">
        <f t="shared" si="45"/>
        <v>45683</v>
      </c>
      <c r="D378" s="4">
        <f t="shared" ca="1" si="40"/>
        <v>250</v>
      </c>
      <c r="E378" s="2">
        <f t="shared" ca="1" si="41"/>
        <v>5731</v>
      </c>
      <c r="F378" s="2">
        <f t="shared" ca="1" si="42"/>
        <v>22315</v>
      </c>
      <c r="G378" s="2">
        <f t="shared" ca="1" si="43"/>
        <v>553</v>
      </c>
    </row>
    <row r="379" spans="1:7" x14ac:dyDescent="0.3">
      <c r="A379" s="5" t="str">
        <f t="shared" si="44"/>
        <v>New Balance</v>
      </c>
      <c r="B379" s="5" t="str">
        <f t="shared" si="39"/>
        <v>574 Core</v>
      </c>
      <c r="C379" s="3">
        <f t="shared" si="45"/>
        <v>45683</v>
      </c>
      <c r="D379" s="4">
        <f t="shared" ca="1" si="40"/>
        <v>204</v>
      </c>
      <c r="E379" s="2">
        <f t="shared" ca="1" si="41"/>
        <v>11977</v>
      </c>
      <c r="F379" s="2">
        <f t="shared" ca="1" si="42"/>
        <v>31207</v>
      </c>
      <c r="G379" s="2">
        <f t="shared" ca="1" si="43"/>
        <v>2383</v>
      </c>
    </row>
    <row r="380" spans="1:7" x14ac:dyDescent="0.3">
      <c r="A380" s="5" t="str">
        <f t="shared" si="44"/>
        <v>Reebok</v>
      </c>
      <c r="B380" s="5" t="str">
        <f t="shared" si="39"/>
        <v>Club C 85</v>
      </c>
      <c r="C380" s="3">
        <f t="shared" si="45"/>
        <v>45683</v>
      </c>
      <c r="D380" s="4">
        <f t="shared" ca="1" si="40"/>
        <v>222</v>
      </c>
      <c r="E380" s="2">
        <f t="shared" ca="1" si="41"/>
        <v>3187</v>
      </c>
      <c r="F380" s="2">
        <f t="shared" ca="1" si="42"/>
        <v>20610</v>
      </c>
      <c r="G380" s="2">
        <f t="shared" ca="1" si="43"/>
        <v>797</v>
      </c>
    </row>
    <row r="381" spans="1:7" x14ac:dyDescent="0.3">
      <c r="A381" s="5" t="str">
        <f t="shared" si="44"/>
        <v>Nike</v>
      </c>
      <c r="B381" s="5" t="str">
        <f t="shared" si="39"/>
        <v>Pegasus 40</v>
      </c>
      <c r="C381" s="3">
        <f t="shared" si="45"/>
        <v>45683</v>
      </c>
      <c r="D381" s="4">
        <f t="shared" ca="1" si="40"/>
        <v>20</v>
      </c>
      <c r="E381" s="2">
        <f t="shared" ca="1" si="41"/>
        <v>4413</v>
      </c>
      <c r="F381" s="2">
        <f t="shared" ca="1" si="42"/>
        <v>18878</v>
      </c>
      <c r="G381" s="2">
        <f t="shared" ca="1" si="43"/>
        <v>1164</v>
      </c>
    </row>
    <row r="382" spans="1:7" x14ac:dyDescent="0.3">
      <c r="A382" s="5" t="str">
        <f t="shared" si="44"/>
        <v>Adidas</v>
      </c>
      <c r="B382" s="5" t="str">
        <f t="shared" si="39"/>
        <v>Gazelle</v>
      </c>
      <c r="C382" s="3">
        <f t="shared" si="45"/>
        <v>45683</v>
      </c>
      <c r="D382" s="4">
        <f t="shared" ca="1" si="40"/>
        <v>26</v>
      </c>
      <c r="E382" s="2">
        <f t="shared" ca="1" si="41"/>
        <v>2056</v>
      </c>
      <c r="F382" s="2">
        <f t="shared" ca="1" si="42"/>
        <v>10955</v>
      </c>
      <c r="G382" s="2">
        <f t="shared" ca="1" si="43"/>
        <v>295</v>
      </c>
    </row>
    <row r="383" spans="1:7" x14ac:dyDescent="0.3">
      <c r="A383" s="5" t="str">
        <f t="shared" si="44"/>
        <v>Puma</v>
      </c>
      <c r="B383" s="5" t="str">
        <f t="shared" si="39"/>
        <v>Slipstream</v>
      </c>
      <c r="C383" s="3">
        <f t="shared" si="45"/>
        <v>45683</v>
      </c>
      <c r="D383" s="4">
        <f t="shared" ca="1" si="40"/>
        <v>166</v>
      </c>
      <c r="E383" s="2">
        <f t="shared" ca="1" si="41"/>
        <v>5700</v>
      </c>
      <c r="F383" s="2">
        <f t="shared" ca="1" si="42"/>
        <v>21210</v>
      </c>
      <c r="G383" s="2">
        <f t="shared" ca="1" si="43"/>
        <v>591</v>
      </c>
    </row>
    <row r="384" spans="1:7" x14ac:dyDescent="0.3">
      <c r="A384" s="5" t="str">
        <f t="shared" si="44"/>
        <v>New Balance</v>
      </c>
      <c r="B384" s="5" t="str">
        <f t="shared" si="39"/>
        <v>550</v>
      </c>
      <c r="C384" s="3">
        <f t="shared" si="45"/>
        <v>45683</v>
      </c>
      <c r="D384" s="4">
        <f t="shared" ca="1" si="40"/>
        <v>92</v>
      </c>
      <c r="E384" s="2">
        <f t="shared" ca="1" si="41"/>
        <v>4088</v>
      </c>
      <c r="F384" s="2">
        <f t="shared" ca="1" si="42"/>
        <v>17773</v>
      </c>
      <c r="G384" s="2">
        <f t="shared" ca="1" si="43"/>
        <v>1158</v>
      </c>
    </row>
    <row r="385" spans="1:7" x14ac:dyDescent="0.3">
      <c r="A385" s="5" t="str">
        <f t="shared" si="44"/>
        <v>Reebok</v>
      </c>
      <c r="B385" s="5" t="str">
        <f t="shared" si="39"/>
        <v>Classic Leather</v>
      </c>
      <c r="C385" s="3">
        <f t="shared" si="45"/>
        <v>45683</v>
      </c>
      <c r="D385" s="4">
        <f t="shared" ca="1" si="40"/>
        <v>185</v>
      </c>
      <c r="E385" s="2">
        <f t="shared" ca="1" si="41"/>
        <v>8123</v>
      </c>
      <c r="F385" s="2">
        <f t="shared" ca="1" si="42"/>
        <v>34644</v>
      </c>
      <c r="G385" s="2">
        <f t="shared" ca="1" si="43"/>
        <v>1928</v>
      </c>
    </row>
    <row r="386" spans="1:7" x14ac:dyDescent="0.3">
      <c r="A386" s="5" t="str">
        <f t="shared" si="44"/>
        <v>Nike</v>
      </c>
      <c r="B386" s="5" t="str">
        <f t="shared" si="39"/>
        <v>Air Force 1</v>
      </c>
      <c r="C386" s="3">
        <f t="shared" si="45"/>
        <v>45683</v>
      </c>
      <c r="D386" s="4">
        <f t="shared" ca="1" si="40"/>
        <v>110</v>
      </c>
      <c r="E386" s="2">
        <f t="shared" ca="1" si="41"/>
        <v>8488</v>
      </c>
      <c r="F386" s="2">
        <f t="shared" ca="1" si="42"/>
        <v>9166</v>
      </c>
      <c r="G386" s="2">
        <f t="shared" ca="1" si="43"/>
        <v>570</v>
      </c>
    </row>
    <row r="387" spans="1:7" x14ac:dyDescent="0.3">
      <c r="A387" s="5" t="str">
        <f t="shared" si="44"/>
        <v>Adidas</v>
      </c>
      <c r="B387" s="5" t="str">
        <f t="shared" ref="B387:B450" si="46">IF(A387="Nike",CHOOSE(MOD(ROW(A386),6)+1,"Air Max 270","Air Force 1","Pegasus 40","Vaporfly 3","Cortez","Jordan 1"),
 IF(A387="Adidas",CHOOSE(MOD(ROW(A386),6)+1,"Ultraboost 23","Stan Smith","Superstar","Gazelle","Samba","NMD S1"),
 IF(A387="Puma",CHOOSE(MOD(ROW(A386),6)+1,"Suede Classic","RS-X","Cali Dream","Rider Vintage","Slipstream","Mayze"),
 IF(A387="New Balance",CHOOSE(MOD(ROW(A386),6)+1,"574 Core","990v6","2002R","9060","327","550"),
 IF(A387="Reebok",CHOOSE(MOD(ROW(A386),6)+1,"Classic Leather","Club C 85","Nano X3","Instapump Fury","Zig Kinetica","Question Mid"),"")))))</f>
        <v>Superstar</v>
      </c>
      <c r="C387" s="3">
        <f t="shared" si="45"/>
        <v>45683</v>
      </c>
      <c r="D387" s="4">
        <f t="shared" ref="D387:D450" ca="1" si="47">RANDBETWEEN(20,250)</f>
        <v>35</v>
      </c>
      <c r="E387" s="2">
        <f t="shared" ref="E387:E450" ca="1" si="48">ROUND(RANDBETWEEN(1500,12000)+(RANDBETWEEN(-200,200)),2)</f>
        <v>2420</v>
      </c>
      <c r="F387" s="2">
        <f t="shared" ref="F387:F450" ca="1" si="49">RANDBETWEEN(5000,35000)</f>
        <v>27463</v>
      </c>
      <c r="G387" s="2">
        <f t="shared" ref="G387:G450" ca="1" si="50">RANDBETWEEN(ROUND(F387*0.02,0),ROUND(F387*0.08,0))</f>
        <v>757</v>
      </c>
    </row>
    <row r="388" spans="1:7" x14ac:dyDescent="0.3">
      <c r="A388" s="5" t="str">
        <f t="shared" si="44"/>
        <v>Puma</v>
      </c>
      <c r="B388" s="5" t="str">
        <f t="shared" si="46"/>
        <v>Rider Vintage</v>
      </c>
      <c r="C388" s="3">
        <f t="shared" si="45"/>
        <v>45683</v>
      </c>
      <c r="D388" s="4">
        <f t="shared" ca="1" si="47"/>
        <v>45</v>
      </c>
      <c r="E388" s="2">
        <f t="shared" ca="1" si="48"/>
        <v>10280</v>
      </c>
      <c r="F388" s="2">
        <f t="shared" ca="1" si="49"/>
        <v>17940</v>
      </c>
      <c r="G388" s="2">
        <f t="shared" ca="1" si="50"/>
        <v>1382</v>
      </c>
    </row>
    <row r="389" spans="1:7" x14ac:dyDescent="0.3">
      <c r="A389" s="5" t="str">
        <f t="shared" si="44"/>
        <v>New Balance</v>
      </c>
      <c r="B389" s="5" t="str">
        <f t="shared" si="46"/>
        <v>327</v>
      </c>
      <c r="C389" s="3">
        <f t="shared" si="45"/>
        <v>45683</v>
      </c>
      <c r="D389" s="4">
        <f t="shared" ca="1" si="47"/>
        <v>223</v>
      </c>
      <c r="E389" s="2">
        <f t="shared" ca="1" si="48"/>
        <v>1564</v>
      </c>
      <c r="F389" s="2">
        <f t="shared" ca="1" si="49"/>
        <v>33431</v>
      </c>
      <c r="G389" s="2">
        <f t="shared" ca="1" si="50"/>
        <v>1123</v>
      </c>
    </row>
    <row r="390" spans="1:7" x14ac:dyDescent="0.3">
      <c r="A390" s="5" t="str">
        <f t="shared" si="44"/>
        <v>Reebok</v>
      </c>
      <c r="B390" s="5" t="str">
        <f t="shared" si="46"/>
        <v>Question Mid</v>
      </c>
      <c r="C390" s="3">
        <f t="shared" si="45"/>
        <v>45683</v>
      </c>
      <c r="D390" s="4">
        <f t="shared" ca="1" si="47"/>
        <v>21</v>
      </c>
      <c r="E390" s="2">
        <f t="shared" ca="1" si="48"/>
        <v>5428</v>
      </c>
      <c r="F390" s="2">
        <f t="shared" ca="1" si="49"/>
        <v>24928</v>
      </c>
      <c r="G390" s="2">
        <f t="shared" ca="1" si="50"/>
        <v>1764</v>
      </c>
    </row>
    <row r="391" spans="1:7" x14ac:dyDescent="0.3">
      <c r="A391" s="5" t="str">
        <f t="shared" si="44"/>
        <v>Nike</v>
      </c>
      <c r="B391" s="5" t="str">
        <f t="shared" si="46"/>
        <v>Air Max 270</v>
      </c>
      <c r="C391" s="3">
        <f t="shared" si="45"/>
        <v>45683</v>
      </c>
      <c r="D391" s="4">
        <f t="shared" ca="1" si="47"/>
        <v>250</v>
      </c>
      <c r="E391" s="2">
        <f t="shared" ca="1" si="48"/>
        <v>11503</v>
      </c>
      <c r="F391" s="2">
        <f t="shared" ca="1" si="49"/>
        <v>12771</v>
      </c>
      <c r="G391" s="2">
        <f t="shared" ca="1" si="50"/>
        <v>407</v>
      </c>
    </row>
    <row r="392" spans="1:7" x14ac:dyDescent="0.3">
      <c r="A392" s="5" t="str">
        <f t="shared" si="44"/>
        <v>Adidas</v>
      </c>
      <c r="B392" s="5" t="str">
        <f t="shared" si="46"/>
        <v>Stan Smith</v>
      </c>
      <c r="C392" s="3">
        <f t="shared" si="45"/>
        <v>45684</v>
      </c>
      <c r="D392" s="4">
        <f t="shared" ca="1" si="47"/>
        <v>41</v>
      </c>
      <c r="E392" s="2">
        <f t="shared" ca="1" si="48"/>
        <v>3789</v>
      </c>
      <c r="F392" s="2">
        <f t="shared" ca="1" si="49"/>
        <v>20231</v>
      </c>
      <c r="G392" s="2">
        <f t="shared" ca="1" si="50"/>
        <v>709</v>
      </c>
    </row>
    <row r="393" spans="1:7" x14ac:dyDescent="0.3">
      <c r="A393" s="5" t="str">
        <f t="shared" si="44"/>
        <v>Puma</v>
      </c>
      <c r="B393" s="5" t="str">
        <f t="shared" si="46"/>
        <v>Cali Dream</v>
      </c>
      <c r="C393" s="3">
        <f t="shared" si="45"/>
        <v>45684</v>
      </c>
      <c r="D393" s="4">
        <f t="shared" ca="1" si="47"/>
        <v>52</v>
      </c>
      <c r="E393" s="2">
        <f t="shared" ca="1" si="48"/>
        <v>6640</v>
      </c>
      <c r="F393" s="2">
        <f t="shared" ca="1" si="49"/>
        <v>29159</v>
      </c>
      <c r="G393" s="2">
        <f t="shared" ca="1" si="50"/>
        <v>1586</v>
      </c>
    </row>
    <row r="394" spans="1:7" x14ac:dyDescent="0.3">
      <c r="A394" s="5" t="str">
        <f t="shared" si="44"/>
        <v>New Balance</v>
      </c>
      <c r="B394" s="5" t="str">
        <f t="shared" si="46"/>
        <v>9060</v>
      </c>
      <c r="C394" s="3">
        <f t="shared" si="45"/>
        <v>45684</v>
      </c>
      <c r="D394" s="4">
        <f t="shared" ca="1" si="47"/>
        <v>65</v>
      </c>
      <c r="E394" s="2">
        <f t="shared" ca="1" si="48"/>
        <v>8587</v>
      </c>
      <c r="F394" s="2">
        <f t="shared" ca="1" si="49"/>
        <v>23100</v>
      </c>
      <c r="G394" s="2">
        <f t="shared" ca="1" si="50"/>
        <v>1131</v>
      </c>
    </row>
    <row r="395" spans="1:7" x14ac:dyDescent="0.3">
      <c r="A395" s="5" t="str">
        <f t="shared" si="44"/>
        <v>Reebok</v>
      </c>
      <c r="B395" s="5" t="str">
        <f t="shared" si="46"/>
        <v>Zig Kinetica</v>
      </c>
      <c r="C395" s="3">
        <f t="shared" si="45"/>
        <v>45684</v>
      </c>
      <c r="D395" s="4">
        <f t="shared" ca="1" si="47"/>
        <v>47</v>
      </c>
      <c r="E395" s="2">
        <f t="shared" ca="1" si="48"/>
        <v>5187</v>
      </c>
      <c r="F395" s="2">
        <f t="shared" ca="1" si="49"/>
        <v>29581</v>
      </c>
      <c r="G395" s="2">
        <f t="shared" ca="1" si="50"/>
        <v>638</v>
      </c>
    </row>
    <row r="396" spans="1:7" x14ac:dyDescent="0.3">
      <c r="A396" s="5" t="str">
        <f t="shared" si="44"/>
        <v>Nike</v>
      </c>
      <c r="B396" s="5" t="str">
        <f t="shared" si="46"/>
        <v>Jordan 1</v>
      </c>
      <c r="C396" s="3">
        <f t="shared" si="45"/>
        <v>45684</v>
      </c>
      <c r="D396" s="4">
        <f t="shared" ca="1" si="47"/>
        <v>95</v>
      </c>
      <c r="E396" s="2">
        <f t="shared" ca="1" si="48"/>
        <v>10164</v>
      </c>
      <c r="F396" s="2">
        <f t="shared" ca="1" si="49"/>
        <v>12418</v>
      </c>
      <c r="G396" s="2">
        <f t="shared" ca="1" si="50"/>
        <v>797</v>
      </c>
    </row>
    <row r="397" spans="1:7" x14ac:dyDescent="0.3">
      <c r="A397" s="5" t="str">
        <f t="shared" si="44"/>
        <v>Adidas</v>
      </c>
      <c r="B397" s="5" t="str">
        <f t="shared" si="46"/>
        <v>Ultraboost 23</v>
      </c>
      <c r="C397" s="3">
        <f t="shared" si="45"/>
        <v>45684</v>
      </c>
      <c r="D397" s="4">
        <f t="shared" ca="1" si="47"/>
        <v>223</v>
      </c>
      <c r="E397" s="2">
        <f t="shared" ca="1" si="48"/>
        <v>3055</v>
      </c>
      <c r="F397" s="2">
        <f t="shared" ca="1" si="49"/>
        <v>12317</v>
      </c>
      <c r="G397" s="2">
        <f t="shared" ca="1" si="50"/>
        <v>740</v>
      </c>
    </row>
    <row r="398" spans="1:7" x14ac:dyDescent="0.3">
      <c r="A398" s="5" t="str">
        <f t="shared" si="44"/>
        <v>Puma</v>
      </c>
      <c r="B398" s="5" t="str">
        <f t="shared" si="46"/>
        <v>RS-X</v>
      </c>
      <c r="C398" s="3">
        <f t="shared" si="45"/>
        <v>45684</v>
      </c>
      <c r="D398" s="4">
        <f t="shared" ca="1" si="47"/>
        <v>95</v>
      </c>
      <c r="E398" s="2">
        <f t="shared" ca="1" si="48"/>
        <v>4009</v>
      </c>
      <c r="F398" s="2">
        <f t="shared" ca="1" si="49"/>
        <v>15795</v>
      </c>
      <c r="G398" s="2">
        <f t="shared" ca="1" si="50"/>
        <v>589</v>
      </c>
    </row>
    <row r="399" spans="1:7" x14ac:dyDescent="0.3">
      <c r="A399" s="5" t="str">
        <f t="shared" si="44"/>
        <v>New Balance</v>
      </c>
      <c r="B399" s="5" t="str">
        <f t="shared" si="46"/>
        <v>2002R</v>
      </c>
      <c r="C399" s="3">
        <f t="shared" si="45"/>
        <v>45684</v>
      </c>
      <c r="D399" s="4">
        <f t="shared" ca="1" si="47"/>
        <v>50</v>
      </c>
      <c r="E399" s="2">
        <f t="shared" ca="1" si="48"/>
        <v>8802</v>
      </c>
      <c r="F399" s="2">
        <f t="shared" ca="1" si="49"/>
        <v>21951</v>
      </c>
      <c r="G399" s="2">
        <f t="shared" ca="1" si="50"/>
        <v>1430</v>
      </c>
    </row>
    <row r="400" spans="1:7" x14ac:dyDescent="0.3">
      <c r="A400" s="5" t="str">
        <f t="shared" si="44"/>
        <v>Reebok</v>
      </c>
      <c r="B400" s="5" t="str">
        <f t="shared" si="46"/>
        <v>Instapump Fury</v>
      </c>
      <c r="C400" s="3">
        <f t="shared" si="45"/>
        <v>45684</v>
      </c>
      <c r="D400" s="4">
        <f t="shared" ca="1" si="47"/>
        <v>134</v>
      </c>
      <c r="E400" s="2">
        <f t="shared" ca="1" si="48"/>
        <v>8857</v>
      </c>
      <c r="F400" s="2">
        <f t="shared" ca="1" si="49"/>
        <v>10598</v>
      </c>
      <c r="G400" s="2">
        <f t="shared" ca="1" si="50"/>
        <v>504</v>
      </c>
    </row>
    <row r="401" spans="1:7" x14ac:dyDescent="0.3">
      <c r="A401" s="5" t="str">
        <f t="shared" si="44"/>
        <v>Nike</v>
      </c>
      <c r="B401" s="5" t="str">
        <f t="shared" si="46"/>
        <v>Cortez</v>
      </c>
      <c r="C401" s="3">
        <f t="shared" si="45"/>
        <v>45684</v>
      </c>
      <c r="D401" s="4">
        <f t="shared" ca="1" si="47"/>
        <v>188</v>
      </c>
      <c r="E401" s="2">
        <f t="shared" ca="1" si="48"/>
        <v>5840</v>
      </c>
      <c r="F401" s="2">
        <f t="shared" ca="1" si="49"/>
        <v>16821</v>
      </c>
      <c r="G401" s="2">
        <f t="shared" ca="1" si="50"/>
        <v>393</v>
      </c>
    </row>
    <row r="402" spans="1:7" x14ac:dyDescent="0.3">
      <c r="A402" s="5" t="str">
        <f t="shared" si="44"/>
        <v>Adidas</v>
      </c>
      <c r="B402" s="5" t="str">
        <f t="shared" si="46"/>
        <v>NMD S1</v>
      </c>
      <c r="C402" s="3">
        <f t="shared" si="45"/>
        <v>45684</v>
      </c>
      <c r="D402" s="4">
        <f t="shared" ca="1" si="47"/>
        <v>159</v>
      </c>
      <c r="E402" s="2">
        <f t="shared" ca="1" si="48"/>
        <v>3754</v>
      </c>
      <c r="F402" s="2">
        <f t="shared" ca="1" si="49"/>
        <v>20026</v>
      </c>
      <c r="G402" s="2">
        <f t="shared" ca="1" si="50"/>
        <v>1581</v>
      </c>
    </row>
    <row r="403" spans="1:7" x14ac:dyDescent="0.3">
      <c r="A403" s="5" t="str">
        <f t="shared" si="44"/>
        <v>Puma</v>
      </c>
      <c r="B403" s="5" t="str">
        <f t="shared" si="46"/>
        <v>Suede Classic</v>
      </c>
      <c r="C403" s="3">
        <f t="shared" si="45"/>
        <v>45684</v>
      </c>
      <c r="D403" s="4">
        <f t="shared" ca="1" si="47"/>
        <v>153</v>
      </c>
      <c r="E403" s="2">
        <f t="shared" ca="1" si="48"/>
        <v>2941</v>
      </c>
      <c r="F403" s="2">
        <f t="shared" ca="1" si="49"/>
        <v>9532</v>
      </c>
      <c r="G403" s="2">
        <f t="shared" ca="1" si="50"/>
        <v>684</v>
      </c>
    </row>
    <row r="404" spans="1:7" x14ac:dyDescent="0.3">
      <c r="A404" s="5" t="str">
        <f t="shared" si="44"/>
        <v>New Balance</v>
      </c>
      <c r="B404" s="5" t="str">
        <f t="shared" si="46"/>
        <v>990v6</v>
      </c>
      <c r="C404" s="3">
        <f t="shared" si="45"/>
        <v>45684</v>
      </c>
      <c r="D404" s="4">
        <f t="shared" ca="1" si="47"/>
        <v>136</v>
      </c>
      <c r="E404" s="2">
        <f t="shared" ca="1" si="48"/>
        <v>3450</v>
      </c>
      <c r="F404" s="2">
        <f t="shared" ca="1" si="49"/>
        <v>34362</v>
      </c>
      <c r="G404" s="2">
        <f t="shared" ca="1" si="50"/>
        <v>1232</v>
      </c>
    </row>
    <row r="405" spans="1:7" x14ac:dyDescent="0.3">
      <c r="A405" s="5" t="str">
        <f t="shared" si="44"/>
        <v>Reebok</v>
      </c>
      <c r="B405" s="5" t="str">
        <f t="shared" si="46"/>
        <v>Nano X3</v>
      </c>
      <c r="C405" s="3">
        <f t="shared" si="45"/>
        <v>45684</v>
      </c>
      <c r="D405" s="4">
        <f t="shared" ca="1" si="47"/>
        <v>113</v>
      </c>
      <c r="E405" s="2">
        <f t="shared" ca="1" si="48"/>
        <v>5212</v>
      </c>
      <c r="F405" s="2">
        <f t="shared" ca="1" si="49"/>
        <v>14623</v>
      </c>
      <c r="G405" s="2">
        <f t="shared" ca="1" si="50"/>
        <v>926</v>
      </c>
    </row>
    <row r="406" spans="1:7" x14ac:dyDescent="0.3">
      <c r="A406" s="5" t="str">
        <f t="shared" si="44"/>
        <v>Nike</v>
      </c>
      <c r="B406" s="5" t="str">
        <f t="shared" si="46"/>
        <v>Vaporfly 3</v>
      </c>
      <c r="C406" s="3">
        <f t="shared" si="45"/>
        <v>45684</v>
      </c>
      <c r="D406" s="4">
        <f t="shared" ca="1" si="47"/>
        <v>69</v>
      </c>
      <c r="E406" s="2">
        <f t="shared" ca="1" si="48"/>
        <v>9727</v>
      </c>
      <c r="F406" s="2">
        <f t="shared" ca="1" si="49"/>
        <v>30555</v>
      </c>
      <c r="G406" s="2">
        <f t="shared" ca="1" si="50"/>
        <v>940</v>
      </c>
    </row>
    <row r="407" spans="1:7" x14ac:dyDescent="0.3">
      <c r="A407" s="5" t="str">
        <f t="shared" si="44"/>
        <v>Adidas</v>
      </c>
      <c r="B407" s="5" t="str">
        <f t="shared" si="46"/>
        <v>Samba</v>
      </c>
      <c r="C407" s="3">
        <f t="shared" si="45"/>
        <v>45685</v>
      </c>
      <c r="D407" s="4">
        <f t="shared" ca="1" si="47"/>
        <v>73</v>
      </c>
      <c r="E407" s="2">
        <f t="shared" ca="1" si="48"/>
        <v>6795</v>
      </c>
      <c r="F407" s="2">
        <f t="shared" ca="1" si="49"/>
        <v>29329</v>
      </c>
      <c r="G407" s="2">
        <f t="shared" ca="1" si="50"/>
        <v>1928</v>
      </c>
    </row>
    <row r="408" spans="1:7" x14ac:dyDescent="0.3">
      <c r="A408" s="5" t="str">
        <f t="shared" si="44"/>
        <v>Puma</v>
      </c>
      <c r="B408" s="5" t="str">
        <f t="shared" si="46"/>
        <v>Mayze</v>
      </c>
      <c r="C408" s="3">
        <f t="shared" si="45"/>
        <v>45685</v>
      </c>
      <c r="D408" s="4">
        <f t="shared" ca="1" si="47"/>
        <v>49</v>
      </c>
      <c r="E408" s="2">
        <f t="shared" ca="1" si="48"/>
        <v>3559</v>
      </c>
      <c r="F408" s="2">
        <f t="shared" ca="1" si="49"/>
        <v>28728</v>
      </c>
      <c r="G408" s="2">
        <f t="shared" ca="1" si="50"/>
        <v>1000</v>
      </c>
    </row>
    <row r="409" spans="1:7" x14ac:dyDescent="0.3">
      <c r="A409" s="5" t="str">
        <f t="shared" si="44"/>
        <v>New Balance</v>
      </c>
      <c r="B409" s="5" t="str">
        <f t="shared" si="46"/>
        <v>574 Core</v>
      </c>
      <c r="C409" s="3">
        <f t="shared" si="45"/>
        <v>45685</v>
      </c>
      <c r="D409" s="4">
        <f t="shared" ca="1" si="47"/>
        <v>113</v>
      </c>
      <c r="E409" s="2">
        <f t="shared" ca="1" si="48"/>
        <v>6153</v>
      </c>
      <c r="F409" s="2">
        <f t="shared" ca="1" si="49"/>
        <v>25429</v>
      </c>
      <c r="G409" s="2">
        <f t="shared" ca="1" si="50"/>
        <v>1807</v>
      </c>
    </row>
    <row r="410" spans="1:7" x14ac:dyDescent="0.3">
      <c r="A410" s="5" t="str">
        <f t="shared" si="44"/>
        <v>Reebok</v>
      </c>
      <c r="B410" s="5" t="str">
        <f t="shared" si="46"/>
        <v>Club C 85</v>
      </c>
      <c r="C410" s="3">
        <f t="shared" si="45"/>
        <v>45685</v>
      </c>
      <c r="D410" s="4">
        <f t="shared" ca="1" si="47"/>
        <v>158</v>
      </c>
      <c r="E410" s="2">
        <f t="shared" ca="1" si="48"/>
        <v>7480</v>
      </c>
      <c r="F410" s="2">
        <f t="shared" ca="1" si="49"/>
        <v>14797</v>
      </c>
      <c r="G410" s="2">
        <f t="shared" ca="1" si="50"/>
        <v>316</v>
      </c>
    </row>
    <row r="411" spans="1:7" x14ac:dyDescent="0.3">
      <c r="A411" s="5" t="str">
        <f t="shared" si="44"/>
        <v>Nike</v>
      </c>
      <c r="B411" s="5" t="str">
        <f t="shared" si="46"/>
        <v>Pegasus 40</v>
      </c>
      <c r="C411" s="3">
        <f t="shared" si="45"/>
        <v>45685</v>
      </c>
      <c r="D411" s="4">
        <f t="shared" ca="1" si="47"/>
        <v>226</v>
      </c>
      <c r="E411" s="2">
        <f t="shared" ca="1" si="48"/>
        <v>6934</v>
      </c>
      <c r="F411" s="2">
        <f t="shared" ca="1" si="49"/>
        <v>33804</v>
      </c>
      <c r="G411" s="2">
        <f t="shared" ca="1" si="50"/>
        <v>1960</v>
      </c>
    </row>
    <row r="412" spans="1:7" x14ac:dyDescent="0.3">
      <c r="A412" s="5" t="str">
        <f t="shared" si="44"/>
        <v>Adidas</v>
      </c>
      <c r="B412" s="5" t="str">
        <f t="shared" si="46"/>
        <v>Gazelle</v>
      </c>
      <c r="C412" s="3">
        <f t="shared" si="45"/>
        <v>45685</v>
      </c>
      <c r="D412" s="4">
        <f t="shared" ca="1" si="47"/>
        <v>249</v>
      </c>
      <c r="E412" s="2">
        <f t="shared" ca="1" si="48"/>
        <v>8836</v>
      </c>
      <c r="F412" s="2">
        <f t="shared" ca="1" si="49"/>
        <v>6476</v>
      </c>
      <c r="G412" s="2">
        <f t="shared" ca="1" si="50"/>
        <v>457</v>
      </c>
    </row>
    <row r="413" spans="1:7" x14ac:dyDescent="0.3">
      <c r="A413" s="5" t="str">
        <f t="shared" si="44"/>
        <v>Puma</v>
      </c>
      <c r="B413" s="5" t="str">
        <f t="shared" si="46"/>
        <v>Slipstream</v>
      </c>
      <c r="C413" s="3">
        <f t="shared" si="45"/>
        <v>45685</v>
      </c>
      <c r="D413" s="4">
        <f t="shared" ca="1" si="47"/>
        <v>183</v>
      </c>
      <c r="E413" s="2">
        <f t="shared" ca="1" si="48"/>
        <v>7559</v>
      </c>
      <c r="F413" s="2">
        <f t="shared" ca="1" si="49"/>
        <v>34010</v>
      </c>
      <c r="G413" s="2">
        <f t="shared" ca="1" si="50"/>
        <v>1807</v>
      </c>
    </row>
    <row r="414" spans="1:7" x14ac:dyDescent="0.3">
      <c r="A414" s="5" t="str">
        <f t="shared" si="44"/>
        <v>New Balance</v>
      </c>
      <c r="B414" s="5" t="str">
        <f t="shared" si="46"/>
        <v>550</v>
      </c>
      <c r="C414" s="3">
        <f t="shared" si="45"/>
        <v>45685</v>
      </c>
      <c r="D414" s="4">
        <f t="shared" ca="1" si="47"/>
        <v>88</v>
      </c>
      <c r="E414" s="2">
        <f t="shared" ca="1" si="48"/>
        <v>7587</v>
      </c>
      <c r="F414" s="2">
        <f t="shared" ca="1" si="49"/>
        <v>8864</v>
      </c>
      <c r="G414" s="2">
        <f t="shared" ca="1" si="50"/>
        <v>642</v>
      </c>
    </row>
    <row r="415" spans="1:7" x14ac:dyDescent="0.3">
      <c r="A415" s="5" t="str">
        <f t="shared" si="44"/>
        <v>Reebok</v>
      </c>
      <c r="B415" s="5" t="str">
        <f t="shared" si="46"/>
        <v>Classic Leather</v>
      </c>
      <c r="C415" s="3">
        <f t="shared" si="45"/>
        <v>45685</v>
      </c>
      <c r="D415" s="4">
        <f t="shared" ca="1" si="47"/>
        <v>171</v>
      </c>
      <c r="E415" s="2">
        <f t="shared" ca="1" si="48"/>
        <v>4360</v>
      </c>
      <c r="F415" s="2">
        <f t="shared" ca="1" si="49"/>
        <v>13334</v>
      </c>
      <c r="G415" s="2">
        <f t="shared" ca="1" si="50"/>
        <v>816</v>
      </c>
    </row>
    <row r="416" spans="1:7" x14ac:dyDescent="0.3">
      <c r="A416" s="5" t="str">
        <f t="shared" si="44"/>
        <v>Nike</v>
      </c>
      <c r="B416" s="5" t="str">
        <f t="shared" si="46"/>
        <v>Air Force 1</v>
      </c>
      <c r="C416" s="3">
        <f t="shared" si="45"/>
        <v>45685</v>
      </c>
      <c r="D416" s="4">
        <f t="shared" ca="1" si="47"/>
        <v>134</v>
      </c>
      <c r="E416" s="2">
        <f t="shared" ca="1" si="48"/>
        <v>11573</v>
      </c>
      <c r="F416" s="2">
        <f t="shared" ca="1" si="49"/>
        <v>33073</v>
      </c>
      <c r="G416" s="2">
        <f t="shared" ca="1" si="50"/>
        <v>1836</v>
      </c>
    </row>
    <row r="417" spans="1:7" x14ac:dyDescent="0.3">
      <c r="A417" s="5" t="str">
        <f t="shared" si="44"/>
        <v>Adidas</v>
      </c>
      <c r="B417" s="5" t="str">
        <f t="shared" si="46"/>
        <v>Superstar</v>
      </c>
      <c r="C417" s="3">
        <f t="shared" si="45"/>
        <v>45685</v>
      </c>
      <c r="D417" s="4">
        <f t="shared" ca="1" si="47"/>
        <v>97</v>
      </c>
      <c r="E417" s="2">
        <f t="shared" ca="1" si="48"/>
        <v>6683</v>
      </c>
      <c r="F417" s="2">
        <f t="shared" ca="1" si="49"/>
        <v>11595</v>
      </c>
      <c r="G417" s="2">
        <f t="shared" ca="1" si="50"/>
        <v>689</v>
      </c>
    </row>
    <row r="418" spans="1:7" x14ac:dyDescent="0.3">
      <c r="A418" s="5" t="str">
        <f t="shared" si="44"/>
        <v>Puma</v>
      </c>
      <c r="B418" s="5" t="str">
        <f t="shared" si="46"/>
        <v>Rider Vintage</v>
      </c>
      <c r="C418" s="3">
        <f t="shared" si="45"/>
        <v>45685</v>
      </c>
      <c r="D418" s="4">
        <f t="shared" ca="1" si="47"/>
        <v>144</v>
      </c>
      <c r="E418" s="2">
        <f t="shared" ca="1" si="48"/>
        <v>7171</v>
      </c>
      <c r="F418" s="2">
        <f t="shared" ca="1" si="49"/>
        <v>26862</v>
      </c>
      <c r="G418" s="2">
        <f t="shared" ca="1" si="50"/>
        <v>1039</v>
      </c>
    </row>
    <row r="419" spans="1:7" x14ac:dyDescent="0.3">
      <c r="A419" s="5" t="str">
        <f t="shared" si="44"/>
        <v>New Balance</v>
      </c>
      <c r="B419" s="5" t="str">
        <f t="shared" si="46"/>
        <v>327</v>
      </c>
      <c r="C419" s="3">
        <f t="shared" si="45"/>
        <v>45685</v>
      </c>
      <c r="D419" s="4">
        <f t="shared" ca="1" si="47"/>
        <v>225</v>
      </c>
      <c r="E419" s="2">
        <f t="shared" ca="1" si="48"/>
        <v>5643</v>
      </c>
      <c r="F419" s="2">
        <f t="shared" ca="1" si="49"/>
        <v>28942</v>
      </c>
      <c r="G419" s="2">
        <f t="shared" ca="1" si="50"/>
        <v>1740</v>
      </c>
    </row>
    <row r="420" spans="1:7" x14ac:dyDescent="0.3">
      <c r="A420" s="5" t="str">
        <f t="shared" si="44"/>
        <v>Reebok</v>
      </c>
      <c r="B420" s="5" t="str">
        <f t="shared" si="46"/>
        <v>Question Mid</v>
      </c>
      <c r="C420" s="3">
        <f t="shared" si="45"/>
        <v>45685</v>
      </c>
      <c r="D420" s="4">
        <f t="shared" ca="1" si="47"/>
        <v>103</v>
      </c>
      <c r="E420" s="2">
        <f t="shared" ca="1" si="48"/>
        <v>10929</v>
      </c>
      <c r="F420" s="2">
        <f t="shared" ca="1" si="49"/>
        <v>12037</v>
      </c>
      <c r="G420" s="2">
        <f t="shared" ca="1" si="50"/>
        <v>468</v>
      </c>
    </row>
    <row r="421" spans="1:7" x14ac:dyDescent="0.3">
      <c r="A421" s="5" t="str">
        <f t="shared" si="44"/>
        <v>Nike</v>
      </c>
      <c r="B421" s="5" t="str">
        <f t="shared" si="46"/>
        <v>Air Max 270</v>
      </c>
      <c r="C421" s="3">
        <f t="shared" si="45"/>
        <v>45685</v>
      </c>
      <c r="D421" s="4">
        <f t="shared" ca="1" si="47"/>
        <v>73</v>
      </c>
      <c r="E421" s="2">
        <f t="shared" ca="1" si="48"/>
        <v>10069</v>
      </c>
      <c r="F421" s="2">
        <f t="shared" ca="1" si="49"/>
        <v>26135</v>
      </c>
      <c r="G421" s="2">
        <f t="shared" ca="1" si="50"/>
        <v>1305</v>
      </c>
    </row>
    <row r="422" spans="1:7" x14ac:dyDescent="0.3">
      <c r="A422" s="5" t="str">
        <f t="shared" si="44"/>
        <v>Adidas</v>
      </c>
      <c r="B422" s="5" t="str">
        <f t="shared" si="46"/>
        <v>Stan Smith</v>
      </c>
      <c r="C422" s="3">
        <f t="shared" si="45"/>
        <v>45686</v>
      </c>
      <c r="D422" s="4">
        <f t="shared" ca="1" si="47"/>
        <v>82</v>
      </c>
      <c r="E422" s="2">
        <f t="shared" ca="1" si="48"/>
        <v>8985</v>
      </c>
      <c r="F422" s="2">
        <f t="shared" ca="1" si="49"/>
        <v>31557</v>
      </c>
      <c r="G422" s="2">
        <f t="shared" ca="1" si="50"/>
        <v>1964</v>
      </c>
    </row>
    <row r="423" spans="1:7" x14ac:dyDescent="0.3">
      <c r="A423" s="5" t="str">
        <f t="shared" si="44"/>
        <v>Puma</v>
      </c>
      <c r="B423" s="5" t="str">
        <f t="shared" si="46"/>
        <v>Cali Dream</v>
      </c>
      <c r="C423" s="3">
        <f t="shared" si="45"/>
        <v>45686</v>
      </c>
      <c r="D423" s="4">
        <f t="shared" ca="1" si="47"/>
        <v>118</v>
      </c>
      <c r="E423" s="2">
        <f t="shared" ca="1" si="48"/>
        <v>2195</v>
      </c>
      <c r="F423" s="2">
        <f t="shared" ca="1" si="49"/>
        <v>28564</v>
      </c>
      <c r="G423" s="2">
        <f t="shared" ca="1" si="50"/>
        <v>2008</v>
      </c>
    </row>
    <row r="424" spans="1:7" x14ac:dyDescent="0.3">
      <c r="A424" s="5" t="str">
        <f t="shared" si="44"/>
        <v>New Balance</v>
      </c>
      <c r="B424" s="5" t="str">
        <f t="shared" si="46"/>
        <v>9060</v>
      </c>
      <c r="C424" s="3">
        <f t="shared" si="45"/>
        <v>45686</v>
      </c>
      <c r="D424" s="4">
        <f t="shared" ca="1" si="47"/>
        <v>119</v>
      </c>
      <c r="E424" s="2">
        <f t="shared" ca="1" si="48"/>
        <v>6124</v>
      </c>
      <c r="F424" s="2">
        <f t="shared" ca="1" si="49"/>
        <v>5863</v>
      </c>
      <c r="G424" s="2">
        <f t="shared" ca="1" si="50"/>
        <v>382</v>
      </c>
    </row>
    <row r="425" spans="1:7" x14ac:dyDescent="0.3">
      <c r="A425" s="5" t="str">
        <f t="shared" si="44"/>
        <v>Reebok</v>
      </c>
      <c r="B425" s="5" t="str">
        <f t="shared" si="46"/>
        <v>Zig Kinetica</v>
      </c>
      <c r="C425" s="3">
        <f t="shared" si="45"/>
        <v>45686</v>
      </c>
      <c r="D425" s="4">
        <f t="shared" ca="1" si="47"/>
        <v>130</v>
      </c>
      <c r="E425" s="2">
        <f t="shared" ca="1" si="48"/>
        <v>11387</v>
      </c>
      <c r="F425" s="2">
        <f t="shared" ca="1" si="49"/>
        <v>13563</v>
      </c>
      <c r="G425" s="2">
        <f t="shared" ca="1" si="50"/>
        <v>345</v>
      </c>
    </row>
    <row r="426" spans="1:7" x14ac:dyDescent="0.3">
      <c r="A426" s="5" t="str">
        <f t="shared" si="44"/>
        <v>Nike</v>
      </c>
      <c r="B426" s="5" t="str">
        <f t="shared" si="46"/>
        <v>Jordan 1</v>
      </c>
      <c r="C426" s="3">
        <f t="shared" si="45"/>
        <v>45686</v>
      </c>
      <c r="D426" s="4">
        <f t="shared" ca="1" si="47"/>
        <v>102</v>
      </c>
      <c r="E426" s="2">
        <f t="shared" ca="1" si="48"/>
        <v>2782</v>
      </c>
      <c r="F426" s="2">
        <f t="shared" ca="1" si="49"/>
        <v>20648</v>
      </c>
      <c r="G426" s="2">
        <f t="shared" ca="1" si="50"/>
        <v>1205</v>
      </c>
    </row>
    <row r="427" spans="1:7" x14ac:dyDescent="0.3">
      <c r="A427" s="5" t="str">
        <f t="shared" ref="A427:A490" si="51">CHOOSE(MOD(ROW(A426),5)+1,"Nike","Adidas","Puma","New Balance","Reebok")</f>
        <v>Adidas</v>
      </c>
      <c r="B427" s="5" t="str">
        <f t="shared" si="46"/>
        <v>Ultraboost 23</v>
      </c>
      <c r="C427" s="3">
        <f t="shared" ref="C427:C490" si="52">DATE(2025,1,1)+INT((ROW(A427)-2)/15)</f>
        <v>45686</v>
      </c>
      <c r="D427" s="4">
        <f t="shared" ca="1" si="47"/>
        <v>191</v>
      </c>
      <c r="E427" s="2">
        <f t="shared" ca="1" si="48"/>
        <v>1712</v>
      </c>
      <c r="F427" s="2">
        <f t="shared" ca="1" si="49"/>
        <v>27688</v>
      </c>
      <c r="G427" s="2">
        <f t="shared" ca="1" si="50"/>
        <v>945</v>
      </c>
    </row>
    <row r="428" spans="1:7" x14ac:dyDescent="0.3">
      <c r="A428" s="5" t="str">
        <f t="shared" si="51"/>
        <v>Puma</v>
      </c>
      <c r="B428" s="5" t="str">
        <f t="shared" si="46"/>
        <v>RS-X</v>
      </c>
      <c r="C428" s="3">
        <f t="shared" si="52"/>
        <v>45686</v>
      </c>
      <c r="D428" s="4">
        <f t="shared" ca="1" si="47"/>
        <v>224</v>
      </c>
      <c r="E428" s="2">
        <f t="shared" ca="1" si="48"/>
        <v>9534</v>
      </c>
      <c r="F428" s="2">
        <f t="shared" ca="1" si="49"/>
        <v>29639</v>
      </c>
      <c r="G428" s="2">
        <f t="shared" ca="1" si="50"/>
        <v>1865</v>
      </c>
    </row>
    <row r="429" spans="1:7" x14ac:dyDescent="0.3">
      <c r="A429" s="5" t="str">
        <f t="shared" si="51"/>
        <v>New Balance</v>
      </c>
      <c r="B429" s="5" t="str">
        <f t="shared" si="46"/>
        <v>2002R</v>
      </c>
      <c r="C429" s="3">
        <f t="shared" si="52"/>
        <v>45686</v>
      </c>
      <c r="D429" s="4">
        <f t="shared" ca="1" si="47"/>
        <v>248</v>
      </c>
      <c r="E429" s="2">
        <f t="shared" ca="1" si="48"/>
        <v>11598</v>
      </c>
      <c r="F429" s="2">
        <f t="shared" ca="1" si="49"/>
        <v>13039</v>
      </c>
      <c r="G429" s="2">
        <f t="shared" ca="1" si="50"/>
        <v>367</v>
      </c>
    </row>
    <row r="430" spans="1:7" x14ac:dyDescent="0.3">
      <c r="A430" s="5" t="str">
        <f t="shared" si="51"/>
        <v>Reebok</v>
      </c>
      <c r="B430" s="5" t="str">
        <f t="shared" si="46"/>
        <v>Instapump Fury</v>
      </c>
      <c r="C430" s="3">
        <f t="shared" si="52"/>
        <v>45686</v>
      </c>
      <c r="D430" s="4">
        <f t="shared" ca="1" si="47"/>
        <v>171</v>
      </c>
      <c r="E430" s="2">
        <f t="shared" ca="1" si="48"/>
        <v>2581</v>
      </c>
      <c r="F430" s="2">
        <f t="shared" ca="1" si="49"/>
        <v>27673</v>
      </c>
      <c r="G430" s="2">
        <f t="shared" ca="1" si="50"/>
        <v>905</v>
      </c>
    </row>
    <row r="431" spans="1:7" x14ac:dyDescent="0.3">
      <c r="A431" s="5" t="str">
        <f t="shared" si="51"/>
        <v>Nike</v>
      </c>
      <c r="B431" s="5" t="str">
        <f t="shared" si="46"/>
        <v>Cortez</v>
      </c>
      <c r="C431" s="3">
        <f t="shared" si="52"/>
        <v>45686</v>
      </c>
      <c r="D431" s="4">
        <f t="shared" ca="1" si="47"/>
        <v>242</v>
      </c>
      <c r="E431" s="2">
        <f t="shared" ca="1" si="48"/>
        <v>1812</v>
      </c>
      <c r="F431" s="2">
        <f t="shared" ca="1" si="49"/>
        <v>16796</v>
      </c>
      <c r="G431" s="2">
        <f t="shared" ca="1" si="50"/>
        <v>1180</v>
      </c>
    </row>
    <row r="432" spans="1:7" x14ac:dyDescent="0.3">
      <c r="A432" s="5" t="str">
        <f t="shared" si="51"/>
        <v>Adidas</v>
      </c>
      <c r="B432" s="5" t="str">
        <f t="shared" si="46"/>
        <v>NMD S1</v>
      </c>
      <c r="C432" s="3">
        <f t="shared" si="52"/>
        <v>45686</v>
      </c>
      <c r="D432" s="4">
        <f t="shared" ca="1" si="47"/>
        <v>173</v>
      </c>
      <c r="E432" s="2">
        <f t="shared" ca="1" si="48"/>
        <v>9293</v>
      </c>
      <c r="F432" s="2">
        <f t="shared" ca="1" si="49"/>
        <v>25243</v>
      </c>
      <c r="G432" s="2">
        <f t="shared" ca="1" si="50"/>
        <v>1673</v>
      </c>
    </row>
    <row r="433" spans="1:7" x14ac:dyDescent="0.3">
      <c r="A433" s="5" t="str">
        <f t="shared" si="51"/>
        <v>Puma</v>
      </c>
      <c r="B433" s="5" t="str">
        <f t="shared" si="46"/>
        <v>Suede Classic</v>
      </c>
      <c r="C433" s="3">
        <f t="shared" si="52"/>
        <v>45686</v>
      </c>
      <c r="D433" s="4">
        <f t="shared" ca="1" si="47"/>
        <v>177</v>
      </c>
      <c r="E433" s="2">
        <f t="shared" ca="1" si="48"/>
        <v>11922</v>
      </c>
      <c r="F433" s="2">
        <f t="shared" ca="1" si="49"/>
        <v>33073</v>
      </c>
      <c r="G433" s="2">
        <f t="shared" ca="1" si="50"/>
        <v>1979</v>
      </c>
    </row>
    <row r="434" spans="1:7" x14ac:dyDescent="0.3">
      <c r="A434" s="5" t="str">
        <f t="shared" si="51"/>
        <v>New Balance</v>
      </c>
      <c r="B434" s="5" t="str">
        <f t="shared" si="46"/>
        <v>990v6</v>
      </c>
      <c r="C434" s="3">
        <f t="shared" si="52"/>
        <v>45686</v>
      </c>
      <c r="D434" s="4">
        <f t="shared" ca="1" si="47"/>
        <v>137</v>
      </c>
      <c r="E434" s="2">
        <f t="shared" ca="1" si="48"/>
        <v>6364</v>
      </c>
      <c r="F434" s="2">
        <f t="shared" ca="1" si="49"/>
        <v>20083</v>
      </c>
      <c r="G434" s="2">
        <f t="shared" ca="1" si="50"/>
        <v>1117</v>
      </c>
    </row>
    <row r="435" spans="1:7" x14ac:dyDescent="0.3">
      <c r="A435" s="5" t="str">
        <f t="shared" si="51"/>
        <v>Reebok</v>
      </c>
      <c r="B435" s="5" t="str">
        <f t="shared" si="46"/>
        <v>Nano X3</v>
      </c>
      <c r="C435" s="3">
        <f t="shared" si="52"/>
        <v>45686</v>
      </c>
      <c r="D435" s="4">
        <f t="shared" ca="1" si="47"/>
        <v>118</v>
      </c>
      <c r="E435" s="2">
        <f t="shared" ca="1" si="48"/>
        <v>4811</v>
      </c>
      <c r="F435" s="2">
        <f t="shared" ca="1" si="49"/>
        <v>33968</v>
      </c>
      <c r="G435" s="2">
        <f t="shared" ca="1" si="50"/>
        <v>1246</v>
      </c>
    </row>
    <row r="436" spans="1:7" x14ac:dyDescent="0.3">
      <c r="A436" s="5" t="str">
        <f t="shared" si="51"/>
        <v>Nike</v>
      </c>
      <c r="B436" s="5" t="str">
        <f t="shared" si="46"/>
        <v>Vaporfly 3</v>
      </c>
      <c r="C436" s="3">
        <f t="shared" si="52"/>
        <v>45686</v>
      </c>
      <c r="D436" s="4">
        <f t="shared" ca="1" si="47"/>
        <v>30</v>
      </c>
      <c r="E436" s="2">
        <f t="shared" ca="1" si="48"/>
        <v>6480</v>
      </c>
      <c r="F436" s="2">
        <f t="shared" ca="1" si="49"/>
        <v>30739</v>
      </c>
      <c r="G436" s="2">
        <f t="shared" ca="1" si="50"/>
        <v>1165</v>
      </c>
    </row>
    <row r="437" spans="1:7" x14ac:dyDescent="0.3">
      <c r="A437" s="5" t="str">
        <f t="shared" si="51"/>
        <v>Adidas</v>
      </c>
      <c r="B437" s="5" t="str">
        <f t="shared" si="46"/>
        <v>Samba</v>
      </c>
      <c r="C437" s="3">
        <f t="shared" si="52"/>
        <v>45687</v>
      </c>
      <c r="D437" s="4">
        <f t="shared" ca="1" si="47"/>
        <v>33</v>
      </c>
      <c r="E437" s="2">
        <f t="shared" ca="1" si="48"/>
        <v>9914</v>
      </c>
      <c r="F437" s="2">
        <f t="shared" ca="1" si="49"/>
        <v>31976</v>
      </c>
      <c r="G437" s="2">
        <f t="shared" ca="1" si="50"/>
        <v>2146</v>
      </c>
    </row>
    <row r="438" spans="1:7" x14ac:dyDescent="0.3">
      <c r="A438" s="5" t="str">
        <f t="shared" si="51"/>
        <v>Puma</v>
      </c>
      <c r="B438" s="5" t="str">
        <f t="shared" si="46"/>
        <v>Mayze</v>
      </c>
      <c r="C438" s="3">
        <f t="shared" si="52"/>
        <v>45687</v>
      </c>
      <c r="D438" s="4">
        <f t="shared" ca="1" si="47"/>
        <v>207</v>
      </c>
      <c r="E438" s="2">
        <f t="shared" ca="1" si="48"/>
        <v>11357</v>
      </c>
      <c r="F438" s="2">
        <f t="shared" ca="1" si="49"/>
        <v>20212</v>
      </c>
      <c r="G438" s="2">
        <f t="shared" ca="1" si="50"/>
        <v>1201</v>
      </c>
    </row>
    <row r="439" spans="1:7" x14ac:dyDescent="0.3">
      <c r="A439" s="5" t="str">
        <f t="shared" si="51"/>
        <v>New Balance</v>
      </c>
      <c r="B439" s="5" t="str">
        <f t="shared" si="46"/>
        <v>574 Core</v>
      </c>
      <c r="C439" s="3">
        <f t="shared" si="52"/>
        <v>45687</v>
      </c>
      <c r="D439" s="4">
        <f t="shared" ca="1" si="47"/>
        <v>21</v>
      </c>
      <c r="E439" s="2">
        <f t="shared" ca="1" si="48"/>
        <v>3446</v>
      </c>
      <c r="F439" s="2">
        <f t="shared" ca="1" si="49"/>
        <v>24989</v>
      </c>
      <c r="G439" s="2">
        <f t="shared" ca="1" si="50"/>
        <v>1850</v>
      </c>
    </row>
    <row r="440" spans="1:7" x14ac:dyDescent="0.3">
      <c r="A440" s="5" t="str">
        <f t="shared" si="51"/>
        <v>Reebok</v>
      </c>
      <c r="B440" s="5" t="str">
        <f t="shared" si="46"/>
        <v>Club C 85</v>
      </c>
      <c r="C440" s="3">
        <f t="shared" si="52"/>
        <v>45687</v>
      </c>
      <c r="D440" s="4">
        <f t="shared" ca="1" si="47"/>
        <v>68</v>
      </c>
      <c r="E440" s="2">
        <f t="shared" ca="1" si="48"/>
        <v>3498</v>
      </c>
      <c r="F440" s="2">
        <f t="shared" ca="1" si="49"/>
        <v>32803</v>
      </c>
      <c r="G440" s="2">
        <f t="shared" ca="1" si="50"/>
        <v>2518</v>
      </c>
    </row>
    <row r="441" spans="1:7" x14ac:dyDescent="0.3">
      <c r="A441" s="5" t="str">
        <f t="shared" si="51"/>
        <v>Nike</v>
      </c>
      <c r="B441" s="5" t="str">
        <f t="shared" si="46"/>
        <v>Pegasus 40</v>
      </c>
      <c r="C441" s="3">
        <f t="shared" si="52"/>
        <v>45687</v>
      </c>
      <c r="D441" s="4">
        <f t="shared" ca="1" si="47"/>
        <v>154</v>
      </c>
      <c r="E441" s="2">
        <f t="shared" ca="1" si="48"/>
        <v>2858</v>
      </c>
      <c r="F441" s="2">
        <f t="shared" ca="1" si="49"/>
        <v>22670</v>
      </c>
      <c r="G441" s="2">
        <f t="shared" ca="1" si="50"/>
        <v>1211</v>
      </c>
    </row>
    <row r="442" spans="1:7" x14ac:dyDescent="0.3">
      <c r="A442" s="5" t="str">
        <f t="shared" si="51"/>
        <v>Adidas</v>
      </c>
      <c r="B442" s="5" t="str">
        <f t="shared" si="46"/>
        <v>Gazelle</v>
      </c>
      <c r="C442" s="3">
        <f t="shared" si="52"/>
        <v>45687</v>
      </c>
      <c r="D442" s="4">
        <f t="shared" ca="1" si="47"/>
        <v>182</v>
      </c>
      <c r="E442" s="2">
        <f t="shared" ca="1" si="48"/>
        <v>3810</v>
      </c>
      <c r="F442" s="2">
        <f t="shared" ca="1" si="49"/>
        <v>23024</v>
      </c>
      <c r="G442" s="2">
        <f t="shared" ca="1" si="50"/>
        <v>845</v>
      </c>
    </row>
    <row r="443" spans="1:7" x14ac:dyDescent="0.3">
      <c r="A443" s="5" t="str">
        <f t="shared" si="51"/>
        <v>Puma</v>
      </c>
      <c r="B443" s="5" t="str">
        <f t="shared" si="46"/>
        <v>Slipstream</v>
      </c>
      <c r="C443" s="3">
        <f t="shared" si="52"/>
        <v>45687</v>
      </c>
      <c r="D443" s="4">
        <f t="shared" ca="1" si="47"/>
        <v>96</v>
      </c>
      <c r="E443" s="2">
        <f t="shared" ca="1" si="48"/>
        <v>8826</v>
      </c>
      <c r="F443" s="2">
        <f t="shared" ca="1" si="49"/>
        <v>30161</v>
      </c>
      <c r="G443" s="2">
        <f t="shared" ca="1" si="50"/>
        <v>2029</v>
      </c>
    </row>
    <row r="444" spans="1:7" x14ac:dyDescent="0.3">
      <c r="A444" s="5" t="str">
        <f t="shared" si="51"/>
        <v>New Balance</v>
      </c>
      <c r="B444" s="5" t="str">
        <f t="shared" si="46"/>
        <v>550</v>
      </c>
      <c r="C444" s="3">
        <f t="shared" si="52"/>
        <v>45687</v>
      </c>
      <c r="D444" s="4">
        <f t="shared" ca="1" si="47"/>
        <v>138</v>
      </c>
      <c r="E444" s="2">
        <f t="shared" ca="1" si="48"/>
        <v>1886</v>
      </c>
      <c r="F444" s="2">
        <f t="shared" ca="1" si="49"/>
        <v>16830</v>
      </c>
      <c r="G444" s="2">
        <f t="shared" ca="1" si="50"/>
        <v>984</v>
      </c>
    </row>
    <row r="445" spans="1:7" x14ac:dyDescent="0.3">
      <c r="A445" s="5" t="str">
        <f t="shared" si="51"/>
        <v>Reebok</v>
      </c>
      <c r="B445" s="5" t="str">
        <f t="shared" si="46"/>
        <v>Classic Leather</v>
      </c>
      <c r="C445" s="3">
        <f t="shared" si="52"/>
        <v>45687</v>
      </c>
      <c r="D445" s="4">
        <f t="shared" ca="1" si="47"/>
        <v>81</v>
      </c>
      <c r="E445" s="2">
        <f t="shared" ca="1" si="48"/>
        <v>12080</v>
      </c>
      <c r="F445" s="2">
        <f t="shared" ca="1" si="49"/>
        <v>16436</v>
      </c>
      <c r="G445" s="2">
        <f t="shared" ca="1" si="50"/>
        <v>632</v>
      </c>
    </row>
    <row r="446" spans="1:7" x14ac:dyDescent="0.3">
      <c r="A446" s="5" t="str">
        <f t="shared" si="51"/>
        <v>Nike</v>
      </c>
      <c r="B446" s="5" t="str">
        <f t="shared" si="46"/>
        <v>Air Force 1</v>
      </c>
      <c r="C446" s="3">
        <f t="shared" si="52"/>
        <v>45687</v>
      </c>
      <c r="D446" s="4">
        <f t="shared" ca="1" si="47"/>
        <v>52</v>
      </c>
      <c r="E446" s="2">
        <f t="shared" ca="1" si="48"/>
        <v>10900</v>
      </c>
      <c r="F446" s="2">
        <f t="shared" ca="1" si="49"/>
        <v>31329</v>
      </c>
      <c r="G446" s="2">
        <f t="shared" ca="1" si="50"/>
        <v>2437</v>
      </c>
    </row>
    <row r="447" spans="1:7" x14ac:dyDescent="0.3">
      <c r="A447" s="5" t="str">
        <f t="shared" si="51"/>
        <v>Adidas</v>
      </c>
      <c r="B447" s="5" t="str">
        <f t="shared" si="46"/>
        <v>Superstar</v>
      </c>
      <c r="C447" s="3">
        <f t="shared" si="52"/>
        <v>45687</v>
      </c>
      <c r="D447" s="4">
        <f t="shared" ca="1" si="47"/>
        <v>61</v>
      </c>
      <c r="E447" s="2">
        <f t="shared" ca="1" si="48"/>
        <v>2344</v>
      </c>
      <c r="F447" s="2">
        <f t="shared" ca="1" si="49"/>
        <v>26608</v>
      </c>
      <c r="G447" s="2">
        <f t="shared" ca="1" si="50"/>
        <v>754</v>
      </c>
    </row>
    <row r="448" spans="1:7" x14ac:dyDescent="0.3">
      <c r="A448" s="5" t="str">
        <f t="shared" si="51"/>
        <v>Puma</v>
      </c>
      <c r="B448" s="5" t="str">
        <f t="shared" si="46"/>
        <v>Rider Vintage</v>
      </c>
      <c r="C448" s="3">
        <f t="shared" si="52"/>
        <v>45687</v>
      </c>
      <c r="D448" s="4">
        <f t="shared" ca="1" si="47"/>
        <v>190</v>
      </c>
      <c r="E448" s="2">
        <f t="shared" ca="1" si="48"/>
        <v>11056</v>
      </c>
      <c r="F448" s="2">
        <f t="shared" ca="1" si="49"/>
        <v>23739</v>
      </c>
      <c r="G448" s="2">
        <f t="shared" ca="1" si="50"/>
        <v>649</v>
      </c>
    </row>
    <row r="449" spans="1:7" x14ac:dyDescent="0.3">
      <c r="A449" s="5" t="str">
        <f t="shared" si="51"/>
        <v>New Balance</v>
      </c>
      <c r="B449" s="5" t="str">
        <f t="shared" si="46"/>
        <v>327</v>
      </c>
      <c r="C449" s="3">
        <f t="shared" si="52"/>
        <v>45687</v>
      </c>
      <c r="D449" s="4">
        <f t="shared" ca="1" si="47"/>
        <v>119</v>
      </c>
      <c r="E449" s="2">
        <f t="shared" ca="1" si="48"/>
        <v>11322</v>
      </c>
      <c r="F449" s="2">
        <f t="shared" ca="1" si="49"/>
        <v>10458</v>
      </c>
      <c r="G449" s="2">
        <f t="shared" ca="1" si="50"/>
        <v>820</v>
      </c>
    </row>
    <row r="450" spans="1:7" x14ac:dyDescent="0.3">
      <c r="A450" s="5" t="str">
        <f t="shared" si="51"/>
        <v>Reebok</v>
      </c>
      <c r="B450" s="5" t="str">
        <f t="shared" si="46"/>
        <v>Question Mid</v>
      </c>
      <c r="C450" s="3">
        <f t="shared" si="52"/>
        <v>45687</v>
      </c>
      <c r="D450" s="4">
        <f t="shared" ca="1" si="47"/>
        <v>162</v>
      </c>
      <c r="E450" s="2">
        <f t="shared" ca="1" si="48"/>
        <v>1944</v>
      </c>
      <c r="F450" s="2">
        <f t="shared" ca="1" si="49"/>
        <v>15748</v>
      </c>
      <c r="G450" s="2">
        <f t="shared" ca="1" si="50"/>
        <v>575</v>
      </c>
    </row>
    <row r="451" spans="1:7" x14ac:dyDescent="0.3">
      <c r="A451" s="5" t="str">
        <f t="shared" si="51"/>
        <v>Nike</v>
      </c>
      <c r="B451" s="5" t="str">
        <f t="shared" ref="B451:B514" si="53">IF(A451="Nike",CHOOSE(MOD(ROW(A450),6)+1,"Air Max 270","Air Force 1","Pegasus 40","Vaporfly 3","Cortez","Jordan 1"),
 IF(A451="Adidas",CHOOSE(MOD(ROW(A450),6)+1,"Ultraboost 23","Stan Smith","Superstar","Gazelle","Samba","NMD S1"),
 IF(A451="Puma",CHOOSE(MOD(ROW(A450),6)+1,"Suede Classic","RS-X","Cali Dream","Rider Vintage","Slipstream","Mayze"),
 IF(A451="New Balance",CHOOSE(MOD(ROW(A450),6)+1,"574 Core","990v6","2002R","9060","327","550"),
 IF(A451="Reebok",CHOOSE(MOD(ROW(A450),6)+1,"Classic Leather","Club C 85","Nano X3","Instapump Fury","Zig Kinetica","Question Mid"),"")))))</f>
        <v>Air Max 270</v>
      </c>
      <c r="C451" s="3">
        <f t="shared" si="52"/>
        <v>45687</v>
      </c>
      <c r="D451" s="4">
        <f t="shared" ref="D451:D514" ca="1" si="54">RANDBETWEEN(20,250)</f>
        <v>24</v>
      </c>
      <c r="E451" s="2">
        <f t="shared" ref="E451:E514" ca="1" si="55">ROUND(RANDBETWEEN(1500,12000)+(RANDBETWEEN(-200,200)),2)</f>
        <v>9253</v>
      </c>
      <c r="F451" s="2">
        <f t="shared" ref="F451:F514" ca="1" si="56">RANDBETWEEN(5000,35000)</f>
        <v>29225</v>
      </c>
      <c r="G451" s="2">
        <f t="shared" ref="G451:G514" ca="1" si="57">RANDBETWEEN(ROUND(F451*0.02,0),ROUND(F451*0.08,0))</f>
        <v>1949</v>
      </c>
    </row>
    <row r="452" spans="1:7" x14ac:dyDescent="0.3">
      <c r="A452" s="5" t="str">
        <f t="shared" si="51"/>
        <v>Adidas</v>
      </c>
      <c r="B452" s="5" t="str">
        <f t="shared" si="53"/>
        <v>Stan Smith</v>
      </c>
      <c r="C452" s="3">
        <f t="shared" si="52"/>
        <v>45688</v>
      </c>
      <c r="D452" s="4">
        <f t="shared" ca="1" si="54"/>
        <v>102</v>
      </c>
      <c r="E452" s="2">
        <f t="shared" ca="1" si="55"/>
        <v>11063</v>
      </c>
      <c r="F452" s="2">
        <f t="shared" ca="1" si="56"/>
        <v>17530</v>
      </c>
      <c r="G452" s="2">
        <f t="shared" ca="1" si="57"/>
        <v>479</v>
      </c>
    </row>
    <row r="453" spans="1:7" x14ac:dyDescent="0.3">
      <c r="A453" s="5" t="str">
        <f t="shared" si="51"/>
        <v>Puma</v>
      </c>
      <c r="B453" s="5" t="str">
        <f t="shared" si="53"/>
        <v>Cali Dream</v>
      </c>
      <c r="C453" s="3">
        <f t="shared" si="52"/>
        <v>45688</v>
      </c>
      <c r="D453" s="4">
        <f t="shared" ca="1" si="54"/>
        <v>189</v>
      </c>
      <c r="E453" s="2">
        <f t="shared" ca="1" si="55"/>
        <v>6208</v>
      </c>
      <c r="F453" s="2">
        <f t="shared" ca="1" si="56"/>
        <v>34975</v>
      </c>
      <c r="G453" s="2">
        <f t="shared" ca="1" si="57"/>
        <v>1952</v>
      </c>
    </row>
    <row r="454" spans="1:7" x14ac:dyDescent="0.3">
      <c r="A454" s="5" t="str">
        <f t="shared" si="51"/>
        <v>New Balance</v>
      </c>
      <c r="B454" s="5" t="str">
        <f t="shared" si="53"/>
        <v>9060</v>
      </c>
      <c r="C454" s="3">
        <f t="shared" si="52"/>
        <v>45688</v>
      </c>
      <c r="D454" s="4">
        <f t="shared" ca="1" si="54"/>
        <v>50</v>
      </c>
      <c r="E454" s="2">
        <f t="shared" ca="1" si="55"/>
        <v>10929</v>
      </c>
      <c r="F454" s="2">
        <f t="shared" ca="1" si="56"/>
        <v>32817</v>
      </c>
      <c r="G454" s="2">
        <f t="shared" ca="1" si="57"/>
        <v>940</v>
      </c>
    </row>
    <row r="455" spans="1:7" x14ac:dyDescent="0.3">
      <c r="A455" s="5" t="str">
        <f t="shared" si="51"/>
        <v>Reebok</v>
      </c>
      <c r="B455" s="5" t="str">
        <f t="shared" si="53"/>
        <v>Zig Kinetica</v>
      </c>
      <c r="C455" s="3">
        <f t="shared" si="52"/>
        <v>45688</v>
      </c>
      <c r="D455" s="4">
        <f t="shared" ca="1" si="54"/>
        <v>68</v>
      </c>
      <c r="E455" s="2">
        <f t="shared" ca="1" si="55"/>
        <v>7680</v>
      </c>
      <c r="F455" s="2">
        <f t="shared" ca="1" si="56"/>
        <v>24487</v>
      </c>
      <c r="G455" s="2">
        <f t="shared" ca="1" si="57"/>
        <v>772</v>
      </c>
    </row>
    <row r="456" spans="1:7" x14ac:dyDescent="0.3">
      <c r="A456" s="5" t="str">
        <f t="shared" si="51"/>
        <v>Nike</v>
      </c>
      <c r="B456" s="5" t="str">
        <f t="shared" si="53"/>
        <v>Jordan 1</v>
      </c>
      <c r="C456" s="3">
        <f t="shared" si="52"/>
        <v>45688</v>
      </c>
      <c r="D456" s="4">
        <f t="shared" ca="1" si="54"/>
        <v>48</v>
      </c>
      <c r="E456" s="2">
        <f t="shared" ca="1" si="55"/>
        <v>9601</v>
      </c>
      <c r="F456" s="2">
        <f t="shared" ca="1" si="56"/>
        <v>14001</v>
      </c>
      <c r="G456" s="2">
        <f t="shared" ca="1" si="57"/>
        <v>1109</v>
      </c>
    </row>
    <row r="457" spans="1:7" x14ac:dyDescent="0.3">
      <c r="A457" s="5" t="str">
        <f t="shared" si="51"/>
        <v>Adidas</v>
      </c>
      <c r="B457" s="5" t="str">
        <f t="shared" si="53"/>
        <v>Ultraboost 23</v>
      </c>
      <c r="C457" s="3">
        <f t="shared" si="52"/>
        <v>45688</v>
      </c>
      <c r="D457" s="4">
        <f t="shared" ca="1" si="54"/>
        <v>92</v>
      </c>
      <c r="E457" s="2">
        <f t="shared" ca="1" si="55"/>
        <v>9608</v>
      </c>
      <c r="F457" s="2">
        <f t="shared" ca="1" si="56"/>
        <v>20234</v>
      </c>
      <c r="G457" s="2">
        <f t="shared" ca="1" si="57"/>
        <v>1146</v>
      </c>
    </row>
    <row r="458" spans="1:7" x14ac:dyDescent="0.3">
      <c r="A458" s="5" t="str">
        <f t="shared" si="51"/>
        <v>Puma</v>
      </c>
      <c r="B458" s="5" t="str">
        <f t="shared" si="53"/>
        <v>RS-X</v>
      </c>
      <c r="C458" s="3">
        <f t="shared" si="52"/>
        <v>45688</v>
      </c>
      <c r="D458" s="4">
        <f t="shared" ca="1" si="54"/>
        <v>77</v>
      </c>
      <c r="E458" s="2">
        <f t="shared" ca="1" si="55"/>
        <v>6484</v>
      </c>
      <c r="F458" s="2">
        <f t="shared" ca="1" si="56"/>
        <v>31523</v>
      </c>
      <c r="G458" s="2">
        <f t="shared" ca="1" si="57"/>
        <v>1964</v>
      </c>
    </row>
    <row r="459" spans="1:7" x14ac:dyDescent="0.3">
      <c r="A459" s="5" t="str">
        <f t="shared" si="51"/>
        <v>New Balance</v>
      </c>
      <c r="B459" s="5" t="str">
        <f t="shared" si="53"/>
        <v>2002R</v>
      </c>
      <c r="C459" s="3">
        <f t="shared" si="52"/>
        <v>45688</v>
      </c>
      <c r="D459" s="4">
        <f t="shared" ca="1" si="54"/>
        <v>197</v>
      </c>
      <c r="E459" s="2">
        <f t="shared" ca="1" si="55"/>
        <v>1969</v>
      </c>
      <c r="F459" s="2">
        <f t="shared" ca="1" si="56"/>
        <v>6208</v>
      </c>
      <c r="G459" s="2">
        <f t="shared" ca="1" si="57"/>
        <v>133</v>
      </c>
    </row>
    <row r="460" spans="1:7" x14ac:dyDescent="0.3">
      <c r="A460" s="5" t="str">
        <f t="shared" si="51"/>
        <v>Reebok</v>
      </c>
      <c r="B460" s="5" t="str">
        <f t="shared" si="53"/>
        <v>Instapump Fury</v>
      </c>
      <c r="C460" s="3">
        <f t="shared" si="52"/>
        <v>45688</v>
      </c>
      <c r="D460" s="4">
        <f t="shared" ca="1" si="54"/>
        <v>160</v>
      </c>
      <c r="E460" s="2">
        <f t="shared" ca="1" si="55"/>
        <v>10583</v>
      </c>
      <c r="F460" s="2">
        <f t="shared" ca="1" si="56"/>
        <v>17843</v>
      </c>
      <c r="G460" s="2">
        <f t="shared" ca="1" si="57"/>
        <v>690</v>
      </c>
    </row>
    <row r="461" spans="1:7" x14ac:dyDescent="0.3">
      <c r="A461" s="5" t="str">
        <f t="shared" si="51"/>
        <v>Nike</v>
      </c>
      <c r="B461" s="5" t="str">
        <f t="shared" si="53"/>
        <v>Cortez</v>
      </c>
      <c r="C461" s="3">
        <f t="shared" si="52"/>
        <v>45688</v>
      </c>
      <c r="D461" s="4">
        <f t="shared" ca="1" si="54"/>
        <v>190</v>
      </c>
      <c r="E461" s="2">
        <f t="shared" ca="1" si="55"/>
        <v>3823</v>
      </c>
      <c r="F461" s="2">
        <f t="shared" ca="1" si="56"/>
        <v>29058</v>
      </c>
      <c r="G461" s="2">
        <f t="shared" ca="1" si="57"/>
        <v>1572</v>
      </c>
    </row>
    <row r="462" spans="1:7" x14ac:dyDescent="0.3">
      <c r="A462" s="5" t="str">
        <f t="shared" si="51"/>
        <v>Adidas</v>
      </c>
      <c r="B462" s="5" t="str">
        <f t="shared" si="53"/>
        <v>NMD S1</v>
      </c>
      <c r="C462" s="3">
        <f t="shared" si="52"/>
        <v>45688</v>
      </c>
      <c r="D462" s="4">
        <f t="shared" ca="1" si="54"/>
        <v>130</v>
      </c>
      <c r="E462" s="2">
        <f t="shared" ca="1" si="55"/>
        <v>7784</v>
      </c>
      <c r="F462" s="2">
        <f t="shared" ca="1" si="56"/>
        <v>24369</v>
      </c>
      <c r="G462" s="2">
        <f t="shared" ca="1" si="57"/>
        <v>608</v>
      </c>
    </row>
    <row r="463" spans="1:7" x14ac:dyDescent="0.3">
      <c r="A463" s="5" t="str">
        <f t="shared" si="51"/>
        <v>Puma</v>
      </c>
      <c r="B463" s="5" t="str">
        <f t="shared" si="53"/>
        <v>Suede Classic</v>
      </c>
      <c r="C463" s="3">
        <f t="shared" si="52"/>
        <v>45688</v>
      </c>
      <c r="D463" s="4">
        <f t="shared" ca="1" si="54"/>
        <v>144</v>
      </c>
      <c r="E463" s="2">
        <f t="shared" ca="1" si="55"/>
        <v>4525</v>
      </c>
      <c r="F463" s="2">
        <f t="shared" ca="1" si="56"/>
        <v>21133</v>
      </c>
      <c r="G463" s="2">
        <f t="shared" ca="1" si="57"/>
        <v>1170</v>
      </c>
    </row>
    <row r="464" spans="1:7" x14ac:dyDescent="0.3">
      <c r="A464" s="5" t="str">
        <f t="shared" si="51"/>
        <v>New Balance</v>
      </c>
      <c r="B464" s="5" t="str">
        <f t="shared" si="53"/>
        <v>990v6</v>
      </c>
      <c r="C464" s="3">
        <f t="shared" si="52"/>
        <v>45688</v>
      </c>
      <c r="D464" s="4">
        <f t="shared" ca="1" si="54"/>
        <v>177</v>
      </c>
      <c r="E464" s="2">
        <f t="shared" ca="1" si="55"/>
        <v>6323</v>
      </c>
      <c r="F464" s="2">
        <f t="shared" ca="1" si="56"/>
        <v>16668</v>
      </c>
      <c r="G464" s="2">
        <f t="shared" ca="1" si="57"/>
        <v>898</v>
      </c>
    </row>
    <row r="465" spans="1:7" x14ac:dyDescent="0.3">
      <c r="A465" s="5" t="str">
        <f t="shared" si="51"/>
        <v>Reebok</v>
      </c>
      <c r="B465" s="5" t="str">
        <f t="shared" si="53"/>
        <v>Nano X3</v>
      </c>
      <c r="C465" s="3">
        <f t="shared" si="52"/>
        <v>45688</v>
      </c>
      <c r="D465" s="4">
        <f t="shared" ca="1" si="54"/>
        <v>89</v>
      </c>
      <c r="E465" s="2">
        <f t="shared" ca="1" si="55"/>
        <v>4070</v>
      </c>
      <c r="F465" s="2">
        <f t="shared" ca="1" si="56"/>
        <v>7650</v>
      </c>
      <c r="G465" s="2">
        <f t="shared" ca="1" si="57"/>
        <v>292</v>
      </c>
    </row>
    <row r="466" spans="1:7" x14ac:dyDescent="0.3">
      <c r="A466" s="5" t="str">
        <f t="shared" si="51"/>
        <v>Nike</v>
      </c>
      <c r="B466" s="5" t="str">
        <f t="shared" si="53"/>
        <v>Vaporfly 3</v>
      </c>
      <c r="C466" s="3">
        <f t="shared" si="52"/>
        <v>45688</v>
      </c>
      <c r="D466" s="4">
        <f t="shared" ca="1" si="54"/>
        <v>132</v>
      </c>
      <c r="E466" s="2">
        <f t="shared" ca="1" si="55"/>
        <v>4301</v>
      </c>
      <c r="F466" s="2">
        <f t="shared" ca="1" si="56"/>
        <v>33991</v>
      </c>
      <c r="G466" s="2">
        <f t="shared" ca="1" si="57"/>
        <v>739</v>
      </c>
    </row>
    <row r="467" spans="1:7" x14ac:dyDescent="0.3">
      <c r="A467" s="5" t="str">
        <f t="shared" si="51"/>
        <v>Adidas</v>
      </c>
      <c r="B467" s="5" t="str">
        <f t="shared" si="53"/>
        <v>Samba</v>
      </c>
      <c r="C467" s="3">
        <f t="shared" si="52"/>
        <v>45689</v>
      </c>
      <c r="D467" s="4">
        <f t="shared" ca="1" si="54"/>
        <v>122</v>
      </c>
      <c r="E467" s="2">
        <f t="shared" ca="1" si="55"/>
        <v>11389</v>
      </c>
      <c r="F467" s="2">
        <f t="shared" ca="1" si="56"/>
        <v>31321</v>
      </c>
      <c r="G467" s="2">
        <f t="shared" ca="1" si="57"/>
        <v>1485</v>
      </c>
    </row>
    <row r="468" spans="1:7" x14ac:dyDescent="0.3">
      <c r="A468" s="5" t="str">
        <f t="shared" si="51"/>
        <v>Puma</v>
      </c>
      <c r="B468" s="5" t="str">
        <f t="shared" si="53"/>
        <v>Mayze</v>
      </c>
      <c r="C468" s="3">
        <f t="shared" si="52"/>
        <v>45689</v>
      </c>
      <c r="D468" s="4">
        <f t="shared" ca="1" si="54"/>
        <v>168</v>
      </c>
      <c r="E468" s="2">
        <f t="shared" ca="1" si="55"/>
        <v>9795</v>
      </c>
      <c r="F468" s="2">
        <f t="shared" ca="1" si="56"/>
        <v>24058</v>
      </c>
      <c r="G468" s="2">
        <f t="shared" ca="1" si="57"/>
        <v>1145</v>
      </c>
    </row>
    <row r="469" spans="1:7" x14ac:dyDescent="0.3">
      <c r="A469" s="5" t="str">
        <f t="shared" si="51"/>
        <v>New Balance</v>
      </c>
      <c r="B469" s="5" t="str">
        <f t="shared" si="53"/>
        <v>574 Core</v>
      </c>
      <c r="C469" s="3">
        <f t="shared" si="52"/>
        <v>45689</v>
      </c>
      <c r="D469" s="4">
        <f t="shared" ca="1" si="54"/>
        <v>135</v>
      </c>
      <c r="E469" s="2">
        <f t="shared" ca="1" si="55"/>
        <v>3234</v>
      </c>
      <c r="F469" s="2">
        <f t="shared" ca="1" si="56"/>
        <v>9896</v>
      </c>
      <c r="G469" s="2">
        <f t="shared" ca="1" si="57"/>
        <v>265</v>
      </c>
    </row>
    <row r="470" spans="1:7" x14ac:dyDescent="0.3">
      <c r="A470" s="5" t="str">
        <f t="shared" si="51"/>
        <v>Reebok</v>
      </c>
      <c r="B470" s="5" t="str">
        <f t="shared" si="53"/>
        <v>Club C 85</v>
      </c>
      <c r="C470" s="3">
        <f t="shared" si="52"/>
        <v>45689</v>
      </c>
      <c r="D470" s="4">
        <f t="shared" ca="1" si="54"/>
        <v>106</v>
      </c>
      <c r="E470" s="2">
        <f t="shared" ca="1" si="55"/>
        <v>6079</v>
      </c>
      <c r="F470" s="2">
        <f t="shared" ca="1" si="56"/>
        <v>14612</v>
      </c>
      <c r="G470" s="2">
        <f t="shared" ca="1" si="57"/>
        <v>984</v>
      </c>
    </row>
    <row r="471" spans="1:7" x14ac:dyDescent="0.3">
      <c r="A471" s="5" t="str">
        <f t="shared" si="51"/>
        <v>Nike</v>
      </c>
      <c r="B471" s="5" t="str">
        <f t="shared" si="53"/>
        <v>Pegasus 40</v>
      </c>
      <c r="C471" s="3">
        <f t="shared" si="52"/>
        <v>45689</v>
      </c>
      <c r="D471" s="4">
        <f t="shared" ca="1" si="54"/>
        <v>185</v>
      </c>
      <c r="E471" s="2">
        <f t="shared" ca="1" si="55"/>
        <v>10835</v>
      </c>
      <c r="F471" s="2">
        <f t="shared" ca="1" si="56"/>
        <v>22732</v>
      </c>
      <c r="G471" s="2">
        <f t="shared" ca="1" si="57"/>
        <v>1652</v>
      </c>
    </row>
    <row r="472" spans="1:7" x14ac:dyDescent="0.3">
      <c r="A472" s="5" t="str">
        <f t="shared" si="51"/>
        <v>Adidas</v>
      </c>
      <c r="B472" s="5" t="str">
        <f t="shared" si="53"/>
        <v>Gazelle</v>
      </c>
      <c r="C472" s="3">
        <f t="shared" si="52"/>
        <v>45689</v>
      </c>
      <c r="D472" s="4">
        <f t="shared" ca="1" si="54"/>
        <v>121</v>
      </c>
      <c r="E472" s="2">
        <f t="shared" ca="1" si="55"/>
        <v>7016</v>
      </c>
      <c r="F472" s="2">
        <f t="shared" ca="1" si="56"/>
        <v>17797</v>
      </c>
      <c r="G472" s="2">
        <f t="shared" ca="1" si="57"/>
        <v>1358</v>
      </c>
    </row>
    <row r="473" spans="1:7" x14ac:dyDescent="0.3">
      <c r="A473" s="5" t="str">
        <f t="shared" si="51"/>
        <v>Puma</v>
      </c>
      <c r="B473" s="5" t="str">
        <f t="shared" si="53"/>
        <v>Slipstream</v>
      </c>
      <c r="C473" s="3">
        <f t="shared" si="52"/>
        <v>45689</v>
      </c>
      <c r="D473" s="4">
        <f t="shared" ca="1" si="54"/>
        <v>106</v>
      </c>
      <c r="E473" s="2">
        <f t="shared" ca="1" si="55"/>
        <v>4038</v>
      </c>
      <c r="F473" s="2">
        <f t="shared" ca="1" si="56"/>
        <v>30139</v>
      </c>
      <c r="G473" s="2">
        <f t="shared" ca="1" si="57"/>
        <v>1986</v>
      </c>
    </row>
    <row r="474" spans="1:7" x14ac:dyDescent="0.3">
      <c r="A474" s="5" t="str">
        <f t="shared" si="51"/>
        <v>New Balance</v>
      </c>
      <c r="B474" s="5" t="str">
        <f t="shared" si="53"/>
        <v>550</v>
      </c>
      <c r="C474" s="3">
        <f t="shared" si="52"/>
        <v>45689</v>
      </c>
      <c r="D474" s="4">
        <f t="shared" ca="1" si="54"/>
        <v>221</v>
      </c>
      <c r="E474" s="2">
        <f t="shared" ca="1" si="55"/>
        <v>2757</v>
      </c>
      <c r="F474" s="2">
        <f t="shared" ca="1" si="56"/>
        <v>28448</v>
      </c>
      <c r="G474" s="2">
        <f t="shared" ca="1" si="57"/>
        <v>1508</v>
      </c>
    </row>
    <row r="475" spans="1:7" x14ac:dyDescent="0.3">
      <c r="A475" s="5" t="str">
        <f t="shared" si="51"/>
        <v>Reebok</v>
      </c>
      <c r="B475" s="5" t="str">
        <f t="shared" si="53"/>
        <v>Classic Leather</v>
      </c>
      <c r="C475" s="3">
        <f t="shared" si="52"/>
        <v>45689</v>
      </c>
      <c r="D475" s="4">
        <f t="shared" ca="1" si="54"/>
        <v>176</v>
      </c>
      <c r="E475" s="2">
        <f t="shared" ca="1" si="55"/>
        <v>11943</v>
      </c>
      <c r="F475" s="2">
        <f t="shared" ca="1" si="56"/>
        <v>14032</v>
      </c>
      <c r="G475" s="2">
        <f t="shared" ca="1" si="57"/>
        <v>979</v>
      </c>
    </row>
    <row r="476" spans="1:7" x14ac:dyDescent="0.3">
      <c r="A476" s="5" t="str">
        <f t="shared" si="51"/>
        <v>Nike</v>
      </c>
      <c r="B476" s="5" t="str">
        <f t="shared" si="53"/>
        <v>Air Force 1</v>
      </c>
      <c r="C476" s="3">
        <f t="shared" si="52"/>
        <v>45689</v>
      </c>
      <c r="D476" s="4">
        <f t="shared" ca="1" si="54"/>
        <v>223</v>
      </c>
      <c r="E476" s="2">
        <f t="shared" ca="1" si="55"/>
        <v>11353</v>
      </c>
      <c r="F476" s="2">
        <f t="shared" ca="1" si="56"/>
        <v>30489</v>
      </c>
      <c r="G476" s="2">
        <f t="shared" ca="1" si="57"/>
        <v>1973</v>
      </c>
    </row>
    <row r="477" spans="1:7" x14ac:dyDescent="0.3">
      <c r="A477" s="5" t="str">
        <f t="shared" si="51"/>
        <v>Adidas</v>
      </c>
      <c r="B477" s="5" t="str">
        <f t="shared" si="53"/>
        <v>Superstar</v>
      </c>
      <c r="C477" s="3">
        <f t="shared" si="52"/>
        <v>45689</v>
      </c>
      <c r="D477" s="4">
        <f t="shared" ca="1" si="54"/>
        <v>101</v>
      </c>
      <c r="E477" s="2">
        <f t="shared" ca="1" si="55"/>
        <v>7327</v>
      </c>
      <c r="F477" s="2">
        <f t="shared" ca="1" si="56"/>
        <v>29339</v>
      </c>
      <c r="G477" s="2">
        <f t="shared" ca="1" si="57"/>
        <v>1731</v>
      </c>
    </row>
    <row r="478" spans="1:7" x14ac:dyDescent="0.3">
      <c r="A478" s="5" t="str">
        <f t="shared" si="51"/>
        <v>Puma</v>
      </c>
      <c r="B478" s="5" t="str">
        <f t="shared" si="53"/>
        <v>Rider Vintage</v>
      </c>
      <c r="C478" s="3">
        <f t="shared" si="52"/>
        <v>45689</v>
      </c>
      <c r="D478" s="4">
        <f t="shared" ca="1" si="54"/>
        <v>177</v>
      </c>
      <c r="E478" s="2">
        <f t="shared" ca="1" si="55"/>
        <v>2353</v>
      </c>
      <c r="F478" s="2">
        <f t="shared" ca="1" si="56"/>
        <v>25907</v>
      </c>
      <c r="G478" s="2">
        <f t="shared" ca="1" si="57"/>
        <v>1403</v>
      </c>
    </row>
    <row r="479" spans="1:7" x14ac:dyDescent="0.3">
      <c r="A479" s="5" t="str">
        <f t="shared" si="51"/>
        <v>New Balance</v>
      </c>
      <c r="B479" s="5" t="str">
        <f t="shared" si="53"/>
        <v>327</v>
      </c>
      <c r="C479" s="3">
        <f t="shared" si="52"/>
        <v>45689</v>
      </c>
      <c r="D479" s="4">
        <f t="shared" ca="1" si="54"/>
        <v>161</v>
      </c>
      <c r="E479" s="2">
        <f t="shared" ca="1" si="55"/>
        <v>7283</v>
      </c>
      <c r="F479" s="2">
        <f t="shared" ca="1" si="56"/>
        <v>31189</v>
      </c>
      <c r="G479" s="2">
        <f t="shared" ca="1" si="57"/>
        <v>1694</v>
      </c>
    </row>
    <row r="480" spans="1:7" x14ac:dyDescent="0.3">
      <c r="A480" s="5" t="str">
        <f t="shared" si="51"/>
        <v>Reebok</v>
      </c>
      <c r="B480" s="5" t="str">
        <f t="shared" si="53"/>
        <v>Question Mid</v>
      </c>
      <c r="C480" s="3">
        <f t="shared" si="52"/>
        <v>45689</v>
      </c>
      <c r="D480" s="4">
        <f t="shared" ca="1" si="54"/>
        <v>87</v>
      </c>
      <c r="E480" s="2">
        <f t="shared" ca="1" si="55"/>
        <v>10449</v>
      </c>
      <c r="F480" s="2">
        <f t="shared" ca="1" si="56"/>
        <v>9678</v>
      </c>
      <c r="G480" s="2">
        <f t="shared" ca="1" si="57"/>
        <v>600</v>
      </c>
    </row>
    <row r="481" spans="1:7" x14ac:dyDescent="0.3">
      <c r="A481" s="5" t="str">
        <f t="shared" si="51"/>
        <v>Nike</v>
      </c>
      <c r="B481" s="5" t="str">
        <f t="shared" si="53"/>
        <v>Air Max 270</v>
      </c>
      <c r="C481" s="3">
        <f t="shared" si="52"/>
        <v>45689</v>
      </c>
      <c r="D481" s="4">
        <f t="shared" ca="1" si="54"/>
        <v>128</v>
      </c>
      <c r="E481" s="2">
        <f t="shared" ca="1" si="55"/>
        <v>2528</v>
      </c>
      <c r="F481" s="2">
        <f t="shared" ca="1" si="56"/>
        <v>16926</v>
      </c>
      <c r="G481" s="2">
        <f t="shared" ca="1" si="57"/>
        <v>582</v>
      </c>
    </row>
    <row r="482" spans="1:7" x14ac:dyDescent="0.3">
      <c r="A482" s="5" t="str">
        <f t="shared" si="51"/>
        <v>Adidas</v>
      </c>
      <c r="B482" s="5" t="str">
        <f t="shared" si="53"/>
        <v>Stan Smith</v>
      </c>
      <c r="C482" s="3">
        <f t="shared" si="52"/>
        <v>45690</v>
      </c>
      <c r="D482" s="4">
        <f t="shared" ca="1" si="54"/>
        <v>106</v>
      </c>
      <c r="E482" s="2">
        <f t="shared" ca="1" si="55"/>
        <v>9211</v>
      </c>
      <c r="F482" s="2">
        <f t="shared" ca="1" si="56"/>
        <v>25665</v>
      </c>
      <c r="G482" s="2">
        <f t="shared" ca="1" si="57"/>
        <v>757</v>
      </c>
    </row>
    <row r="483" spans="1:7" x14ac:dyDescent="0.3">
      <c r="A483" s="5" t="str">
        <f t="shared" si="51"/>
        <v>Puma</v>
      </c>
      <c r="B483" s="5" t="str">
        <f t="shared" si="53"/>
        <v>Cali Dream</v>
      </c>
      <c r="C483" s="3">
        <f t="shared" si="52"/>
        <v>45690</v>
      </c>
      <c r="D483" s="4">
        <f t="shared" ca="1" si="54"/>
        <v>67</v>
      </c>
      <c r="E483" s="2">
        <f t="shared" ca="1" si="55"/>
        <v>11080</v>
      </c>
      <c r="F483" s="2">
        <f t="shared" ca="1" si="56"/>
        <v>32184</v>
      </c>
      <c r="G483" s="2">
        <f t="shared" ca="1" si="57"/>
        <v>2226</v>
      </c>
    </row>
    <row r="484" spans="1:7" x14ac:dyDescent="0.3">
      <c r="A484" s="5" t="str">
        <f t="shared" si="51"/>
        <v>New Balance</v>
      </c>
      <c r="B484" s="5" t="str">
        <f t="shared" si="53"/>
        <v>9060</v>
      </c>
      <c r="C484" s="3">
        <f t="shared" si="52"/>
        <v>45690</v>
      </c>
      <c r="D484" s="4">
        <f t="shared" ca="1" si="54"/>
        <v>164</v>
      </c>
      <c r="E484" s="2">
        <f t="shared" ca="1" si="55"/>
        <v>8189</v>
      </c>
      <c r="F484" s="2">
        <f t="shared" ca="1" si="56"/>
        <v>26448</v>
      </c>
      <c r="G484" s="2">
        <f t="shared" ca="1" si="57"/>
        <v>910</v>
      </c>
    </row>
    <row r="485" spans="1:7" x14ac:dyDescent="0.3">
      <c r="A485" s="5" t="str">
        <f t="shared" si="51"/>
        <v>Reebok</v>
      </c>
      <c r="B485" s="5" t="str">
        <f t="shared" si="53"/>
        <v>Zig Kinetica</v>
      </c>
      <c r="C485" s="3">
        <f t="shared" si="52"/>
        <v>45690</v>
      </c>
      <c r="D485" s="4">
        <f t="shared" ca="1" si="54"/>
        <v>213</v>
      </c>
      <c r="E485" s="2">
        <f t="shared" ca="1" si="55"/>
        <v>11127</v>
      </c>
      <c r="F485" s="2">
        <f t="shared" ca="1" si="56"/>
        <v>27789</v>
      </c>
      <c r="G485" s="2">
        <f t="shared" ca="1" si="57"/>
        <v>1674</v>
      </c>
    </row>
    <row r="486" spans="1:7" x14ac:dyDescent="0.3">
      <c r="A486" s="5" t="str">
        <f t="shared" si="51"/>
        <v>Nike</v>
      </c>
      <c r="B486" s="5" t="str">
        <f t="shared" si="53"/>
        <v>Jordan 1</v>
      </c>
      <c r="C486" s="3">
        <f t="shared" si="52"/>
        <v>45690</v>
      </c>
      <c r="D486" s="4">
        <f t="shared" ca="1" si="54"/>
        <v>194</v>
      </c>
      <c r="E486" s="2">
        <f t="shared" ca="1" si="55"/>
        <v>11017</v>
      </c>
      <c r="F486" s="2">
        <f t="shared" ca="1" si="56"/>
        <v>15100</v>
      </c>
      <c r="G486" s="2">
        <f t="shared" ca="1" si="57"/>
        <v>1004</v>
      </c>
    </row>
    <row r="487" spans="1:7" x14ac:dyDescent="0.3">
      <c r="A487" s="5" t="str">
        <f t="shared" si="51"/>
        <v>Adidas</v>
      </c>
      <c r="B487" s="5" t="str">
        <f t="shared" si="53"/>
        <v>Ultraboost 23</v>
      </c>
      <c r="C487" s="3">
        <f t="shared" si="52"/>
        <v>45690</v>
      </c>
      <c r="D487" s="4">
        <f t="shared" ca="1" si="54"/>
        <v>232</v>
      </c>
      <c r="E487" s="2">
        <f t="shared" ca="1" si="55"/>
        <v>4120</v>
      </c>
      <c r="F487" s="2">
        <f t="shared" ca="1" si="56"/>
        <v>9090</v>
      </c>
      <c r="G487" s="2">
        <f t="shared" ca="1" si="57"/>
        <v>240</v>
      </c>
    </row>
    <row r="488" spans="1:7" x14ac:dyDescent="0.3">
      <c r="A488" s="5" t="str">
        <f t="shared" si="51"/>
        <v>Puma</v>
      </c>
      <c r="B488" s="5" t="str">
        <f t="shared" si="53"/>
        <v>RS-X</v>
      </c>
      <c r="C488" s="3">
        <f t="shared" si="52"/>
        <v>45690</v>
      </c>
      <c r="D488" s="4">
        <f t="shared" ca="1" si="54"/>
        <v>219</v>
      </c>
      <c r="E488" s="2">
        <f t="shared" ca="1" si="55"/>
        <v>11181</v>
      </c>
      <c r="F488" s="2">
        <f t="shared" ca="1" si="56"/>
        <v>12795</v>
      </c>
      <c r="G488" s="2">
        <f t="shared" ca="1" si="57"/>
        <v>402</v>
      </c>
    </row>
    <row r="489" spans="1:7" x14ac:dyDescent="0.3">
      <c r="A489" s="5" t="str">
        <f t="shared" si="51"/>
        <v>New Balance</v>
      </c>
      <c r="B489" s="5" t="str">
        <f t="shared" si="53"/>
        <v>2002R</v>
      </c>
      <c r="C489" s="3">
        <f t="shared" si="52"/>
        <v>45690</v>
      </c>
      <c r="D489" s="4">
        <f t="shared" ca="1" si="54"/>
        <v>161</v>
      </c>
      <c r="E489" s="2">
        <f t="shared" ca="1" si="55"/>
        <v>2065</v>
      </c>
      <c r="F489" s="2">
        <f t="shared" ca="1" si="56"/>
        <v>8125</v>
      </c>
      <c r="G489" s="2">
        <f t="shared" ca="1" si="57"/>
        <v>616</v>
      </c>
    </row>
    <row r="490" spans="1:7" x14ac:dyDescent="0.3">
      <c r="A490" s="5" t="str">
        <f t="shared" si="51"/>
        <v>Reebok</v>
      </c>
      <c r="B490" s="5" t="str">
        <f t="shared" si="53"/>
        <v>Instapump Fury</v>
      </c>
      <c r="C490" s="3">
        <f t="shared" si="52"/>
        <v>45690</v>
      </c>
      <c r="D490" s="4">
        <f t="shared" ca="1" si="54"/>
        <v>123</v>
      </c>
      <c r="E490" s="2">
        <f t="shared" ca="1" si="55"/>
        <v>2420</v>
      </c>
      <c r="F490" s="2">
        <f t="shared" ca="1" si="56"/>
        <v>21866</v>
      </c>
      <c r="G490" s="2">
        <f t="shared" ca="1" si="57"/>
        <v>1216</v>
      </c>
    </row>
    <row r="491" spans="1:7" x14ac:dyDescent="0.3">
      <c r="A491" s="5" t="str">
        <f t="shared" ref="A491:A554" si="58">CHOOSE(MOD(ROW(A490),5)+1,"Nike","Adidas","Puma","New Balance","Reebok")</f>
        <v>Nike</v>
      </c>
      <c r="B491" s="5" t="str">
        <f t="shared" si="53"/>
        <v>Cortez</v>
      </c>
      <c r="C491" s="3">
        <f t="shared" ref="C491:C554" si="59">DATE(2025,1,1)+INT((ROW(A491)-2)/15)</f>
        <v>45690</v>
      </c>
      <c r="D491" s="4">
        <f t="shared" ca="1" si="54"/>
        <v>100</v>
      </c>
      <c r="E491" s="2">
        <f t="shared" ca="1" si="55"/>
        <v>7858</v>
      </c>
      <c r="F491" s="2">
        <f t="shared" ca="1" si="56"/>
        <v>15720</v>
      </c>
      <c r="G491" s="2">
        <f t="shared" ca="1" si="57"/>
        <v>403</v>
      </c>
    </row>
    <row r="492" spans="1:7" x14ac:dyDescent="0.3">
      <c r="A492" s="5" t="str">
        <f t="shared" si="58"/>
        <v>Adidas</v>
      </c>
      <c r="B492" s="5" t="str">
        <f t="shared" si="53"/>
        <v>NMD S1</v>
      </c>
      <c r="C492" s="3">
        <f t="shared" si="59"/>
        <v>45690</v>
      </c>
      <c r="D492" s="4">
        <f t="shared" ca="1" si="54"/>
        <v>29</v>
      </c>
      <c r="E492" s="2">
        <f t="shared" ca="1" si="55"/>
        <v>10812</v>
      </c>
      <c r="F492" s="2">
        <f t="shared" ca="1" si="56"/>
        <v>18628</v>
      </c>
      <c r="G492" s="2">
        <f t="shared" ca="1" si="57"/>
        <v>875</v>
      </c>
    </row>
    <row r="493" spans="1:7" x14ac:dyDescent="0.3">
      <c r="A493" s="5" t="str">
        <f t="shared" si="58"/>
        <v>Puma</v>
      </c>
      <c r="B493" s="5" t="str">
        <f t="shared" si="53"/>
        <v>Suede Classic</v>
      </c>
      <c r="C493" s="3">
        <f t="shared" si="59"/>
        <v>45690</v>
      </c>
      <c r="D493" s="4">
        <f t="shared" ca="1" si="54"/>
        <v>84</v>
      </c>
      <c r="E493" s="2">
        <f t="shared" ca="1" si="55"/>
        <v>2521</v>
      </c>
      <c r="F493" s="2">
        <f t="shared" ca="1" si="56"/>
        <v>28002</v>
      </c>
      <c r="G493" s="2">
        <f t="shared" ca="1" si="57"/>
        <v>1958</v>
      </c>
    </row>
    <row r="494" spans="1:7" x14ac:dyDescent="0.3">
      <c r="A494" s="5" t="str">
        <f t="shared" si="58"/>
        <v>New Balance</v>
      </c>
      <c r="B494" s="5" t="str">
        <f t="shared" si="53"/>
        <v>990v6</v>
      </c>
      <c r="C494" s="3">
        <f t="shared" si="59"/>
        <v>45690</v>
      </c>
      <c r="D494" s="4">
        <f t="shared" ca="1" si="54"/>
        <v>37</v>
      </c>
      <c r="E494" s="2">
        <f t="shared" ca="1" si="55"/>
        <v>5135</v>
      </c>
      <c r="F494" s="2">
        <f t="shared" ca="1" si="56"/>
        <v>24465</v>
      </c>
      <c r="G494" s="2">
        <f t="shared" ca="1" si="57"/>
        <v>1263</v>
      </c>
    </row>
    <row r="495" spans="1:7" x14ac:dyDescent="0.3">
      <c r="A495" s="5" t="str">
        <f t="shared" si="58"/>
        <v>Reebok</v>
      </c>
      <c r="B495" s="5" t="str">
        <f t="shared" si="53"/>
        <v>Nano X3</v>
      </c>
      <c r="C495" s="3">
        <f t="shared" si="59"/>
        <v>45690</v>
      </c>
      <c r="D495" s="4">
        <f t="shared" ca="1" si="54"/>
        <v>38</v>
      </c>
      <c r="E495" s="2">
        <f t="shared" ca="1" si="55"/>
        <v>8354</v>
      </c>
      <c r="F495" s="2">
        <f t="shared" ca="1" si="56"/>
        <v>29275</v>
      </c>
      <c r="G495" s="2">
        <f t="shared" ca="1" si="57"/>
        <v>859</v>
      </c>
    </row>
    <row r="496" spans="1:7" x14ac:dyDescent="0.3">
      <c r="A496" s="5" t="str">
        <f t="shared" si="58"/>
        <v>Nike</v>
      </c>
      <c r="B496" s="5" t="str">
        <f t="shared" si="53"/>
        <v>Vaporfly 3</v>
      </c>
      <c r="C496" s="3">
        <f t="shared" si="59"/>
        <v>45690</v>
      </c>
      <c r="D496" s="4">
        <f t="shared" ca="1" si="54"/>
        <v>226</v>
      </c>
      <c r="E496" s="2">
        <f t="shared" ca="1" si="55"/>
        <v>4925</v>
      </c>
      <c r="F496" s="2">
        <f t="shared" ca="1" si="56"/>
        <v>13698</v>
      </c>
      <c r="G496" s="2">
        <f t="shared" ca="1" si="57"/>
        <v>871</v>
      </c>
    </row>
    <row r="497" spans="1:7" x14ac:dyDescent="0.3">
      <c r="A497" s="5" t="str">
        <f t="shared" si="58"/>
        <v>Adidas</v>
      </c>
      <c r="B497" s="5" t="str">
        <f t="shared" si="53"/>
        <v>Samba</v>
      </c>
      <c r="C497" s="3">
        <f t="shared" si="59"/>
        <v>45691</v>
      </c>
      <c r="D497" s="4">
        <f t="shared" ca="1" si="54"/>
        <v>237</v>
      </c>
      <c r="E497" s="2">
        <f t="shared" ca="1" si="55"/>
        <v>8460</v>
      </c>
      <c r="F497" s="2">
        <f t="shared" ca="1" si="56"/>
        <v>20152</v>
      </c>
      <c r="G497" s="2">
        <f t="shared" ca="1" si="57"/>
        <v>1344</v>
      </c>
    </row>
    <row r="498" spans="1:7" x14ac:dyDescent="0.3">
      <c r="A498" s="5" t="str">
        <f t="shared" si="58"/>
        <v>Puma</v>
      </c>
      <c r="B498" s="5" t="str">
        <f t="shared" si="53"/>
        <v>Mayze</v>
      </c>
      <c r="C498" s="3">
        <f t="shared" si="59"/>
        <v>45691</v>
      </c>
      <c r="D498" s="4">
        <f t="shared" ca="1" si="54"/>
        <v>30</v>
      </c>
      <c r="E498" s="2">
        <f t="shared" ca="1" si="55"/>
        <v>7843</v>
      </c>
      <c r="F498" s="2">
        <f t="shared" ca="1" si="56"/>
        <v>9545</v>
      </c>
      <c r="G498" s="2">
        <f t="shared" ca="1" si="57"/>
        <v>347</v>
      </c>
    </row>
    <row r="499" spans="1:7" x14ac:dyDescent="0.3">
      <c r="A499" s="5" t="str">
        <f t="shared" si="58"/>
        <v>New Balance</v>
      </c>
      <c r="B499" s="5" t="str">
        <f t="shared" si="53"/>
        <v>574 Core</v>
      </c>
      <c r="C499" s="3">
        <f t="shared" si="59"/>
        <v>45691</v>
      </c>
      <c r="D499" s="4">
        <f t="shared" ca="1" si="54"/>
        <v>66</v>
      </c>
      <c r="E499" s="2">
        <f t="shared" ca="1" si="55"/>
        <v>7542</v>
      </c>
      <c r="F499" s="2">
        <f t="shared" ca="1" si="56"/>
        <v>21012</v>
      </c>
      <c r="G499" s="2">
        <f t="shared" ca="1" si="57"/>
        <v>644</v>
      </c>
    </row>
    <row r="500" spans="1:7" x14ac:dyDescent="0.3">
      <c r="A500" s="5" t="str">
        <f t="shared" si="58"/>
        <v>Reebok</v>
      </c>
      <c r="B500" s="5" t="str">
        <f t="shared" si="53"/>
        <v>Club C 85</v>
      </c>
      <c r="C500" s="3">
        <f t="shared" si="59"/>
        <v>45691</v>
      </c>
      <c r="D500" s="4">
        <f t="shared" ca="1" si="54"/>
        <v>160</v>
      </c>
      <c r="E500" s="2">
        <f t="shared" ca="1" si="55"/>
        <v>9160</v>
      </c>
      <c r="F500" s="2">
        <f t="shared" ca="1" si="56"/>
        <v>13313</v>
      </c>
      <c r="G500" s="2">
        <f t="shared" ca="1" si="57"/>
        <v>582</v>
      </c>
    </row>
    <row r="501" spans="1:7" x14ac:dyDescent="0.3">
      <c r="A501" s="5" t="str">
        <f t="shared" si="58"/>
        <v>Nike</v>
      </c>
      <c r="B501" s="5" t="str">
        <f t="shared" si="53"/>
        <v>Pegasus 40</v>
      </c>
      <c r="C501" s="3">
        <f t="shared" si="59"/>
        <v>45691</v>
      </c>
      <c r="D501" s="4">
        <f t="shared" ca="1" si="54"/>
        <v>151</v>
      </c>
      <c r="E501" s="2">
        <f t="shared" ca="1" si="55"/>
        <v>6447</v>
      </c>
      <c r="F501" s="2">
        <f t="shared" ca="1" si="56"/>
        <v>5539</v>
      </c>
      <c r="G501" s="2">
        <f t="shared" ca="1" si="57"/>
        <v>300</v>
      </c>
    </row>
    <row r="502" spans="1:7" x14ac:dyDescent="0.3">
      <c r="A502" s="5" t="str">
        <f t="shared" si="58"/>
        <v>Adidas</v>
      </c>
      <c r="B502" s="5" t="str">
        <f t="shared" si="53"/>
        <v>Gazelle</v>
      </c>
      <c r="C502" s="3">
        <f t="shared" si="59"/>
        <v>45691</v>
      </c>
      <c r="D502" s="4">
        <f t="shared" ca="1" si="54"/>
        <v>23</v>
      </c>
      <c r="E502" s="2">
        <f t="shared" ca="1" si="55"/>
        <v>9440</v>
      </c>
      <c r="F502" s="2">
        <f t="shared" ca="1" si="56"/>
        <v>20641</v>
      </c>
      <c r="G502" s="2">
        <f t="shared" ca="1" si="57"/>
        <v>1494</v>
      </c>
    </row>
    <row r="503" spans="1:7" x14ac:dyDescent="0.3">
      <c r="A503" s="5" t="str">
        <f t="shared" si="58"/>
        <v>Puma</v>
      </c>
      <c r="B503" s="5" t="str">
        <f t="shared" si="53"/>
        <v>Slipstream</v>
      </c>
      <c r="C503" s="3">
        <f t="shared" si="59"/>
        <v>45691</v>
      </c>
      <c r="D503" s="4">
        <f t="shared" ca="1" si="54"/>
        <v>56</v>
      </c>
      <c r="E503" s="2">
        <f t="shared" ca="1" si="55"/>
        <v>5850</v>
      </c>
      <c r="F503" s="2">
        <f t="shared" ca="1" si="56"/>
        <v>24864</v>
      </c>
      <c r="G503" s="2">
        <f t="shared" ca="1" si="57"/>
        <v>1822</v>
      </c>
    </row>
    <row r="504" spans="1:7" x14ac:dyDescent="0.3">
      <c r="A504" s="5" t="str">
        <f t="shared" si="58"/>
        <v>New Balance</v>
      </c>
      <c r="B504" s="5" t="str">
        <f t="shared" si="53"/>
        <v>550</v>
      </c>
      <c r="C504" s="3">
        <f t="shared" si="59"/>
        <v>45691</v>
      </c>
      <c r="D504" s="4">
        <f t="shared" ca="1" si="54"/>
        <v>49</v>
      </c>
      <c r="E504" s="2">
        <f t="shared" ca="1" si="55"/>
        <v>10817</v>
      </c>
      <c r="F504" s="2">
        <f t="shared" ca="1" si="56"/>
        <v>22649</v>
      </c>
      <c r="G504" s="2">
        <f t="shared" ca="1" si="57"/>
        <v>1645</v>
      </c>
    </row>
    <row r="505" spans="1:7" x14ac:dyDescent="0.3">
      <c r="A505" s="5" t="str">
        <f t="shared" si="58"/>
        <v>Reebok</v>
      </c>
      <c r="B505" s="5" t="str">
        <f t="shared" si="53"/>
        <v>Classic Leather</v>
      </c>
      <c r="C505" s="3">
        <f t="shared" si="59"/>
        <v>45691</v>
      </c>
      <c r="D505" s="4">
        <f t="shared" ca="1" si="54"/>
        <v>43</v>
      </c>
      <c r="E505" s="2">
        <f t="shared" ca="1" si="55"/>
        <v>11402</v>
      </c>
      <c r="F505" s="2">
        <f t="shared" ca="1" si="56"/>
        <v>29112</v>
      </c>
      <c r="G505" s="2">
        <f t="shared" ca="1" si="57"/>
        <v>1176</v>
      </c>
    </row>
    <row r="506" spans="1:7" x14ac:dyDescent="0.3">
      <c r="A506" s="5" t="str">
        <f t="shared" si="58"/>
        <v>Nike</v>
      </c>
      <c r="B506" s="5" t="str">
        <f t="shared" si="53"/>
        <v>Air Force 1</v>
      </c>
      <c r="C506" s="3">
        <f t="shared" si="59"/>
        <v>45691</v>
      </c>
      <c r="D506" s="4">
        <f t="shared" ca="1" si="54"/>
        <v>159</v>
      </c>
      <c r="E506" s="2">
        <f t="shared" ca="1" si="55"/>
        <v>2429</v>
      </c>
      <c r="F506" s="2">
        <f t="shared" ca="1" si="56"/>
        <v>11193</v>
      </c>
      <c r="G506" s="2">
        <f t="shared" ca="1" si="57"/>
        <v>654</v>
      </c>
    </row>
    <row r="507" spans="1:7" x14ac:dyDescent="0.3">
      <c r="A507" s="5" t="str">
        <f t="shared" si="58"/>
        <v>Adidas</v>
      </c>
      <c r="B507" s="5" t="str">
        <f t="shared" si="53"/>
        <v>Superstar</v>
      </c>
      <c r="C507" s="3">
        <f t="shared" si="59"/>
        <v>45691</v>
      </c>
      <c r="D507" s="4">
        <f t="shared" ca="1" si="54"/>
        <v>152</v>
      </c>
      <c r="E507" s="2">
        <f t="shared" ca="1" si="55"/>
        <v>8905</v>
      </c>
      <c r="F507" s="2">
        <f t="shared" ca="1" si="56"/>
        <v>10390</v>
      </c>
      <c r="G507" s="2">
        <f t="shared" ca="1" si="57"/>
        <v>500</v>
      </c>
    </row>
    <row r="508" spans="1:7" x14ac:dyDescent="0.3">
      <c r="A508" s="5" t="str">
        <f t="shared" si="58"/>
        <v>Puma</v>
      </c>
      <c r="B508" s="5" t="str">
        <f t="shared" si="53"/>
        <v>Rider Vintage</v>
      </c>
      <c r="C508" s="3">
        <f t="shared" si="59"/>
        <v>45691</v>
      </c>
      <c r="D508" s="4">
        <f t="shared" ca="1" si="54"/>
        <v>141</v>
      </c>
      <c r="E508" s="2">
        <f t="shared" ca="1" si="55"/>
        <v>5364</v>
      </c>
      <c r="F508" s="2">
        <f t="shared" ca="1" si="56"/>
        <v>33774</v>
      </c>
      <c r="G508" s="2">
        <f t="shared" ca="1" si="57"/>
        <v>1508</v>
      </c>
    </row>
    <row r="509" spans="1:7" x14ac:dyDescent="0.3">
      <c r="A509" s="5" t="str">
        <f t="shared" si="58"/>
        <v>New Balance</v>
      </c>
      <c r="B509" s="5" t="str">
        <f t="shared" si="53"/>
        <v>327</v>
      </c>
      <c r="C509" s="3">
        <f t="shared" si="59"/>
        <v>45691</v>
      </c>
      <c r="D509" s="4">
        <f t="shared" ca="1" si="54"/>
        <v>137</v>
      </c>
      <c r="E509" s="2">
        <f t="shared" ca="1" si="55"/>
        <v>2953</v>
      </c>
      <c r="F509" s="2">
        <f t="shared" ca="1" si="56"/>
        <v>16515</v>
      </c>
      <c r="G509" s="2">
        <f t="shared" ca="1" si="57"/>
        <v>1097</v>
      </c>
    </row>
    <row r="510" spans="1:7" x14ac:dyDescent="0.3">
      <c r="A510" s="5" t="str">
        <f t="shared" si="58"/>
        <v>Reebok</v>
      </c>
      <c r="B510" s="5" t="str">
        <f t="shared" si="53"/>
        <v>Question Mid</v>
      </c>
      <c r="C510" s="3">
        <f t="shared" si="59"/>
        <v>45691</v>
      </c>
      <c r="D510" s="4">
        <f t="shared" ca="1" si="54"/>
        <v>114</v>
      </c>
      <c r="E510" s="2">
        <f t="shared" ca="1" si="55"/>
        <v>4166</v>
      </c>
      <c r="F510" s="2">
        <f t="shared" ca="1" si="56"/>
        <v>6580</v>
      </c>
      <c r="G510" s="2">
        <f t="shared" ca="1" si="57"/>
        <v>482</v>
      </c>
    </row>
    <row r="511" spans="1:7" x14ac:dyDescent="0.3">
      <c r="A511" s="5" t="str">
        <f t="shared" si="58"/>
        <v>Nike</v>
      </c>
      <c r="B511" s="5" t="str">
        <f t="shared" si="53"/>
        <v>Air Max 270</v>
      </c>
      <c r="C511" s="3">
        <f t="shared" si="59"/>
        <v>45691</v>
      </c>
      <c r="D511" s="4">
        <f t="shared" ca="1" si="54"/>
        <v>82</v>
      </c>
      <c r="E511" s="2">
        <f t="shared" ca="1" si="55"/>
        <v>9917</v>
      </c>
      <c r="F511" s="2">
        <f t="shared" ca="1" si="56"/>
        <v>23165</v>
      </c>
      <c r="G511" s="2">
        <f t="shared" ca="1" si="57"/>
        <v>988</v>
      </c>
    </row>
    <row r="512" spans="1:7" x14ac:dyDescent="0.3">
      <c r="A512" s="5" t="str">
        <f t="shared" si="58"/>
        <v>Adidas</v>
      </c>
      <c r="B512" s="5" t="str">
        <f t="shared" si="53"/>
        <v>Stan Smith</v>
      </c>
      <c r="C512" s="3">
        <f t="shared" si="59"/>
        <v>45692</v>
      </c>
      <c r="D512" s="4">
        <f t="shared" ca="1" si="54"/>
        <v>194</v>
      </c>
      <c r="E512" s="2">
        <f t="shared" ca="1" si="55"/>
        <v>4499</v>
      </c>
      <c r="F512" s="2">
        <f t="shared" ca="1" si="56"/>
        <v>25755</v>
      </c>
      <c r="G512" s="2">
        <f t="shared" ca="1" si="57"/>
        <v>1139</v>
      </c>
    </row>
    <row r="513" spans="1:7" x14ac:dyDescent="0.3">
      <c r="A513" s="5" t="str">
        <f t="shared" si="58"/>
        <v>Puma</v>
      </c>
      <c r="B513" s="5" t="str">
        <f t="shared" si="53"/>
        <v>Cali Dream</v>
      </c>
      <c r="C513" s="3">
        <f t="shared" si="59"/>
        <v>45692</v>
      </c>
      <c r="D513" s="4">
        <f t="shared" ca="1" si="54"/>
        <v>227</v>
      </c>
      <c r="E513" s="2">
        <f t="shared" ca="1" si="55"/>
        <v>4271</v>
      </c>
      <c r="F513" s="2">
        <f t="shared" ca="1" si="56"/>
        <v>22653</v>
      </c>
      <c r="G513" s="2">
        <f t="shared" ca="1" si="57"/>
        <v>468</v>
      </c>
    </row>
    <row r="514" spans="1:7" x14ac:dyDescent="0.3">
      <c r="A514" s="5" t="str">
        <f t="shared" si="58"/>
        <v>New Balance</v>
      </c>
      <c r="B514" s="5" t="str">
        <f t="shared" si="53"/>
        <v>9060</v>
      </c>
      <c r="C514" s="3">
        <f t="shared" si="59"/>
        <v>45692</v>
      </c>
      <c r="D514" s="4">
        <f t="shared" ca="1" si="54"/>
        <v>126</v>
      </c>
      <c r="E514" s="2">
        <f t="shared" ca="1" si="55"/>
        <v>3500</v>
      </c>
      <c r="F514" s="2">
        <f t="shared" ca="1" si="56"/>
        <v>25241</v>
      </c>
      <c r="G514" s="2">
        <f t="shared" ca="1" si="57"/>
        <v>696</v>
      </c>
    </row>
    <row r="515" spans="1:7" x14ac:dyDescent="0.3">
      <c r="A515" s="5" t="str">
        <f t="shared" si="58"/>
        <v>Reebok</v>
      </c>
      <c r="B515" s="5" t="str">
        <f t="shared" ref="B515:B578" si="60">IF(A515="Nike",CHOOSE(MOD(ROW(A514),6)+1,"Air Max 270","Air Force 1","Pegasus 40","Vaporfly 3","Cortez","Jordan 1"),
 IF(A515="Adidas",CHOOSE(MOD(ROW(A514),6)+1,"Ultraboost 23","Stan Smith","Superstar","Gazelle","Samba","NMD S1"),
 IF(A515="Puma",CHOOSE(MOD(ROW(A514),6)+1,"Suede Classic","RS-X","Cali Dream","Rider Vintage","Slipstream","Mayze"),
 IF(A515="New Balance",CHOOSE(MOD(ROW(A514),6)+1,"574 Core","990v6","2002R","9060","327","550"),
 IF(A515="Reebok",CHOOSE(MOD(ROW(A514),6)+1,"Classic Leather","Club C 85","Nano X3","Instapump Fury","Zig Kinetica","Question Mid"),"")))))</f>
        <v>Zig Kinetica</v>
      </c>
      <c r="C515" s="3">
        <f t="shared" si="59"/>
        <v>45692</v>
      </c>
      <c r="D515" s="4">
        <f t="shared" ref="D515:D578" ca="1" si="61">RANDBETWEEN(20,250)</f>
        <v>133</v>
      </c>
      <c r="E515" s="2">
        <f t="shared" ref="E515:E578" ca="1" si="62">ROUND(RANDBETWEEN(1500,12000)+(RANDBETWEEN(-200,200)),2)</f>
        <v>3870</v>
      </c>
      <c r="F515" s="2">
        <f t="shared" ref="F515:F578" ca="1" si="63">RANDBETWEEN(5000,35000)</f>
        <v>26732</v>
      </c>
      <c r="G515" s="2">
        <f t="shared" ref="G515:G578" ca="1" si="64">RANDBETWEEN(ROUND(F515*0.02,0),ROUND(F515*0.08,0))</f>
        <v>1398</v>
      </c>
    </row>
    <row r="516" spans="1:7" x14ac:dyDescent="0.3">
      <c r="A516" s="5" t="str">
        <f t="shared" si="58"/>
        <v>Nike</v>
      </c>
      <c r="B516" s="5" t="str">
        <f t="shared" si="60"/>
        <v>Jordan 1</v>
      </c>
      <c r="C516" s="3">
        <f t="shared" si="59"/>
        <v>45692</v>
      </c>
      <c r="D516" s="4">
        <f t="shared" ca="1" si="61"/>
        <v>209</v>
      </c>
      <c r="E516" s="2">
        <f t="shared" ca="1" si="62"/>
        <v>4901</v>
      </c>
      <c r="F516" s="2">
        <f t="shared" ca="1" si="63"/>
        <v>31470</v>
      </c>
      <c r="G516" s="2">
        <f t="shared" ca="1" si="64"/>
        <v>1549</v>
      </c>
    </row>
    <row r="517" spans="1:7" x14ac:dyDescent="0.3">
      <c r="A517" s="5" t="str">
        <f t="shared" si="58"/>
        <v>Adidas</v>
      </c>
      <c r="B517" s="5" t="str">
        <f t="shared" si="60"/>
        <v>Ultraboost 23</v>
      </c>
      <c r="C517" s="3">
        <f t="shared" si="59"/>
        <v>45692</v>
      </c>
      <c r="D517" s="4">
        <f t="shared" ca="1" si="61"/>
        <v>136</v>
      </c>
      <c r="E517" s="2">
        <f t="shared" ca="1" si="62"/>
        <v>5545</v>
      </c>
      <c r="F517" s="2">
        <f t="shared" ca="1" si="63"/>
        <v>27506</v>
      </c>
      <c r="G517" s="2">
        <f t="shared" ca="1" si="64"/>
        <v>1932</v>
      </c>
    </row>
    <row r="518" spans="1:7" x14ac:dyDescent="0.3">
      <c r="A518" s="5" t="str">
        <f t="shared" si="58"/>
        <v>Puma</v>
      </c>
      <c r="B518" s="5" t="str">
        <f t="shared" si="60"/>
        <v>RS-X</v>
      </c>
      <c r="C518" s="3">
        <f t="shared" si="59"/>
        <v>45692</v>
      </c>
      <c r="D518" s="4">
        <f t="shared" ca="1" si="61"/>
        <v>158</v>
      </c>
      <c r="E518" s="2">
        <f t="shared" ca="1" si="62"/>
        <v>7250</v>
      </c>
      <c r="F518" s="2">
        <f t="shared" ca="1" si="63"/>
        <v>19554</v>
      </c>
      <c r="G518" s="2">
        <f t="shared" ca="1" si="64"/>
        <v>1191</v>
      </c>
    </row>
    <row r="519" spans="1:7" x14ac:dyDescent="0.3">
      <c r="A519" s="5" t="str">
        <f t="shared" si="58"/>
        <v>New Balance</v>
      </c>
      <c r="B519" s="5" t="str">
        <f t="shared" si="60"/>
        <v>2002R</v>
      </c>
      <c r="C519" s="3">
        <f t="shared" si="59"/>
        <v>45692</v>
      </c>
      <c r="D519" s="4">
        <f t="shared" ca="1" si="61"/>
        <v>104</v>
      </c>
      <c r="E519" s="2">
        <f t="shared" ca="1" si="62"/>
        <v>5071</v>
      </c>
      <c r="F519" s="2">
        <f t="shared" ca="1" si="63"/>
        <v>19900</v>
      </c>
      <c r="G519" s="2">
        <f t="shared" ca="1" si="64"/>
        <v>859</v>
      </c>
    </row>
    <row r="520" spans="1:7" x14ac:dyDescent="0.3">
      <c r="A520" s="5" t="str">
        <f t="shared" si="58"/>
        <v>Reebok</v>
      </c>
      <c r="B520" s="5" t="str">
        <f t="shared" si="60"/>
        <v>Instapump Fury</v>
      </c>
      <c r="C520" s="3">
        <f t="shared" si="59"/>
        <v>45692</v>
      </c>
      <c r="D520" s="4">
        <f t="shared" ca="1" si="61"/>
        <v>151</v>
      </c>
      <c r="E520" s="2">
        <f t="shared" ca="1" si="62"/>
        <v>4177</v>
      </c>
      <c r="F520" s="2">
        <f t="shared" ca="1" si="63"/>
        <v>21921</v>
      </c>
      <c r="G520" s="2">
        <f t="shared" ca="1" si="64"/>
        <v>1507</v>
      </c>
    </row>
    <row r="521" spans="1:7" x14ac:dyDescent="0.3">
      <c r="A521" s="5" t="str">
        <f t="shared" si="58"/>
        <v>Nike</v>
      </c>
      <c r="B521" s="5" t="str">
        <f t="shared" si="60"/>
        <v>Cortez</v>
      </c>
      <c r="C521" s="3">
        <f t="shared" si="59"/>
        <v>45692</v>
      </c>
      <c r="D521" s="4">
        <f t="shared" ca="1" si="61"/>
        <v>232</v>
      </c>
      <c r="E521" s="2">
        <f t="shared" ca="1" si="62"/>
        <v>8538</v>
      </c>
      <c r="F521" s="2">
        <f t="shared" ca="1" si="63"/>
        <v>30275</v>
      </c>
      <c r="G521" s="2">
        <f t="shared" ca="1" si="64"/>
        <v>1278</v>
      </c>
    </row>
    <row r="522" spans="1:7" x14ac:dyDescent="0.3">
      <c r="A522" s="5" t="str">
        <f t="shared" si="58"/>
        <v>Adidas</v>
      </c>
      <c r="B522" s="5" t="str">
        <f t="shared" si="60"/>
        <v>NMD S1</v>
      </c>
      <c r="C522" s="3">
        <f t="shared" si="59"/>
        <v>45692</v>
      </c>
      <c r="D522" s="4">
        <f t="shared" ca="1" si="61"/>
        <v>163</v>
      </c>
      <c r="E522" s="2">
        <f t="shared" ca="1" si="62"/>
        <v>11454</v>
      </c>
      <c r="F522" s="2">
        <f t="shared" ca="1" si="63"/>
        <v>29545</v>
      </c>
      <c r="G522" s="2">
        <f t="shared" ca="1" si="64"/>
        <v>2055</v>
      </c>
    </row>
    <row r="523" spans="1:7" x14ac:dyDescent="0.3">
      <c r="A523" s="5" t="str">
        <f t="shared" si="58"/>
        <v>Puma</v>
      </c>
      <c r="B523" s="5" t="str">
        <f t="shared" si="60"/>
        <v>Suede Classic</v>
      </c>
      <c r="C523" s="3">
        <f t="shared" si="59"/>
        <v>45692</v>
      </c>
      <c r="D523" s="4">
        <f t="shared" ca="1" si="61"/>
        <v>132</v>
      </c>
      <c r="E523" s="2">
        <f t="shared" ca="1" si="62"/>
        <v>11377</v>
      </c>
      <c r="F523" s="2">
        <f t="shared" ca="1" si="63"/>
        <v>16259</v>
      </c>
      <c r="G523" s="2">
        <f t="shared" ca="1" si="64"/>
        <v>878</v>
      </c>
    </row>
    <row r="524" spans="1:7" x14ac:dyDescent="0.3">
      <c r="A524" s="5" t="str">
        <f t="shared" si="58"/>
        <v>New Balance</v>
      </c>
      <c r="B524" s="5" t="str">
        <f t="shared" si="60"/>
        <v>990v6</v>
      </c>
      <c r="C524" s="3">
        <f t="shared" si="59"/>
        <v>45692</v>
      </c>
      <c r="D524" s="4">
        <f t="shared" ca="1" si="61"/>
        <v>149</v>
      </c>
      <c r="E524" s="2">
        <f t="shared" ca="1" si="62"/>
        <v>10641</v>
      </c>
      <c r="F524" s="2">
        <f t="shared" ca="1" si="63"/>
        <v>12941</v>
      </c>
      <c r="G524" s="2">
        <f t="shared" ca="1" si="64"/>
        <v>605</v>
      </c>
    </row>
    <row r="525" spans="1:7" x14ac:dyDescent="0.3">
      <c r="A525" s="5" t="str">
        <f t="shared" si="58"/>
        <v>Reebok</v>
      </c>
      <c r="B525" s="5" t="str">
        <f t="shared" si="60"/>
        <v>Nano X3</v>
      </c>
      <c r="C525" s="3">
        <f t="shared" si="59"/>
        <v>45692</v>
      </c>
      <c r="D525" s="4">
        <f t="shared" ca="1" si="61"/>
        <v>185</v>
      </c>
      <c r="E525" s="2">
        <f t="shared" ca="1" si="62"/>
        <v>3849</v>
      </c>
      <c r="F525" s="2">
        <f t="shared" ca="1" si="63"/>
        <v>30878</v>
      </c>
      <c r="G525" s="2">
        <f t="shared" ca="1" si="64"/>
        <v>1253</v>
      </c>
    </row>
    <row r="526" spans="1:7" x14ac:dyDescent="0.3">
      <c r="A526" s="5" t="str">
        <f t="shared" si="58"/>
        <v>Nike</v>
      </c>
      <c r="B526" s="5" t="str">
        <f t="shared" si="60"/>
        <v>Vaporfly 3</v>
      </c>
      <c r="C526" s="3">
        <f t="shared" si="59"/>
        <v>45692</v>
      </c>
      <c r="D526" s="4">
        <f t="shared" ca="1" si="61"/>
        <v>92</v>
      </c>
      <c r="E526" s="2">
        <f t="shared" ca="1" si="62"/>
        <v>7960</v>
      </c>
      <c r="F526" s="2">
        <f t="shared" ca="1" si="63"/>
        <v>14350</v>
      </c>
      <c r="G526" s="2">
        <f t="shared" ca="1" si="64"/>
        <v>545</v>
      </c>
    </row>
    <row r="527" spans="1:7" x14ac:dyDescent="0.3">
      <c r="A527" s="5" t="str">
        <f t="shared" si="58"/>
        <v>Adidas</v>
      </c>
      <c r="B527" s="5" t="str">
        <f t="shared" si="60"/>
        <v>Samba</v>
      </c>
      <c r="C527" s="3">
        <f t="shared" si="59"/>
        <v>45693</v>
      </c>
      <c r="D527" s="4">
        <f t="shared" ca="1" si="61"/>
        <v>166</v>
      </c>
      <c r="E527" s="2">
        <f t="shared" ca="1" si="62"/>
        <v>3243</v>
      </c>
      <c r="F527" s="2">
        <f t="shared" ca="1" si="63"/>
        <v>23906</v>
      </c>
      <c r="G527" s="2">
        <f t="shared" ca="1" si="64"/>
        <v>868</v>
      </c>
    </row>
    <row r="528" spans="1:7" x14ac:dyDescent="0.3">
      <c r="A528" s="5" t="str">
        <f t="shared" si="58"/>
        <v>Puma</v>
      </c>
      <c r="B528" s="5" t="str">
        <f t="shared" si="60"/>
        <v>Mayze</v>
      </c>
      <c r="C528" s="3">
        <f t="shared" si="59"/>
        <v>45693</v>
      </c>
      <c r="D528" s="4">
        <f t="shared" ca="1" si="61"/>
        <v>142</v>
      </c>
      <c r="E528" s="2">
        <f t="shared" ca="1" si="62"/>
        <v>2380</v>
      </c>
      <c r="F528" s="2">
        <f t="shared" ca="1" si="63"/>
        <v>21239</v>
      </c>
      <c r="G528" s="2">
        <f t="shared" ca="1" si="64"/>
        <v>1155</v>
      </c>
    </row>
    <row r="529" spans="1:7" x14ac:dyDescent="0.3">
      <c r="A529" s="5" t="str">
        <f t="shared" si="58"/>
        <v>New Balance</v>
      </c>
      <c r="B529" s="5" t="str">
        <f t="shared" si="60"/>
        <v>574 Core</v>
      </c>
      <c r="C529" s="3">
        <f t="shared" si="59"/>
        <v>45693</v>
      </c>
      <c r="D529" s="4">
        <f t="shared" ca="1" si="61"/>
        <v>35</v>
      </c>
      <c r="E529" s="2">
        <f t="shared" ca="1" si="62"/>
        <v>5084</v>
      </c>
      <c r="F529" s="2">
        <f t="shared" ca="1" si="63"/>
        <v>19253</v>
      </c>
      <c r="G529" s="2">
        <f t="shared" ca="1" si="64"/>
        <v>1488</v>
      </c>
    </row>
    <row r="530" spans="1:7" x14ac:dyDescent="0.3">
      <c r="A530" s="5" t="str">
        <f t="shared" si="58"/>
        <v>Reebok</v>
      </c>
      <c r="B530" s="5" t="str">
        <f t="shared" si="60"/>
        <v>Club C 85</v>
      </c>
      <c r="C530" s="3">
        <f t="shared" si="59"/>
        <v>45693</v>
      </c>
      <c r="D530" s="4">
        <f t="shared" ca="1" si="61"/>
        <v>155</v>
      </c>
      <c r="E530" s="2">
        <f t="shared" ca="1" si="62"/>
        <v>3341</v>
      </c>
      <c r="F530" s="2">
        <f t="shared" ca="1" si="63"/>
        <v>23050</v>
      </c>
      <c r="G530" s="2">
        <f t="shared" ca="1" si="64"/>
        <v>871</v>
      </c>
    </row>
    <row r="531" spans="1:7" x14ac:dyDescent="0.3">
      <c r="A531" s="5" t="str">
        <f t="shared" si="58"/>
        <v>Nike</v>
      </c>
      <c r="B531" s="5" t="str">
        <f t="shared" si="60"/>
        <v>Pegasus 40</v>
      </c>
      <c r="C531" s="3">
        <f t="shared" si="59"/>
        <v>45693</v>
      </c>
      <c r="D531" s="4">
        <f t="shared" ca="1" si="61"/>
        <v>69</v>
      </c>
      <c r="E531" s="2">
        <f t="shared" ca="1" si="62"/>
        <v>5658</v>
      </c>
      <c r="F531" s="2">
        <f t="shared" ca="1" si="63"/>
        <v>17415</v>
      </c>
      <c r="G531" s="2">
        <f t="shared" ca="1" si="64"/>
        <v>535</v>
      </c>
    </row>
    <row r="532" spans="1:7" x14ac:dyDescent="0.3">
      <c r="A532" s="5" t="str">
        <f t="shared" si="58"/>
        <v>Adidas</v>
      </c>
      <c r="B532" s="5" t="str">
        <f t="shared" si="60"/>
        <v>Gazelle</v>
      </c>
      <c r="C532" s="3">
        <f t="shared" si="59"/>
        <v>45693</v>
      </c>
      <c r="D532" s="4">
        <f t="shared" ca="1" si="61"/>
        <v>192</v>
      </c>
      <c r="E532" s="2">
        <f t="shared" ca="1" si="62"/>
        <v>5846</v>
      </c>
      <c r="F532" s="2">
        <f t="shared" ca="1" si="63"/>
        <v>19555</v>
      </c>
      <c r="G532" s="2">
        <f t="shared" ca="1" si="64"/>
        <v>1336</v>
      </c>
    </row>
    <row r="533" spans="1:7" x14ac:dyDescent="0.3">
      <c r="A533" s="5" t="str">
        <f t="shared" si="58"/>
        <v>Puma</v>
      </c>
      <c r="B533" s="5" t="str">
        <f t="shared" si="60"/>
        <v>Slipstream</v>
      </c>
      <c r="C533" s="3">
        <f t="shared" si="59"/>
        <v>45693</v>
      </c>
      <c r="D533" s="4">
        <f t="shared" ca="1" si="61"/>
        <v>236</v>
      </c>
      <c r="E533" s="2">
        <f t="shared" ca="1" si="62"/>
        <v>9802</v>
      </c>
      <c r="F533" s="2">
        <f t="shared" ca="1" si="63"/>
        <v>18478</v>
      </c>
      <c r="G533" s="2">
        <f t="shared" ca="1" si="64"/>
        <v>384</v>
      </c>
    </row>
    <row r="534" spans="1:7" x14ac:dyDescent="0.3">
      <c r="A534" s="5" t="str">
        <f t="shared" si="58"/>
        <v>New Balance</v>
      </c>
      <c r="B534" s="5" t="str">
        <f t="shared" si="60"/>
        <v>550</v>
      </c>
      <c r="C534" s="3">
        <f t="shared" si="59"/>
        <v>45693</v>
      </c>
      <c r="D534" s="4">
        <f t="shared" ca="1" si="61"/>
        <v>71</v>
      </c>
      <c r="E534" s="2">
        <f t="shared" ca="1" si="62"/>
        <v>10780</v>
      </c>
      <c r="F534" s="2">
        <f t="shared" ca="1" si="63"/>
        <v>9158</v>
      </c>
      <c r="G534" s="2">
        <f t="shared" ca="1" si="64"/>
        <v>453</v>
      </c>
    </row>
    <row r="535" spans="1:7" x14ac:dyDescent="0.3">
      <c r="A535" s="5" t="str">
        <f t="shared" si="58"/>
        <v>Reebok</v>
      </c>
      <c r="B535" s="5" t="str">
        <f t="shared" si="60"/>
        <v>Classic Leather</v>
      </c>
      <c r="C535" s="3">
        <f t="shared" si="59"/>
        <v>45693</v>
      </c>
      <c r="D535" s="4">
        <f t="shared" ca="1" si="61"/>
        <v>95</v>
      </c>
      <c r="E535" s="2">
        <f t="shared" ca="1" si="62"/>
        <v>4555</v>
      </c>
      <c r="F535" s="2">
        <f t="shared" ca="1" si="63"/>
        <v>31272</v>
      </c>
      <c r="G535" s="2">
        <f t="shared" ca="1" si="64"/>
        <v>1553</v>
      </c>
    </row>
    <row r="536" spans="1:7" x14ac:dyDescent="0.3">
      <c r="A536" s="5" t="str">
        <f t="shared" si="58"/>
        <v>Nike</v>
      </c>
      <c r="B536" s="5" t="str">
        <f t="shared" si="60"/>
        <v>Air Force 1</v>
      </c>
      <c r="C536" s="3">
        <f t="shared" si="59"/>
        <v>45693</v>
      </c>
      <c r="D536" s="4">
        <f t="shared" ca="1" si="61"/>
        <v>119</v>
      </c>
      <c r="E536" s="2">
        <f t="shared" ca="1" si="62"/>
        <v>2574</v>
      </c>
      <c r="F536" s="2">
        <f t="shared" ca="1" si="63"/>
        <v>29502</v>
      </c>
      <c r="G536" s="2">
        <f t="shared" ca="1" si="64"/>
        <v>1500</v>
      </c>
    </row>
    <row r="537" spans="1:7" x14ac:dyDescent="0.3">
      <c r="A537" s="5" t="str">
        <f t="shared" si="58"/>
        <v>Adidas</v>
      </c>
      <c r="B537" s="5" t="str">
        <f t="shared" si="60"/>
        <v>Superstar</v>
      </c>
      <c r="C537" s="3">
        <f t="shared" si="59"/>
        <v>45693</v>
      </c>
      <c r="D537" s="4">
        <f t="shared" ca="1" si="61"/>
        <v>125</v>
      </c>
      <c r="E537" s="2">
        <f t="shared" ca="1" si="62"/>
        <v>9630</v>
      </c>
      <c r="F537" s="2">
        <f t="shared" ca="1" si="63"/>
        <v>22311</v>
      </c>
      <c r="G537" s="2">
        <f t="shared" ca="1" si="64"/>
        <v>1478</v>
      </c>
    </row>
    <row r="538" spans="1:7" x14ac:dyDescent="0.3">
      <c r="A538" s="5" t="str">
        <f t="shared" si="58"/>
        <v>Puma</v>
      </c>
      <c r="B538" s="5" t="str">
        <f t="shared" si="60"/>
        <v>Rider Vintage</v>
      </c>
      <c r="C538" s="3">
        <f t="shared" si="59"/>
        <v>45693</v>
      </c>
      <c r="D538" s="4">
        <f t="shared" ca="1" si="61"/>
        <v>189</v>
      </c>
      <c r="E538" s="2">
        <f t="shared" ca="1" si="62"/>
        <v>4030</v>
      </c>
      <c r="F538" s="2">
        <f t="shared" ca="1" si="63"/>
        <v>29859</v>
      </c>
      <c r="G538" s="2">
        <f t="shared" ca="1" si="64"/>
        <v>2319</v>
      </c>
    </row>
    <row r="539" spans="1:7" x14ac:dyDescent="0.3">
      <c r="A539" s="5" t="str">
        <f t="shared" si="58"/>
        <v>New Balance</v>
      </c>
      <c r="B539" s="5" t="str">
        <f t="shared" si="60"/>
        <v>327</v>
      </c>
      <c r="C539" s="3">
        <f t="shared" si="59"/>
        <v>45693</v>
      </c>
      <c r="D539" s="4">
        <f t="shared" ca="1" si="61"/>
        <v>181</v>
      </c>
      <c r="E539" s="2">
        <f t="shared" ca="1" si="62"/>
        <v>2510</v>
      </c>
      <c r="F539" s="2">
        <f t="shared" ca="1" si="63"/>
        <v>5516</v>
      </c>
      <c r="G539" s="2">
        <f t="shared" ca="1" si="64"/>
        <v>305</v>
      </c>
    </row>
    <row r="540" spans="1:7" x14ac:dyDescent="0.3">
      <c r="A540" s="5" t="str">
        <f t="shared" si="58"/>
        <v>Reebok</v>
      </c>
      <c r="B540" s="5" t="str">
        <f t="shared" si="60"/>
        <v>Question Mid</v>
      </c>
      <c r="C540" s="3">
        <f t="shared" si="59"/>
        <v>45693</v>
      </c>
      <c r="D540" s="4">
        <f t="shared" ca="1" si="61"/>
        <v>221</v>
      </c>
      <c r="E540" s="2">
        <f t="shared" ca="1" si="62"/>
        <v>11140</v>
      </c>
      <c r="F540" s="2">
        <f t="shared" ca="1" si="63"/>
        <v>29171</v>
      </c>
      <c r="G540" s="2">
        <f t="shared" ca="1" si="64"/>
        <v>800</v>
      </c>
    </row>
    <row r="541" spans="1:7" x14ac:dyDescent="0.3">
      <c r="A541" s="5" t="str">
        <f t="shared" si="58"/>
        <v>Nike</v>
      </c>
      <c r="B541" s="5" t="str">
        <f t="shared" si="60"/>
        <v>Air Max 270</v>
      </c>
      <c r="C541" s="3">
        <f t="shared" si="59"/>
        <v>45693</v>
      </c>
      <c r="D541" s="4">
        <f t="shared" ca="1" si="61"/>
        <v>60</v>
      </c>
      <c r="E541" s="2">
        <f t="shared" ca="1" si="62"/>
        <v>10990</v>
      </c>
      <c r="F541" s="2">
        <f t="shared" ca="1" si="63"/>
        <v>7361</v>
      </c>
      <c r="G541" s="2">
        <f t="shared" ca="1" si="64"/>
        <v>204</v>
      </c>
    </row>
    <row r="542" spans="1:7" x14ac:dyDescent="0.3">
      <c r="A542" s="5" t="str">
        <f t="shared" si="58"/>
        <v>Adidas</v>
      </c>
      <c r="B542" s="5" t="str">
        <f t="shared" si="60"/>
        <v>Stan Smith</v>
      </c>
      <c r="C542" s="3">
        <f t="shared" si="59"/>
        <v>45694</v>
      </c>
      <c r="D542" s="4">
        <f t="shared" ca="1" si="61"/>
        <v>84</v>
      </c>
      <c r="E542" s="2">
        <f t="shared" ca="1" si="62"/>
        <v>10707</v>
      </c>
      <c r="F542" s="2">
        <f t="shared" ca="1" si="63"/>
        <v>6229</v>
      </c>
      <c r="G542" s="2">
        <f t="shared" ca="1" si="64"/>
        <v>466</v>
      </c>
    </row>
    <row r="543" spans="1:7" x14ac:dyDescent="0.3">
      <c r="A543" s="5" t="str">
        <f t="shared" si="58"/>
        <v>Puma</v>
      </c>
      <c r="B543" s="5" t="str">
        <f t="shared" si="60"/>
        <v>Cali Dream</v>
      </c>
      <c r="C543" s="3">
        <f t="shared" si="59"/>
        <v>45694</v>
      </c>
      <c r="D543" s="4">
        <f t="shared" ca="1" si="61"/>
        <v>171</v>
      </c>
      <c r="E543" s="2">
        <f t="shared" ca="1" si="62"/>
        <v>4441</v>
      </c>
      <c r="F543" s="2">
        <f t="shared" ca="1" si="63"/>
        <v>22246</v>
      </c>
      <c r="G543" s="2">
        <f t="shared" ca="1" si="64"/>
        <v>1241</v>
      </c>
    </row>
    <row r="544" spans="1:7" x14ac:dyDescent="0.3">
      <c r="A544" s="5" t="str">
        <f t="shared" si="58"/>
        <v>New Balance</v>
      </c>
      <c r="B544" s="5" t="str">
        <f t="shared" si="60"/>
        <v>9060</v>
      </c>
      <c r="C544" s="3">
        <f t="shared" si="59"/>
        <v>45694</v>
      </c>
      <c r="D544" s="4">
        <f t="shared" ca="1" si="61"/>
        <v>117</v>
      </c>
      <c r="E544" s="2">
        <f t="shared" ca="1" si="62"/>
        <v>5510</v>
      </c>
      <c r="F544" s="2">
        <f t="shared" ca="1" si="63"/>
        <v>25159</v>
      </c>
      <c r="G544" s="2">
        <f t="shared" ca="1" si="64"/>
        <v>1950</v>
      </c>
    </row>
    <row r="545" spans="1:7" x14ac:dyDescent="0.3">
      <c r="A545" s="5" t="str">
        <f t="shared" si="58"/>
        <v>Reebok</v>
      </c>
      <c r="B545" s="5" t="str">
        <f t="shared" si="60"/>
        <v>Zig Kinetica</v>
      </c>
      <c r="C545" s="3">
        <f t="shared" si="59"/>
        <v>45694</v>
      </c>
      <c r="D545" s="4">
        <f t="shared" ca="1" si="61"/>
        <v>77</v>
      </c>
      <c r="E545" s="2">
        <f t="shared" ca="1" si="62"/>
        <v>3609</v>
      </c>
      <c r="F545" s="2">
        <f t="shared" ca="1" si="63"/>
        <v>32599</v>
      </c>
      <c r="G545" s="2">
        <f t="shared" ca="1" si="64"/>
        <v>2364</v>
      </c>
    </row>
    <row r="546" spans="1:7" x14ac:dyDescent="0.3">
      <c r="A546" s="5" t="str">
        <f t="shared" si="58"/>
        <v>Nike</v>
      </c>
      <c r="B546" s="5" t="str">
        <f t="shared" si="60"/>
        <v>Jordan 1</v>
      </c>
      <c r="C546" s="3">
        <f t="shared" si="59"/>
        <v>45694</v>
      </c>
      <c r="D546" s="4">
        <f t="shared" ca="1" si="61"/>
        <v>60</v>
      </c>
      <c r="E546" s="2">
        <f t="shared" ca="1" si="62"/>
        <v>7285</v>
      </c>
      <c r="F546" s="2">
        <f t="shared" ca="1" si="63"/>
        <v>22876</v>
      </c>
      <c r="G546" s="2">
        <f t="shared" ca="1" si="64"/>
        <v>1315</v>
      </c>
    </row>
    <row r="547" spans="1:7" x14ac:dyDescent="0.3">
      <c r="A547" s="5" t="str">
        <f t="shared" si="58"/>
        <v>Adidas</v>
      </c>
      <c r="B547" s="5" t="str">
        <f t="shared" si="60"/>
        <v>Ultraboost 23</v>
      </c>
      <c r="C547" s="3">
        <f t="shared" si="59"/>
        <v>45694</v>
      </c>
      <c r="D547" s="4">
        <f t="shared" ca="1" si="61"/>
        <v>50</v>
      </c>
      <c r="E547" s="2">
        <f t="shared" ca="1" si="62"/>
        <v>5774</v>
      </c>
      <c r="F547" s="2">
        <f t="shared" ca="1" si="63"/>
        <v>5139</v>
      </c>
      <c r="G547" s="2">
        <f t="shared" ca="1" si="64"/>
        <v>292</v>
      </c>
    </row>
    <row r="548" spans="1:7" x14ac:dyDescent="0.3">
      <c r="A548" s="5" t="str">
        <f t="shared" si="58"/>
        <v>Puma</v>
      </c>
      <c r="B548" s="5" t="str">
        <f t="shared" si="60"/>
        <v>RS-X</v>
      </c>
      <c r="C548" s="3">
        <f t="shared" si="59"/>
        <v>45694</v>
      </c>
      <c r="D548" s="4">
        <f t="shared" ca="1" si="61"/>
        <v>176</v>
      </c>
      <c r="E548" s="2">
        <f t="shared" ca="1" si="62"/>
        <v>6327</v>
      </c>
      <c r="F548" s="2">
        <f t="shared" ca="1" si="63"/>
        <v>25787</v>
      </c>
      <c r="G548" s="2">
        <f t="shared" ca="1" si="64"/>
        <v>651</v>
      </c>
    </row>
    <row r="549" spans="1:7" x14ac:dyDescent="0.3">
      <c r="A549" s="5" t="str">
        <f t="shared" si="58"/>
        <v>New Balance</v>
      </c>
      <c r="B549" s="5" t="str">
        <f t="shared" si="60"/>
        <v>2002R</v>
      </c>
      <c r="C549" s="3">
        <f t="shared" si="59"/>
        <v>45694</v>
      </c>
      <c r="D549" s="4">
        <f t="shared" ca="1" si="61"/>
        <v>95</v>
      </c>
      <c r="E549" s="2">
        <f t="shared" ca="1" si="62"/>
        <v>3544</v>
      </c>
      <c r="F549" s="2">
        <f t="shared" ca="1" si="63"/>
        <v>9701</v>
      </c>
      <c r="G549" s="2">
        <f t="shared" ca="1" si="64"/>
        <v>287</v>
      </c>
    </row>
    <row r="550" spans="1:7" x14ac:dyDescent="0.3">
      <c r="A550" s="5" t="str">
        <f t="shared" si="58"/>
        <v>Reebok</v>
      </c>
      <c r="B550" s="5" t="str">
        <f t="shared" si="60"/>
        <v>Instapump Fury</v>
      </c>
      <c r="C550" s="3">
        <f t="shared" si="59"/>
        <v>45694</v>
      </c>
      <c r="D550" s="4">
        <f t="shared" ca="1" si="61"/>
        <v>224</v>
      </c>
      <c r="E550" s="2">
        <f t="shared" ca="1" si="62"/>
        <v>9999</v>
      </c>
      <c r="F550" s="2">
        <f t="shared" ca="1" si="63"/>
        <v>33956</v>
      </c>
      <c r="G550" s="2">
        <f t="shared" ca="1" si="64"/>
        <v>1378</v>
      </c>
    </row>
    <row r="551" spans="1:7" x14ac:dyDescent="0.3">
      <c r="A551" s="5" t="str">
        <f t="shared" si="58"/>
        <v>Nike</v>
      </c>
      <c r="B551" s="5" t="str">
        <f t="shared" si="60"/>
        <v>Cortez</v>
      </c>
      <c r="C551" s="3">
        <f t="shared" si="59"/>
        <v>45694</v>
      </c>
      <c r="D551" s="4">
        <f t="shared" ca="1" si="61"/>
        <v>137</v>
      </c>
      <c r="E551" s="2">
        <f t="shared" ca="1" si="62"/>
        <v>10979</v>
      </c>
      <c r="F551" s="2">
        <f t="shared" ca="1" si="63"/>
        <v>30047</v>
      </c>
      <c r="G551" s="2">
        <f t="shared" ca="1" si="64"/>
        <v>1967</v>
      </c>
    </row>
    <row r="552" spans="1:7" x14ac:dyDescent="0.3">
      <c r="A552" s="5" t="str">
        <f t="shared" si="58"/>
        <v>Adidas</v>
      </c>
      <c r="B552" s="5" t="str">
        <f t="shared" si="60"/>
        <v>NMD S1</v>
      </c>
      <c r="C552" s="3">
        <f t="shared" si="59"/>
        <v>45694</v>
      </c>
      <c r="D552" s="4">
        <f t="shared" ca="1" si="61"/>
        <v>97</v>
      </c>
      <c r="E552" s="2">
        <f t="shared" ca="1" si="62"/>
        <v>4631</v>
      </c>
      <c r="F552" s="2">
        <f t="shared" ca="1" si="63"/>
        <v>9509</v>
      </c>
      <c r="G552" s="2">
        <f t="shared" ca="1" si="64"/>
        <v>553</v>
      </c>
    </row>
    <row r="553" spans="1:7" x14ac:dyDescent="0.3">
      <c r="A553" s="5" t="str">
        <f t="shared" si="58"/>
        <v>Puma</v>
      </c>
      <c r="B553" s="5" t="str">
        <f t="shared" si="60"/>
        <v>Suede Classic</v>
      </c>
      <c r="C553" s="3">
        <f t="shared" si="59"/>
        <v>45694</v>
      </c>
      <c r="D553" s="4">
        <f t="shared" ca="1" si="61"/>
        <v>170</v>
      </c>
      <c r="E553" s="2">
        <f t="shared" ca="1" si="62"/>
        <v>5197</v>
      </c>
      <c r="F553" s="2">
        <f t="shared" ca="1" si="63"/>
        <v>12964</v>
      </c>
      <c r="G553" s="2">
        <f t="shared" ca="1" si="64"/>
        <v>423</v>
      </c>
    </row>
    <row r="554" spans="1:7" x14ac:dyDescent="0.3">
      <c r="A554" s="5" t="str">
        <f t="shared" si="58"/>
        <v>New Balance</v>
      </c>
      <c r="B554" s="5" t="str">
        <f t="shared" si="60"/>
        <v>990v6</v>
      </c>
      <c r="C554" s="3">
        <f t="shared" si="59"/>
        <v>45694</v>
      </c>
      <c r="D554" s="4">
        <f t="shared" ca="1" si="61"/>
        <v>105</v>
      </c>
      <c r="E554" s="2">
        <f t="shared" ca="1" si="62"/>
        <v>11450</v>
      </c>
      <c r="F554" s="2">
        <f t="shared" ca="1" si="63"/>
        <v>29936</v>
      </c>
      <c r="G554" s="2">
        <f t="shared" ca="1" si="64"/>
        <v>1586</v>
      </c>
    </row>
    <row r="555" spans="1:7" x14ac:dyDescent="0.3">
      <c r="A555" s="5" t="str">
        <f t="shared" ref="A555:A618" si="65">CHOOSE(MOD(ROW(A554),5)+1,"Nike","Adidas","Puma","New Balance","Reebok")</f>
        <v>Reebok</v>
      </c>
      <c r="B555" s="5" t="str">
        <f t="shared" si="60"/>
        <v>Nano X3</v>
      </c>
      <c r="C555" s="3">
        <f t="shared" ref="C555:C618" si="66">DATE(2025,1,1)+INT((ROW(A555)-2)/15)</f>
        <v>45694</v>
      </c>
      <c r="D555" s="4">
        <f t="shared" ca="1" si="61"/>
        <v>170</v>
      </c>
      <c r="E555" s="2">
        <f t="shared" ca="1" si="62"/>
        <v>6049</v>
      </c>
      <c r="F555" s="2">
        <f t="shared" ca="1" si="63"/>
        <v>29171</v>
      </c>
      <c r="G555" s="2">
        <f t="shared" ca="1" si="64"/>
        <v>1022</v>
      </c>
    </row>
    <row r="556" spans="1:7" x14ac:dyDescent="0.3">
      <c r="A556" s="5" t="str">
        <f t="shared" si="65"/>
        <v>Nike</v>
      </c>
      <c r="B556" s="5" t="str">
        <f t="shared" si="60"/>
        <v>Vaporfly 3</v>
      </c>
      <c r="C556" s="3">
        <f t="shared" si="66"/>
        <v>45694</v>
      </c>
      <c r="D556" s="4">
        <f t="shared" ca="1" si="61"/>
        <v>114</v>
      </c>
      <c r="E556" s="2">
        <f t="shared" ca="1" si="62"/>
        <v>6499</v>
      </c>
      <c r="F556" s="2">
        <f t="shared" ca="1" si="63"/>
        <v>12192</v>
      </c>
      <c r="G556" s="2">
        <f t="shared" ca="1" si="64"/>
        <v>520</v>
      </c>
    </row>
    <row r="557" spans="1:7" x14ac:dyDescent="0.3">
      <c r="A557" s="5" t="str">
        <f t="shared" si="65"/>
        <v>Adidas</v>
      </c>
      <c r="B557" s="5" t="str">
        <f t="shared" si="60"/>
        <v>Samba</v>
      </c>
      <c r="C557" s="3">
        <f t="shared" si="66"/>
        <v>45695</v>
      </c>
      <c r="D557" s="4">
        <f t="shared" ca="1" si="61"/>
        <v>28</v>
      </c>
      <c r="E557" s="2">
        <f t="shared" ca="1" si="62"/>
        <v>10648</v>
      </c>
      <c r="F557" s="2">
        <f t="shared" ca="1" si="63"/>
        <v>26255</v>
      </c>
      <c r="G557" s="2">
        <f t="shared" ca="1" si="64"/>
        <v>601</v>
      </c>
    </row>
    <row r="558" spans="1:7" x14ac:dyDescent="0.3">
      <c r="A558" s="5" t="str">
        <f t="shared" si="65"/>
        <v>Puma</v>
      </c>
      <c r="B558" s="5" t="str">
        <f t="shared" si="60"/>
        <v>Mayze</v>
      </c>
      <c r="C558" s="3">
        <f t="shared" si="66"/>
        <v>45695</v>
      </c>
      <c r="D558" s="4">
        <f t="shared" ca="1" si="61"/>
        <v>153</v>
      </c>
      <c r="E558" s="2">
        <f t="shared" ca="1" si="62"/>
        <v>2707</v>
      </c>
      <c r="F558" s="2">
        <f t="shared" ca="1" si="63"/>
        <v>12814</v>
      </c>
      <c r="G558" s="2">
        <f t="shared" ca="1" si="64"/>
        <v>423</v>
      </c>
    </row>
    <row r="559" spans="1:7" x14ac:dyDescent="0.3">
      <c r="A559" s="5" t="str">
        <f t="shared" si="65"/>
        <v>New Balance</v>
      </c>
      <c r="B559" s="5" t="str">
        <f t="shared" si="60"/>
        <v>574 Core</v>
      </c>
      <c r="C559" s="3">
        <f t="shared" si="66"/>
        <v>45695</v>
      </c>
      <c r="D559" s="4">
        <f t="shared" ca="1" si="61"/>
        <v>82</v>
      </c>
      <c r="E559" s="2">
        <f t="shared" ca="1" si="62"/>
        <v>7715</v>
      </c>
      <c r="F559" s="2">
        <f t="shared" ca="1" si="63"/>
        <v>9083</v>
      </c>
      <c r="G559" s="2">
        <f t="shared" ca="1" si="64"/>
        <v>492</v>
      </c>
    </row>
    <row r="560" spans="1:7" x14ac:dyDescent="0.3">
      <c r="A560" s="5" t="str">
        <f t="shared" si="65"/>
        <v>Reebok</v>
      </c>
      <c r="B560" s="5" t="str">
        <f t="shared" si="60"/>
        <v>Club C 85</v>
      </c>
      <c r="C560" s="3">
        <f t="shared" si="66"/>
        <v>45695</v>
      </c>
      <c r="D560" s="4">
        <f t="shared" ca="1" si="61"/>
        <v>231</v>
      </c>
      <c r="E560" s="2">
        <f t="shared" ca="1" si="62"/>
        <v>3616</v>
      </c>
      <c r="F560" s="2">
        <f t="shared" ca="1" si="63"/>
        <v>23790</v>
      </c>
      <c r="G560" s="2">
        <f t="shared" ca="1" si="64"/>
        <v>1732</v>
      </c>
    </row>
    <row r="561" spans="1:7" x14ac:dyDescent="0.3">
      <c r="A561" s="5" t="str">
        <f t="shared" si="65"/>
        <v>Nike</v>
      </c>
      <c r="B561" s="5" t="str">
        <f t="shared" si="60"/>
        <v>Pegasus 40</v>
      </c>
      <c r="C561" s="3">
        <f t="shared" si="66"/>
        <v>45695</v>
      </c>
      <c r="D561" s="4">
        <f t="shared" ca="1" si="61"/>
        <v>39</v>
      </c>
      <c r="E561" s="2">
        <f t="shared" ca="1" si="62"/>
        <v>8556</v>
      </c>
      <c r="F561" s="2">
        <f t="shared" ca="1" si="63"/>
        <v>30306</v>
      </c>
      <c r="G561" s="2">
        <f t="shared" ca="1" si="64"/>
        <v>1062</v>
      </c>
    </row>
    <row r="562" spans="1:7" x14ac:dyDescent="0.3">
      <c r="A562" s="5" t="str">
        <f t="shared" si="65"/>
        <v>Adidas</v>
      </c>
      <c r="B562" s="5" t="str">
        <f t="shared" si="60"/>
        <v>Gazelle</v>
      </c>
      <c r="C562" s="3">
        <f t="shared" si="66"/>
        <v>45695</v>
      </c>
      <c r="D562" s="4">
        <f t="shared" ca="1" si="61"/>
        <v>132</v>
      </c>
      <c r="E562" s="2">
        <f t="shared" ca="1" si="62"/>
        <v>9253</v>
      </c>
      <c r="F562" s="2">
        <f t="shared" ca="1" si="63"/>
        <v>31609</v>
      </c>
      <c r="G562" s="2">
        <f t="shared" ca="1" si="64"/>
        <v>2390</v>
      </c>
    </row>
    <row r="563" spans="1:7" x14ac:dyDescent="0.3">
      <c r="A563" s="5" t="str">
        <f t="shared" si="65"/>
        <v>Puma</v>
      </c>
      <c r="B563" s="5" t="str">
        <f t="shared" si="60"/>
        <v>Slipstream</v>
      </c>
      <c r="C563" s="3">
        <f t="shared" si="66"/>
        <v>45695</v>
      </c>
      <c r="D563" s="4">
        <f t="shared" ca="1" si="61"/>
        <v>49</v>
      </c>
      <c r="E563" s="2">
        <f t="shared" ca="1" si="62"/>
        <v>12088</v>
      </c>
      <c r="F563" s="2">
        <f t="shared" ca="1" si="63"/>
        <v>28052</v>
      </c>
      <c r="G563" s="2">
        <f t="shared" ca="1" si="64"/>
        <v>697</v>
      </c>
    </row>
    <row r="564" spans="1:7" x14ac:dyDescent="0.3">
      <c r="A564" s="5" t="str">
        <f t="shared" si="65"/>
        <v>New Balance</v>
      </c>
      <c r="B564" s="5" t="str">
        <f t="shared" si="60"/>
        <v>550</v>
      </c>
      <c r="C564" s="3">
        <f t="shared" si="66"/>
        <v>45695</v>
      </c>
      <c r="D564" s="4">
        <f t="shared" ca="1" si="61"/>
        <v>51</v>
      </c>
      <c r="E564" s="2">
        <f t="shared" ca="1" si="62"/>
        <v>2942</v>
      </c>
      <c r="F564" s="2">
        <f t="shared" ca="1" si="63"/>
        <v>9839</v>
      </c>
      <c r="G564" s="2">
        <f t="shared" ca="1" si="64"/>
        <v>692</v>
      </c>
    </row>
    <row r="565" spans="1:7" x14ac:dyDescent="0.3">
      <c r="A565" s="5" t="str">
        <f t="shared" si="65"/>
        <v>Reebok</v>
      </c>
      <c r="B565" s="5" t="str">
        <f t="shared" si="60"/>
        <v>Classic Leather</v>
      </c>
      <c r="C565" s="3">
        <f t="shared" si="66"/>
        <v>45695</v>
      </c>
      <c r="D565" s="4">
        <f t="shared" ca="1" si="61"/>
        <v>154</v>
      </c>
      <c r="E565" s="2">
        <f t="shared" ca="1" si="62"/>
        <v>5164</v>
      </c>
      <c r="F565" s="2">
        <f t="shared" ca="1" si="63"/>
        <v>22616</v>
      </c>
      <c r="G565" s="2">
        <f t="shared" ca="1" si="64"/>
        <v>1303</v>
      </c>
    </row>
    <row r="566" spans="1:7" x14ac:dyDescent="0.3">
      <c r="A566" s="5" t="str">
        <f t="shared" si="65"/>
        <v>Nike</v>
      </c>
      <c r="B566" s="5" t="str">
        <f t="shared" si="60"/>
        <v>Air Force 1</v>
      </c>
      <c r="C566" s="3">
        <f t="shared" si="66"/>
        <v>45695</v>
      </c>
      <c r="D566" s="4">
        <f t="shared" ca="1" si="61"/>
        <v>38</v>
      </c>
      <c r="E566" s="2">
        <f t="shared" ca="1" si="62"/>
        <v>10795</v>
      </c>
      <c r="F566" s="2">
        <f t="shared" ca="1" si="63"/>
        <v>31931</v>
      </c>
      <c r="G566" s="2">
        <f t="shared" ca="1" si="64"/>
        <v>1488</v>
      </c>
    </row>
    <row r="567" spans="1:7" x14ac:dyDescent="0.3">
      <c r="A567" s="5" t="str">
        <f t="shared" si="65"/>
        <v>Adidas</v>
      </c>
      <c r="B567" s="5" t="str">
        <f t="shared" si="60"/>
        <v>Superstar</v>
      </c>
      <c r="C567" s="3">
        <f t="shared" si="66"/>
        <v>45695</v>
      </c>
      <c r="D567" s="4">
        <f t="shared" ca="1" si="61"/>
        <v>147</v>
      </c>
      <c r="E567" s="2">
        <f t="shared" ca="1" si="62"/>
        <v>11155</v>
      </c>
      <c r="F567" s="2">
        <f t="shared" ca="1" si="63"/>
        <v>27187</v>
      </c>
      <c r="G567" s="2">
        <f t="shared" ca="1" si="64"/>
        <v>951</v>
      </c>
    </row>
    <row r="568" spans="1:7" x14ac:dyDescent="0.3">
      <c r="A568" s="5" t="str">
        <f t="shared" si="65"/>
        <v>Puma</v>
      </c>
      <c r="B568" s="5" t="str">
        <f t="shared" si="60"/>
        <v>Rider Vintage</v>
      </c>
      <c r="C568" s="3">
        <f t="shared" si="66"/>
        <v>45695</v>
      </c>
      <c r="D568" s="4">
        <f t="shared" ca="1" si="61"/>
        <v>35</v>
      </c>
      <c r="E568" s="2">
        <f t="shared" ca="1" si="62"/>
        <v>11165</v>
      </c>
      <c r="F568" s="2">
        <f t="shared" ca="1" si="63"/>
        <v>31301</v>
      </c>
      <c r="G568" s="2">
        <f t="shared" ca="1" si="64"/>
        <v>2444</v>
      </c>
    </row>
    <row r="569" spans="1:7" x14ac:dyDescent="0.3">
      <c r="A569" s="5" t="str">
        <f t="shared" si="65"/>
        <v>New Balance</v>
      </c>
      <c r="B569" s="5" t="str">
        <f t="shared" si="60"/>
        <v>327</v>
      </c>
      <c r="C569" s="3">
        <f t="shared" si="66"/>
        <v>45695</v>
      </c>
      <c r="D569" s="4">
        <f t="shared" ca="1" si="61"/>
        <v>208</v>
      </c>
      <c r="E569" s="2">
        <f t="shared" ca="1" si="62"/>
        <v>2815</v>
      </c>
      <c r="F569" s="2">
        <f t="shared" ca="1" si="63"/>
        <v>28753</v>
      </c>
      <c r="G569" s="2">
        <f t="shared" ca="1" si="64"/>
        <v>1459</v>
      </c>
    </row>
    <row r="570" spans="1:7" x14ac:dyDescent="0.3">
      <c r="A570" s="5" t="str">
        <f t="shared" si="65"/>
        <v>Reebok</v>
      </c>
      <c r="B570" s="5" t="str">
        <f t="shared" si="60"/>
        <v>Question Mid</v>
      </c>
      <c r="C570" s="3">
        <f t="shared" si="66"/>
        <v>45695</v>
      </c>
      <c r="D570" s="4">
        <f t="shared" ca="1" si="61"/>
        <v>122</v>
      </c>
      <c r="E570" s="2">
        <f t="shared" ca="1" si="62"/>
        <v>6705</v>
      </c>
      <c r="F570" s="2">
        <f t="shared" ca="1" si="63"/>
        <v>26886</v>
      </c>
      <c r="G570" s="2">
        <f t="shared" ca="1" si="64"/>
        <v>1115</v>
      </c>
    </row>
    <row r="571" spans="1:7" x14ac:dyDescent="0.3">
      <c r="A571" s="5" t="str">
        <f t="shared" si="65"/>
        <v>Nike</v>
      </c>
      <c r="B571" s="5" t="str">
        <f t="shared" si="60"/>
        <v>Air Max 270</v>
      </c>
      <c r="C571" s="3">
        <f t="shared" si="66"/>
        <v>45695</v>
      </c>
      <c r="D571" s="4">
        <f t="shared" ca="1" si="61"/>
        <v>115</v>
      </c>
      <c r="E571" s="2">
        <f t="shared" ca="1" si="62"/>
        <v>2711</v>
      </c>
      <c r="F571" s="2">
        <f t="shared" ca="1" si="63"/>
        <v>22625</v>
      </c>
      <c r="G571" s="2">
        <f t="shared" ca="1" si="64"/>
        <v>717</v>
      </c>
    </row>
    <row r="572" spans="1:7" x14ac:dyDescent="0.3">
      <c r="A572" s="5" t="str">
        <f t="shared" si="65"/>
        <v>Adidas</v>
      </c>
      <c r="B572" s="5" t="str">
        <f t="shared" si="60"/>
        <v>Stan Smith</v>
      </c>
      <c r="C572" s="3">
        <f t="shared" si="66"/>
        <v>45696</v>
      </c>
      <c r="D572" s="4">
        <f t="shared" ca="1" si="61"/>
        <v>129</v>
      </c>
      <c r="E572" s="2">
        <f t="shared" ca="1" si="62"/>
        <v>7519</v>
      </c>
      <c r="F572" s="2">
        <f t="shared" ca="1" si="63"/>
        <v>31026</v>
      </c>
      <c r="G572" s="2">
        <f t="shared" ca="1" si="64"/>
        <v>1518</v>
      </c>
    </row>
    <row r="573" spans="1:7" x14ac:dyDescent="0.3">
      <c r="A573" s="5" t="str">
        <f t="shared" si="65"/>
        <v>Puma</v>
      </c>
      <c r="B573" s="5" t="str">
        <f t="shared" si="60"/>
        <v>Cali Dream</v>
      </c>
      <c r="C573" s="3">
        <f t="shared" si="66"/>
        <v>45696</v>
      </c>
      <c r="D573" s="4">
        <f t="shared" ca="1" si="61"/>
        <v>82</v>
      </c>
      <c r="E573" s="2">
        <f t="shared" ca="1" si="62"/>
        <v>6333</v>
      </c>
      <c r="F573" s="2">
        <f t="shared" ca="1" si="63"/>
        <v>26832</v>
      </c>
      <c r="G573" s="2">
        <f t="shared" ca="1" si="64"/>
        <v>2139</v>
      </c>
    </row>
    <row r="574" spans="1:7" x14ac:dyDescent="0.3">
      <c r="A574" s="5" t="str">
        <f t="shared" si="65"/>
        <v>New Balance</v>
      </c>
      <c r="B574" s="5" t="str">
        <f t="shared" si="60"/>
        <v>9060</v>
      </c>
      <c r="C574" s="3">
        <f t="shared" si="66"/>
        <v>45696</v>
      </c>
      <c r="D574" s="4">
        <f t="shared" ca="1" si="61"/>
        <v>209</v>
      </c>
      <c r="E574" s="2">
        <f t="shared" ca="1" si="62"/>
        <v>3892</v>
      </c>
      <c r="F574" s="2">
        <f t="shared" ca="1" si="63"/>
        <v>17348</v>
      </c>
      <c r="G574" s="2">
        <f t="shared" ca="1" si="64"/>
        <v>845</v>
      </c>
    </row>
    <row r="575" spans="1:7" x14ac:dyDescent="0.3">
      <c r="A575" s="5" t="str">
        <f t="shared" si="65"/>
        <v>Reebok</v>
      </c>
      <c r="B575" s="5" t="str">
        <f t="shared" si="60"/>
        <v>Zig Kinetica</v>
      </c>
      <c r="C575" s="3">
        <f t="shared" si="66"/>
        <v>45696</v>
      </c>
      <c r="D575" s="4">
        <f t="shared" ca="1" si="61"/>
        <v>191</v>
      </c>
      <c r="E575" s="2">
        <f t="shared" ca="1" si="62"/>
        <v>9187</v>
      </c>
      <c r="F575" s="2">
        <f t="shared" ca="1" si="63"/>
        <v>18538</v>
      </c>
      <c r="G575" s="2">
        <f t="shared" ca="1" si="64"/>
        <v>764</v>
      </c>
    </row>
    <row r="576" spans="1:7" x14ac:dyDescent="0.3">
      <c r="A576" s="5" t="str">
        <f t="shared" si="65"/>
        <v>Nike</v>
      </c>
      <c r="B576" s="5" t="str">
        <f t="shared" si="60"/>
        <v>Jordan 1</v>
      </c>
      <c r="C576" s="3">
        <f t="shared" si="66"/>
        <v>45696</v>
      </c>
      <c r="D576" s="4">
        <f t="shared" ca="1" si="61"/>
        <v>193</v>
      </c>
      <c r="E576" s="2">
        <f t="shared" ca="1" si="62"/>
        <v>5961</v>
      </c>
      <c r="F576" s="2">
        <f t="shared" ca="1" si="63"/>
        <v>7348</v>
      </c>
      <c r="G576" s="2">
        <f t="shared" ca="1" si="64"/>
        <v>271</v>
      </c>
    </row>
    <row r="577" spans="1:7" x14ac:dyDescent="0.3">
      <c r="A577" s="5" t="str">
        <f t="shared" si="65"/>
        <v>Adidas</v>
      </c>
      <c r="B577" s="5" t="str">
        <f t="shared" si="60"/>
        <v>Ultraboost 23</v>
      </c>
      <c r="C577" s="3">
        <f t="shared" si="66"/>
        <v>45696</v>
      </c>
      <c r="D577" s="4">
        <f t="shared" ca="1" si="61"/>
        <v>97</v>
      </c>
      <c r="E577" s="2">
        <f t="shared" ca="1" si="62"/>
        <v>4015</v>
      </c>
      <c r="F577" s="2">
        <f t="shared" ca="1" si="63"/>
        <v>9929</v>
      </c>
      <c r="G577" s="2">
        <f t="shared" ca="1" si="64"/>
        <v>521</v>
      </c>
    </row>
    <row r="578" spans="1:7" x14ac:dyDescent="0.3">
      <c r="A578" s="5" t="str">
        <f t="shared" si="65"/>
        <v>Puma</v>
      </c>
      <c r="B578" s="5" t="str">
        <f t="shared" si="60"/>
        <v>RS-X</v>
      </c>
      <c r="C578" s="3">
        <f t="shared" si="66"/>
        <v>45696</v>
      </c>
      <c r="D578" s="4">
        <f t="shared" ca="1" si="61"/>
        <v>22</v>
      </c>
      <c r="E578" s="2">
        <f t="shared" ca="1" si="62"/>
        <v>4791</v>
      </c>
      <c r="F578" s="2">
        <f t="shared" ca="1" si="63"/>
        <v>11078</v>
      </c>
      <c r="G578" s="2">
        <f t="shared" ca="1" si="64"/>
        <v>463</v>
      </c>
    </row>
    <row r="579" spans="1:7" x14ac:dyDescent="0.3">
      <c r="A579" s="5" t="str">
        <f t="shared" si="65"/>
        <v>New Balance</v>
      </c>
      <c r="B579" s="5" t="str">
        <f t="shared" ref="B579:B642" si="67">IF(A579="Nike",CHOOSE(MOD(ROW(A578),6)+1,"Air Max 270","Air Force 1","Pegasus 40","Vaporfly 3","Cortez","Jordan 1"),
 IF(A579="Adidas",CHOOSE(MOD(ROW(A578),6)+1,"Ultraboost 23","Stan Smith","Superstar","Gazelle","Samba","NMD S1"),
 IF(A579="Puma",CHOOSE(MOD(ROW(A578),6)+1,"Suede Classic","RS-X","Cali Dream","Rider Vintage","Slipstream","Mayze"),
 IF(A579="New Balance",CHOOSE(MOD(ROW(A578),6)+1,"574 Core","990v6","2002R","9060","327","550"),
 IF(A579="Reebok",CHOOSE(MOD(ROW(A578),6)+1,"Classic Leather","Club C 85","Nano X3","Instapump Fury","Zig Kinetica","Question Mid"),"")))))</f>
        <v>2002R</v>
      </c>
      <c r="C579" s="3">
        <f t="shared" si="66"/>
        <v>45696</v>
      </c>
      <c r="D579" s="4">
        <f t="shared" ref="D579:D642" ca="1" si="68">RANDBETWEEN(20,250)</f>
        <v>33</v>
      </c>
      <c r="E579" s="2">
        <f t="shared" ref="E579:E642" ca="1" si="69">ROUND(RANDBETWEEN(1500,12000)+(RANDBETWEEN(-200,200)),2)</f>
        <v>5035</v>
      </c>
      <c r="F579" s="2">
        <f t="shared" ref="F579:F642" ca="1" si="70">RANDBETWEEN(5000,35000)</f>
        <v>33980</v>
      </c>
      <c r="G579" s="2">
        <f t="shared" ref="G579:G642" ca="1" si="71">RANDBETWEEN(ROUND(F579*0.02,0),ROUND(F579*0.08,0))</f>
        <v>1897</v>
      </c>
    </row>
    <row r="580" spans="1:7" x14ac:dyDescent="0.3">
      <c r="A580" s="5" t="str">
        <f t="shared" si="65"/>
        <v>Reebok</v>
      </c>
      <c r="B580" s="5" t="str">
        <f t="shared" si="67"/>
        <v>Instapump Fury</v>
      </c>
      <c r="C580" s="3">
        <f t="shared" si="66"/>
        <v>45696</v>
      </c>
      <c r="D580" s="4">
        <f t="shared" ca="1" si="68"/>
        <v>119</v>
      </c>
      <c r="E580" s="2">
        <f t="shared" ca="1" si="69"/>
        <v>2939</v>
      </c>
      <c r="F580" s="2">
        <f t="shared" ca="1" si="70"/>
        <v>14723</v>
      </c>
      <c r="G580" s="2">
        <f t="shared" ca="1" si="71"/>
        <v>1084</v>
      </c>
    </row>
    <row r="581" spans="1:7" x14ac:dyDescent="0.3">
      <c r="A581" s="5" t="str">
        <f t="shared" si="65"/>
        <v>Nike</v>
      </c>
      <c r="B581" s="5" t="str">
        <f t="shared" si="67"/>
        <v>Cortez</v>
      </c>
      <c r="C581" s="3">
        <f t="shared" si="66"/>
        <v>45696</v>
      </c>
      <c r="D581" s="4">
        <f t="shared" ca="1" si="68"/>
        <v>138</v>
      </c>
      <c r="E581" s="2">
        <f t="shared" ca="1" si="69"/>
        <v>1781</v>
      </c>
      <c r="F581" s="2">
        <f t="shared" ca="1" si="70"/>
        <v>12917</v>
      </c>
      <c r="G581" s="2">
        <f t="shared" ca="1" si="71"/>
        <v>741</v>
      </c>
    </row>
    <row r="582" spans="1:7" x14ac:dyDescent="0.3">
      <c r="A582" s="5" t="str">
        <f t="shared" si="65"/>
        <v>Adidas</v>
      </c>
      <c r="B582" s="5" t="str">
        <f t="shared" si="67"/>
        <v>NMD S1</v>
      </c>
      <c r="C582" s="3">
        <f t="shared" si="66"/>
        <v>45696</v>
      </c>
      <c r="D582" s="4">
        <f t="shared" ca="1" si="68"/>
        <v>184</v>
      </c>
      <c r="E582" s="2">
        <f t="shared" ca="1" si="69"/>
        <v>2766</v>
      </c>
      <c r="F582" s="2">
        <f t="shared" ca="1" si="70"/>
        <v>24203</v>
      </c>
      <c r="G582" s="2">
        <f t="shared" ca="1" si="71"/>
        <v>1689</v>
      </c>
    </row>
    <row r="583" spans="1:7" x14ac:dyDescent="0.3">
      <c r="A583" s="5" t="str">
        <f t="shared" si="65"/>
        <v>Puma</v>
      </c>
      <c r="B583" s="5" t="str">
        <f t="shared" si="67"/>
        <v>Suede Classic</v>
      </c>
      <c r="C583" s="3">
        <f t="shared" si="66"/>
        <v>45696</v>
      </c>
      <c r="D583" s="4">
        <f t="shared" ca="1" si="68"/>
        <v>232</v>
      </c>
      <c r="E583" s="2">
        <f t="shared" ca="1" si="69"/>
        <v>9219</v>
      </c>
      <c r="F583" s="2">
        <f t="shared" ca="1" si="70"/>
        <v>30663</v>
      </c>
      <c r="G583" s="2">
        <f t="shared" ca="1" si="71"/>
        <v>734</v>
      </c>
    </row>
    <row r="584" spans="1:7" x14ac:dyDescent="0.3">
      <c r="A584" s="5" t="str">
        <f t="shared" si="65"/>
        <v>New Balance</v>
      </c>
      <c r="B584" s="5" t="str">
        <f t="shared" si="67"/>
        <v>990v6</v>
      </c>
      <c r="C584" s="3">
        <f t="shared" si="66"/>
        <v>45696</v>
      </c>
      <c r="D584" s="4">
        <f t="shared" ca="1" si="68"/>
        <v>57</v>
      </c>
      <c r="E584" s="2">
        <f t="shared" ca="1" si="69"/>
        <v>10368</v>
      </c>
      <c r="F584" s="2">
        <f t="shared" ca="1" si="70"/>
        <v>27292</v>
      </c>
      <c r="G584" s="2">
        <f t="shared" ca="1" si="71"/>
        <v>1216</v>
      </c>
    </row>
    <row r="585" spans="1:7" x14ac:dyDescent="0.3">
      <c r="A585" s="5" t="str">
        <f t="shared" si="65"/>
        <v>Reebok</v>
      </c>
      <c r="B585" s="5" t="str">
        <f t="shared" si="67"/>
        <v>Nano X3</v>
      </c>
      <c r="C585" s="3">
        <f t="shared" si="66"/>
        <v>45696</v>
      </c>
      <c r="D585" s="4">
        <f t="shared" ca="1" si="68"/>
        <v>223</v>
      </c>
      <c r="E585" s="2">
        <f t="shared" ca="1" si="69"/>
        <v>10200</v>
      </c>
      <c r="F585" s="2">
        <f t="shared" ca="1" si="70"/>
        <v>30583</v>
      </c>
      <c r="G585" s="2">
        <f t="shared" ca="1" si="71"/>
        <v>1076</v>
      </c>
    </row>
    <row r="586" spans="1:7" x14ac:dyDescent="0.3">
      <c r="A586" s="5" t="str">
        <f t="shared" si="65"/>
        <v>Nike</v>
      </c>
      <c r="B586" s="5" t="str">
        <f t="shared" si="67"/>
        <v>Vaporfly 3</v>
      </c>
      <c r="C586" s="3">
        <f t="shared" si="66"/>
        <v>45696</v>
      </c>
      <c r="D586" s="4">
        <f t="shared" ca="1" si="68"/>
        <v>60</v>
      </c>
      <c r="E586" s="2">
        <f t="shared" ca="1" si="69"/>
        <v>9691</v>
      </c>
      <c r="F586" s="2">
        <f t="shared" ca="1" si="70"/>
        <v>11175</v>
      </c>
      <c r="G586" s="2">
        <f t="shared" ca="1" si="71"/>
        <v>369</v>
      </c>
    </row>
    <row r="587" spans="1:7" x14ac:dyDescent="0.3">
      <c r="A587" s="5" t="str">
        <f t="shared" si="65"/>
        <v>Adidas</v>
      </c>
      <c r="B587" s="5" t="str">
        <f t="shared" si="67"/>
        <v>Samba</v>
      </c>
      <c r="C587" s="3">
        <f t="shared" si="66"/>
        <v>45697</v>
      </c>
      <c r="D587" s="4">
        <f t="shared" ca="1" si="68"/>
        <v>81</v>
      </c>
      <c r="E587" s="2">
        <f t="shared" ca="1" si="69"/>
        <v>3389</v>
      </c>
      <c r="F587" s="2">
        <f t="shared" ca="1" si="70"/>
        <v>15040</v>
      </c>
      <c r="G587" s="2">
        <f t="shared" ca="1" si="71"/>
        <v>1037</v>
      </c>
    </row>
    <row r="588" spans="1:7" x14ac:dyDescent="0.3">
      <c r="A588" s="5" t="str">
        <f t="shared" si="65"/>
        <v>Puma</v>
      </c>
      <c r="B588" s="5" t="str">
        <f t="shared" si="67"/>
        <v>Mayze</v>
      </c>
      <c r="C588" s="3">
        <f t="shared" si="66"/>
        <v>45697</v>
      </c>
      <c r="D588" s="4">
        <f t="shared" ca="1" si="68"/>
        <v>124</v>
      </c>
      <c r="E588" s="2">
        <f t="shared" ca="1" si="69"/>
        <v>11634</v>
      </c>
      <c r="F588" s="2">
        <f t="shared" ca="1" si="70"/>
        <v>15545</v>
      </c>
      <c r="G588" s="2">
        <f t="shared" ca="1" si="71"/>
        <v>566</v>
      </c>
    </row>
    <row r="589" spans="1:7" x14ac:dyDescent="0.3">
      <c r="A589" s="5" t="str">
        <f t="shared" si="65"/>
        <v>New Balance</v>
      </c>
      <c r="B589" s="5" t="str">
        <f t="shared" si="67"/>
        <v>574 Core</v>
      </c>
      <c r="C589" s="3">
        <f t="shared" si="66"/>
        <v>45697</v>
      </c>
      <c r="D589" s="4">
        <f t="shared" ca="1" si="68"/>
        <v>183</v>
      </c>
      <c r="E589" s="2">
        <f t="shared" ca="1" si="69"/>
        <v>1772</v>
      </c>
      <c r="F589" s="2">
        <f t="shared" ca="1" si="70"/>
        <v>19585</v>
      </c>
      <c r="G589" s="2">
        <f t="shared" ca="1" si="71"/>
        <v>1363</v>
      </c>
    </row>
    <row r="590" spans="1:7" x14ac:dyDescent="0.3">
      <c r="A590" s="5" t="str">
        <f t="shared" si="65"/>
        <v>Reebok</v>
      </c>
      <c r="B590" s="5" t="str">
        <f t="shared" si="67"/>
        <v>Club C 85</v>
      </c>
      <c r="C590" s="3">
        <f t="shared" si="66"/>
        <v>45697</v>
      </c>
      <c r="D590" s="4">
        <f t="shared" ca="1" si="68"/>
        <v>201</v>
      </c>
      <c r="E590" s="2">
        <f t="shared" ca="1" si="69"/>
        <v>8219</v>
      </c>
      <c r="F590" s="2">
        <f t="shared" ca="1" si="70"/>
        <v>7231</v>
      </c>
      <c r="G590" s="2">
        <f t="shared" ca="1" si="71"/>
        <v>149</v>
      </c>
    </row>
    <row r="591" spans="1:7" x14ac:dyDescent="0.3">
      <c r="A591" s="5" t="str">
        <f t="shared" si="65"/>
        <v>Nike</v>
      </c>
      <c r="B591" s="5" t="str">
        <f t="shared" si="67"/>
        <v>Pegasus 40</v>
      </c>
      <c r="C591" s="3">
        <f t="shared" si="66"/>
        <v>45697</v>
      </c>
      <c r="D591" s="4">
        <f t="shared" ca="1" si="68"/>
        <v>134</v>
      </c>
      <c r="E591" s="2">
        <f t="shared" ca="1" si="69"/>
        <v>7590</v>
      </c>
      <c r="F591" s="2">
        <f t="shared" ca="1" si="70"/>
        <v>11585</v>
      </c>
      <c r="G591" s="2">
        <f t="shared" ca="1" si="71"/>
        <v>765</v>
      </c>
    </row>
    <row r="592" spans="1:7" x14ac:dyDescent="0.3">
      <c r="A592" s="5" t="str">
        <f t="shared" si="65"/>
        <v>Adidas</v>
      </c>
      <c r="B592" s="5" t="str">
        <f t="shared" si="67"/>
        <v>Gazelle</v>
      </c>
      <c r="C592" s="3">
        <f t="shared" si="66"/>
        <v>45697</v>
      </c>
      <c r="D592" s="4">
        <f t="shared" ca="1" si="68"/>
        <v>28</v>
      </c>
      <c r="E592" s="2">
        <f t="shared" ca="1" si="69"/>
        <v>6720</v>
      </c>
      <c r="F592" s="2">
        <f t="shared" ca="1" si="70"/>
        <v>9881</v>
      </c>
      <c r="G592" s="2">
        <f t="shared" ca="1" si="71"/>
        <v>365</v>
      </c>
    </row>
    <row r="593" spans="1:7" x14ac:dyDescent="0.3">
      <c r="A593" s="5" t="str">
        <f t="shared" si="65"/>
        <v>Puma</v>
      </c>
      <c r="B593" s="5" t="str">
        <f t="shared" si="67"/>
        <v>Slipstream</v>
      </c>
      <c r="C593" s="3">
        <f t="shared" si="66"/>
        <v>45697</v>
      </c>
      <c r="D593" s="4">
        <f t="shared" ca="1" si="68"/>
        <v>91</v>
      </c>
      <c r="E593" s="2">
        <f t="shared" ca="1" si="69"/>
        <v>7681</v>
      </c>
      <c r="F593" s="2">
        <f t="shared" ca="1" si="70"/>
        <v>8771</v>
      </c>
      <c r="G593" s="2">
        <f t="shared" ca="1" si="71"/>
        <v>620</v>
      </c>
    </row>
    <row r="594" spans="1:7" x14ac:dyDescent="0.3">
      <c r="A594" s="5" t="str">
        <f t="shared" si="65"/>
        <v>New Balance</v>
      </c>
      <c r="B594" s="5" t="str">
        <f t="shared" si="67"/>
        <v>550</v>
      </c>
      <c r="C594" s="3">
        <f t="shared" si="66"/>
        <v>45697</v>
      </c>
      <c r="D594" s="4">
        <f t="shared" ca="1" si="68"/>
        <v>51</v>
      </c>
      <c r="E594" s="2">
        <f t="shared" ca="1" si="69"/>
        <v>2173</v>
      </c>
      <c r="F594" s="2">
        <f t="shared" ca="1" si="70"/>
        <v>27012</v>
      </c>
      <c r="G594" s="2">
        <f t="shared" ca="1" si="71"/>
        <v>1860</v>
      </c>
    </row>
    <row r="595" spans="1:7" x14ac:dyDescent="0.3">
      <c r="A595" s="5" t="str">
        <f t="shared" si="65"/>
        <v>Reebok</v>
      </c>
      <c r="B595" s="5" t="str">
        <f t="shared" si="67"/>
        <v>Classic Leather</v>
      </c>
      <c r="C595" s="3">
        <f t="shared" si="66"/>
        <v>45697</v>
      </c>
      <c r="D595" s="4">
        <f t="shared" ca="1" si="68"/>
        <v>208</v>
      </c>
      <c r="E595" s="2">
        <f t="shared" ca="1" si="69"/>
        <v>4384</v>
      </c>
      <c r="F595" s="2">
        <f t="shared" ca="1" si="70"/>
        <v>29177</v>
      </c>
      <c r="G595" s="2">
        <f t="shared" ca="1" si="71"/>
        <v>2329</v>
      </c>
    </row>
    <row r="596" spans="1:7" x14ac:dyDescent="0.3">
      <c r="A596" s="5" t="str">
        <f t="shared" si="65"/>
        <v>Nike</v>
      </c>
      <c r="B596" s="5" t="str">
        <f t="shared" si="67"/>
        <v>Air Force 1</v>
      </c>
      <c r="C596" s="3">
        <f t="shared" si="66"/>
        <v>45697</v>
      </c>
      <c r="D596" s="4">
        <f t="shared" ca="1" si="68"/>
        <v>162</v>
      </c>
      <c r="E596" s="2">
        <f t="shared" ca="1" si="69"/>
        <v>4063</v>
      </c>
      <c r="F596" s="2">
        <f t="shared" ca="1" si="70"/>
        <v>32956</v>
      </c>
      <c r="G596" s="2">
        <f t="shared" ca="1" si="71"/>
        <v>740</v>
      </c>
    </row>
    <row r="597" spans="1:7" x14ac:dyDescent="0.3">
      <c r="A597" s="5" t="str">
        <f t="shared" si="65"/>
        <v>Adidas</v>
      </c>
      <c r="B597" s="5" t="str">
        <f t="shared" si="67"/>
        <v>Superstar</v>
      </c>
      <c r="C597" s="3">
        <f t="shared" si="66"/>
        <v>45697</v>
      </c>
      <c r="D597" s="4">
        <f t="shared" ca="1" si="68"/>
        <v>25</v>
      </c>
      <c r="E597" s="2">
        <f t="shared" ca="1" si="69"/>
        <v>8514</v>
      </c>
      <c r="F597" s="2">
        <f t="shared" ca="1" si="70"/>
        <v>29167</v>
      </c>
      <c r="G597" s="2">
        <f t="shared" ca="1" si="71"/>
        <v>2114</v>
      </c>
    </row>
    <row r="598" spans="1:7" x14ac:dyDescent="0.3">
      <c r="A598" s="5" t="str">
        <f t="shared" si="65"/>
        <v>Puma</v>
      </c>
      <c r="B598" s="5" t="str">
        <f t="shared" si="67"/>
        <v>Rider Vintage</v>
      </c>
      <c r="C598" s="3">
        <f t="shared" si="66"/>
        <v>45697</v>
      </c>
      <c r="D598" s="4">
        <f t="shared" ca="1" si="68"/>
        <v>147</v>
      </c>
      <c r="E598" s="2">
        <f t="shared" ca="1" si="69"/>
        <v>8260</v>
      </c>
      <c r="F598" s="2">
        <f t="shared" ca="1" si="70"/>
        <v>27173</v>
      </c>
      <c r="G598" s="2">
        <f t="shared" ca="1" si="71"/>
        <v>1984</v>
      </c>
    </row>
    <row r="599" spans="1:7" x14ac:dyDescent="0.3">
      <c r="A599" s="5" t="str">
        <f t="shared" si="65"/>
        <v>New Balance</v>
      </c>
      <c r="B599" s="5" t="str">
        <f t="shared" si="67"/>
        <v>327</v>
      </c>
      <c r="C599" s="3">
        <f t="shared" si="66"/>
        <v>45697</v>
      </c>
      <c r="D599" s="4">
        <f t="shared" ca="1" si="68"/>
        <v>101</v>
      </c>
      <c r="E599" s="2">
        <f t="shared" ca="1" si="69"/>
        <v>8193</v>
      </c>
      <c r="F599" s="2">
        <f t="shared" ca="1" si="70"/>
        <v>24178</v>
      </c>
      <c r="G599" s="2">
        <f t="shared" ca="1" si="71"/>
        <v>968</v>
      </c>
    </row>
    <row r="600" spans="1:7" x14ac:dyDescent="0.3">
      <c r="A600" s="5" t="str">
        <f t="shared" si="65"/>
        <v>Reebok</v>
      </c>
      <c r="B600" s="5" t="str">
        <f t="shared" si="67"/>
        <v>Question Mid</v>
      </c>
      <c r="C600" s="3">
        <f t="shared" si="66"/>
        <v>45697</v>
      </c>
      <c r="D600" s="4">
        <f t="shared" ca="1" si="68"/>
        <v>224</v>
      </c>
      <c r="E600" s="2">
        <f t="shared" ca="1" si="69"/>
        <v>1941</v>
      </c>
      <c r="F600" s="2">
        <f t="shared" ca="1" si="70"/>
        <v>21859</v>
      </c>
      <c r="G600" s="2">
        <f t="shared" ca="1" si="71"/>
        <v>833</v>
      </c>
    </row>
    <row r="601" spans="1:7" x14ac:dyDescent="0.3">
      <c r="A601" s="5" t="str">
        <f t="shared" si="65"/>
        <v>Nike</v>
      </c>
      <c r="B601" s="5" t="str">
        <f t="shared" si="67"/>
        <v>Air Max 270</v>
      </c>
      <c r="C601" s="3">
        <f t="shared" si="66"/>
        <v>45697</v>
      </c>
      <c r="D601" s="4">
        <f t="shared" ca="1" si="68"/>
        <v>117</v>
      </c>
      <c r="E601" s="2">
        <f t="shared" ca="1" si="69"/>
        <v>7687</v>
      </c>
      <c r="F601" s="2">
        <f t="shared" ca="1" si="70"/>
        <v>26595</v>
      </c>
      <c r="G601" s="2">
        <f t="shared" ca="1" si="71"/>
        <v>1519</v>
      </c>
    </row>
    <row r="602" spans="1:7" x14ac:dyDescent="0.3">
      <c r="A602" s="5" t="str">
        <f t="shared" si="65"/>
        <v>Adidas</v>
      </c>
      <c r="B602" s="5" t="str">
        <f t="shared" si="67"/>
        <v>Stan Smith</v>
      </c>
      <c r="C602" s="3">
        <f t="shared" si="66"/>
        <v>45698</v>
      </c>
      <c r="D602" s="4">
        <f t="shared" ca="1" si="68"/>
        <v>61</v>
      </c>
      <c r="E602" s="2">
        <f t="shared" ca="1" si="69"/>
        <v>11462</v>
      </c>
      <c r="F602" s="2">
        <f t="shared" ca="1" si="70"/>
        <v>33335</v>
      </c>
      <c r="G602" s="2">
        <f t="shared" ca="1" si="71"/>
        <v>1624</v>
      </c>
    </row>
    <row r="603" spans="1:7" x14ac:dyDescent="0.3">
      <c r="A603" s="5" t="str">
        <f t="shared" si="65"/>
        <v>Puma</v>
      </c>
      <c r="B603" s="5" t="str">
        <f t="shared" si="67"/>
        <v>Cali Dream</v>
      </c>
      <c r="C603" s="3">
        <f t="shared" si="66"/>
        <v>45698</v>
      </c>
      <c r="D603" s="4">
        <f t="shared" ca="1" si="68"/>
        <v>112</v>
      </c>
      <c r="E603" s="2">
        <f t="shared" ca="1" si="69"/>
        <v>8933</v>
      </c>
      <c r="F603" s="2">
        <f t="shared" ca="1" si="70"/>
        <v>27030</v>
      </c>
      <c r="G603" s="2">
        <f t="shared" ca="1" si="71"/>
        <v>1375</v>
      </c>
    </row>
    <row r="604" spans="1:7" x14ac:dyDescent="0.3">
      <c r="A604" s="5" t="str">
        <f t="shared" si="65"/>
        <v>New Balance</v>
      </c>
      <c r="B604" s="5" t="str">
        <f t="shared" si="67"/>
        <v>9060</v>
      </c>
      <c r="C604" s="3">
        <f t="shared" si="66"/>
        <v>45698</v>
      </c>
      <c r="D604" s="4">
        <f t="shared" ca="1" si="68"/>
        <v>158</v>
      </c>
      <c r="E604" s="2">
        <f t="shared" ca="1" si="69"/>
        <v>9882</v>
      </c>
      <c r="F604" s="2">
        <f t="shared" ca="1" si="70"/>
        <v>20614</v>
      </c>
      <c r="G604" s="2">
        <f t="shared" ca="1" si="71"/>
        <v>882</v>
      </c>
    </row>
    <row r="605" spans="1:7" x14ac:dyDescent="0.3">
      <c r="A605" s="5" t="str">
        <f t="shared" si="65"/>
        <v>Reebok</v>
      </c>
      <c r="B605" s="5" t="str">
        <f t="shared" si="67"/>
        <v>Zig Kinetica</v>
      </c>
      <c r="C605" s="3">
        <f t="shared" si="66"/>
        <v>45698</v>
      </c>
      <c r="D605" s="4">
        <f t="shared" ca="1" si="68"/>
        <v>236</v>
      </c>
      <c r="E605" s="2">
        <f t="shared" ca="1" si="69"/>
        <v>10705</v>
      </c>
      <c r="F605" s="2">
        <f t="shared" ca="1" si="70"/>
        <v>13062</v>
      </c>
      <c r="G605" s="2">
        <f t="shared" ca="1" si="71"/>
        <v>729</v>
      </c>
    </row>
    <row r="606" spans="1:7" x14ac:dyDescent="0.3">
      <c r="A606" s="5" t="str">
        <f t="shared" si="65"/>
        <v>Nike</v>
      </c>
      <c r="B606" s="5" t="str">
        <f t="shared" si="67"/>
        <v>Jordan 1</v>
      </c>
      <c r="C606" s="3">
        <f t="shared" si="66"/>
        <v>45698</v>
      </c>
      <c r="D606" s="4">
        <f t="shared" ca="1" si="68"/>
        <v>139</v>
      </c>
      <c r="E606" s="2">
        <f t="shared" ca="1" si="69"/>
        <v>10987</v>
      </c>
      <c r="F606" s="2">
        <f t="shared" ca="1" si="70"/>
        <v>11102</v>
      </c>
      <c r="G606" s="2">
        <f t="shared" ca="1" si="71"/>
        <v>674</v>
      </c>
    </row>
    <row r="607" spans="1:7" x14ac:dyDescent="0.3">
      <c r="A607" s="5" t="str">
        <f t="shared" si="65"/>
        <v>Adidas</v>
      </c>
      <c r="B607" s="5" t="str">
        <f t="shared" si="67"/>
        <v>Ultraboost 23</v>
      </c>
      <c r="C607" s="3">
        <f t="shared" si="66"/>
        <v>45698</v>
      </c>
      <c r="D607" s="4">
        <f t="shared" ca="1" si="68"/>
        <v>223</v>
      </c>
      <c r="E607" s="2">
        <f t="shared" ca="1" si="69"/>
        <v>2010</v>
      </c>
      <c r="F607" s="2">
        <f t="shared" ca="1" si="70"/>
        <v>15759</v>
      </c>
      <c r="G607" s="2">
        <f t="shared" ca="1" si="71"/>
        <v>1176</v>
      </c>
    </row>
    <row r="608" spans="1:7" x14ac:dyDescent="0.3">
      <c r="A608" s="5" t="str">
        <f t="shared" si="65"/>
        <v>Puma</v>
      </c>
      <c r="B608" s="5" t="str">
        <f t="shared" si="67"/>
        <v>RS-X</v>
      </c>
      <c r="C608" s="3">
        <f t="shared" si="66"/>
        <v>45698</v>
      </c>
      <c r="D608" s="4">
        <f t="shared" ca="1" si="68"/>
        <v>26</v>
      </c>
      <c r="E608" s="2">
        <f t="shared" ca="1" si="69"/>
        <v>10545</v>
      </c>
      <c r="F608" s="2">
        <f t="shared" ca="1" si="70"/>
        <v>19579</v>
      </c>
      <c r="G608" s="2">
        <f t="shared" ca="1" si="71"/>
        <v>851</v>
      </c>
    </row>
    <row r="609" spans="1:7" x14ac:dyDescent="0.3">
      <c r="A609" s="5" t="str">
        <f t="shared" si="65"/>
        <v>New Balance</v>
      </c>
      <c r="B609" s="5" t="str">
        <f t="shared" si="67"/>
        <v>2002R</v>
      </c>
      <c r="C609" s="3">
        <f t="shared" si="66"/>
        <v>45698</v>
      </c>
      <c r="D609" s="4">
        <f t="shared" ca="1" si="68"/>
        <v>32</v>
      </c>
      <c r="E609" s="2">
        <f t="shared" ca="1" si="69"/>
        <v>4203</v>
      </c>
      <c r="F609" s="2">
        <f t="shared" ca="1" si="70"/>
        <v>11450</v>
      </c>
      <c r="G609" s="2">
        <f t="shared" ca="1" si="71"/>
        <v>682</v>
      </c>
    </row>
    <row r="610" spans="1:7" x14ac:dyDescent="0.3">
      <c r="A610" s="5" t="str">
        <f t="shared" si="65"/>
        <v>Reebok</v>
      </c>
      <c r="B610" s="5" t="str">
        <f t="shared" si="67"/>
        <v>Instapump Fury</v>
      </c>
      <c r="C610" s="3">
        <f t="shared" si="66"/>
        <v>45698</v>
      </c>
      <c r="D610" s="4">
        <f t="shared" ca="1" si="68"/>
        <v>148</v>
      </c>
      <c r="E610" s="2">
        <f t="shared" ca="1" si="69"/>
        <v>4745</v>
      </c>
      <c r="F610" s="2">
        <f t="shared" ca="1" si="70"/>
        <v>9899</v>
      </c>
      <c r="G610" s="2">
        <f t="shared" ca="1" si="71"/>
        <v>634</v>
      </c>
    </row>
    <row r="611" spans="1:7" x14ac:dyDescent="0.3">
      <c r="A611" s="5" t="str">
        <f t="shared" si="65"/>
        <v>Nike</v>
      </c>
      <c r="B611" s="5" t="str">
        <f t="shared" si="67"/>
        <v>Cortez</v>
      </c>
      <c r="C611" s="3">
        <f t="shared" si="66"/>
        <v>45698</v>
      </c>
      <c r="D611" s="4">
        <f t="shared" ca="1" si="68"/>
        <v>35</v>
      </c>
      <c r="E611" s="2">
        <f t="shared" ca="1" si="69"/>
        <v>8207</v>
      </c>
      <c r="F611" s="2">
        <f t="shared" ca="1" si="70"/>
        <v>18470</v>
      </c>
      <c r="G611" s="2">
        <f t="shared" ca="1" si="71"/>
        <v>1086</v>
      </c>
    </row>
    <row r="612" spans="1:7" x14ac:dyDescent="0.3">
      <c r="A612" s="5" t="str">
        <f t="shared" si="65"/>
        <v>Adidas</v>
      </c>
      <c r="B612" s="5" t="str">
        <f t="shared" si="67"/>
        <v>NMD S1</v>
      </c>
      <c r="C612" s="3">
        <f t="shared" si="66"/>
        <v>45698</v>
      </c>
      <c r="D612" s="4">
        <f t="shared" ca="1" si="68"/>
        <v>97</v>
      </c>
      <c r="E612" s="2">
        <f t="shared" ca="1" si="69"/>
        <v>11377</v>
      </c>
      <c r="F612" s="2">
        <f t="shared" ca="1" si="70"/>
        <v>30494</v>
      </c>
      <c r="G612" s="2">
        <f t="shared" ca="1" si="71"/>
        <v>2316</v>
      </c>
    </row>
    <row r="613" spans="1:7" x14ac:dyDescent="0.3">
      <c r="A613" s="5" t="str">
        <f t="shared" si="65"/>
        <v>Puma</v>
      </c>
      <c r="B613" s="5" t="str">
        <f t="shared" si="67"/>
        <v>Suede Classic</v>
      </c>
      <c r="C613" s="3">
        <f t="shared" si="66"/>
        <v>45698</v>
      </c>
      <c r="D613" s="4">
        <f t="shared" ca="1" si="68"/>
        <v>205</v>
      </c>
      <c r="E613" s="2">
        <f t="shared" ca="1" si="69"/>
        <v>3341</v>
      </c>
      <c r="F613" s="2">
        <f t="shared" ca="1" si="70"/>
        <v>5217</v>
      </c>
      <c r="G613" s="2">
        <f t="shared" ca="1" si="71"/>
        <v>325</v>
      </c>
    </row>
    <row r="614" spans="1:7" x14ac:dyDescent="0.3">
      <c r="A614" s="5" t="str">
        <f t="shared" si="65"/>
        <v>New Balance</v>
      </c>
      <c r="B614" s="5" t="str">
        <f t="shared" si="67"/>
        <v>990v6</v>
      </c>
      <c r="C614" s="3">
        <f t="shared" si="66"/>
        <v>45698</v>
      </c>
      <c r="D614" s="4">
        <f t="shared" ca="1" si="68"/>
        <v>97</v>
      </c>
      <c r="E614" s="2">
        <f t="shared" ca="1" si="69"/>
        <v>9498</v>
      </c>
      <c r="F614" s="2">
        <f t="shared" ca="1" si="70"/>
        <v>9438</v>
      </c>
      <c r="G614" s="2">
        <f t="shared" ca="1" si="71"/>
        <v>282</v>
      </c>
    </row>
    <row r="615" spans="1:7" x14ac:dyDescent="0.3">
      <c r="A615" s="5" t="str">
        <f t="shared" si="65"/>
        <v>Reebok</v>
      </c>
      <c r="B615" s="5" t="str">
        <f t="shared" si="67"/>
        <v>Nano X3</v>
      </c>
      <c r="C615" s="3">
        <f t="shared" si="66"/>
        <v>45698</v>
      </c>
      <c r="D615" s="4">
        <f t="shared" ca="1" si="68"/>
        <v>214</v>
      </c>
      <c r="E615" s="2">
        <f t="shared" ca="1" si="69"/>
        <v>4387</v>
      </c>
      <c r="F615" s="2">
        <f t="shared" ca="1" si="70"/>
        <v>13289</v>
      </c>
      <c r="G615" s="2">
        <f t="shared" ca="1" si="71"/>
        <v>717</v>
      </c>
    </row>
    <row r="616" spans="1:7" x14ac:dyDescent="0.3">
      <c r="A616" s="5" t="str">
        <f t="shared" si="65"/>
        <v>Nike</v>
      </c>
      <c r="B616" s="5" t="str">
        <f t="shared" si="67"/>
        <v>Vaporfly 3</v>
      </c>
      <c r="C616" s="3">
        <f t="shared" si="66"/>
        <v>45698</v>
      </c>
      <c r="D616" s="4">
        <f t="shared" ca="1" si="68"/>
        <v>200</v>
      </c>
      <c r="E616" s="2">
        <f t="shared" ca="1" si="69"/>
        <v>10962</v>
      </c>
      <c r="F616" s="2">
        <f t="shared" ca="1" si="70"/>
        <v>30545</v>
      </c>
      <c r="G616" s="2">
        <f t="shared" ca="1" si="71"/>
        <v>763</v>
      </c>
    </row>
    <row r="617" spans="1:7" x14ac:dyDescent="0.3">
      <c r="A617" s="5" t="str">
        <f t="shared" si="65"/>
        <v>Adidas</v>
      </c>
      <c r="B617" s="5" t="str">
        <f t="shared" si="67"/>
        <v>Samba</v>
      </c>
      <c r="C617" s="3">
        <f t="shared" si="66"/>
        <v>45699</v>
      </c>
      <c r="D617" s="4">
        <f t="shared" ca="1" si="68"/>
        <v>35</v>
      </c>
      <c r="E617" s="2">
        <f t="shared" ca="1" si="69"/>
        <v>6843</v>
      </c>
      <c r="F617" s="2">
        <f t="shared" ca="1" si="70"/>
        <v>24895</v>
      </c>
      <c r="G617" s="2">
        <f t="shared" ca="1" si="71"/>
        <v>1151</v>
      </c>
    </row>
    <row r="618" spans="1:7" x14ac:dyDescent="0.3">
      <c r="A618" s="5" t="str">
        <f t="shared" si="65"/>
        <v>Puma</v>
      </c>
      <c r="B618" s="5" t="str">
        <f t="shared" si="67"/>
        <v>Mayze</v>
      </c>
      <c r="C618" s="3">
        <f t="shared" si="66"/>
        <v>45699</v>
      </c>
      <c r="D618" s="4">
        <f t="shared" ca="1" si="68"/>
        <v>30</v>
      </c>
      <c r="E618" s="2">
        <f t="shared" ca="1" si="69"/>
        <v>7518</v>
      </c>
      <c r="F618" s="2">
        <f t="shared" ca="1" si="70"/>
        <v>9706</v>
      </c>
      <c r="G618" s="2">
        <f t="shared" ca="1" si="71"/>
        <v>338</v>
      </c>
    </row>
    <row r="619" spans="1:7" x14ac:dyDescent="0.3">
      <c r="A619" s="5" t="str">
        <f t="shared" ref="A619:A682" si="72">CHOOSE(MOD(ROW(A618),5)+1,"Nike","Adidas","Puma","New Balance","Reebok")</f>
        <v>New Balance</v>
      </c>
      <c r="B619" s="5" t="str">
        <f t="shared" si="67"/>
        <v>574 Core</v>
      </c>
      <c r="C619" s="3">
        <f t="shared" ref="C619:C682" si="73">DATE(2025,1,1)+INT((ROW(A619)-2)/15)</f>
        <v>45699</v>
      </c>
      <c r="D619" s="4">
        <f t="shared" ca="1" si="68"/>
        <v>184</v>
      </c>
      <c r="E619" s="2">
        <f t="shared" ca="1" si="69"/>
        <v>1822</v>
      </c>
      <c r="F619" s="2">
        <f t="shared" ca="1" si="70"/>
        <v>16107</v>
      </c>
      <c r="G619" s="2">
        <f t="shared" ca="1" si="71"/>
        <v>747</v>
      </c>
    </row>
    <row r="620" spans="1:7" x14ac:dyDescent="0.3">
      <c r="A620" s="5" t="str">
        <f t="shared" si="72"/>
        <v>Reebok</v>
      </c>
      <c r="B620" s="5" t="str">
        <f t="shared" si="67"/>
        <v>Club C 85</v>
      </c>
      <c r="C620" s="3">
        <f t="shared" si="73"/>
        <v>45699</v>
      </c>
      <c r="D620" s="4">
        <f t="shared" ca="1" si="68"/>
        <v>244</v>
      </c>
      <c r="E620" s="2">
        <f t="shared" ca="1" si="69"/>
        <v>11529</v>
      </c>
      <c r="F620" s="2">
        <f t="shared" ca="1" si="70"/>
        <v>14478</v>
      </c>
      <c r="G620" s="2">
        <f t="shared" ca="1" si="71"/>
        <v>891</v>
      </c>
    </row>
    <row r="621" spans="1:7" x14ac:dyDescent="0.3">
      <c r="A621" s="5" t="str">
        <f t="shared" si="72"/>
        <v>Nike</v>
      </c>
      <c r="B621" s="5" t="str">
        <f t="shared" si="67"/>
        <v>Pegasus 40</v>
      </c>
      <c r="C621" s="3">
        <f t="shared" si="73"/>
        <v>45699</v>
      </c>
      <c r="D621" s="4">
        <f t="shared" ca="1" si="68"/>
        <v>213</v>
      </c>
      <c r="E621" s="2">
        <f t="shared" ca="1" si="69"/>
        <v>6435</v>
      </c>
      <c r="F621" s="2">
        <f t="shared" ca="1" si="70"/>
        <v>15908</v>
      </c>
      <c r="G621" s="2">
        <f t="shared" ca="1" si="71"/>
        <v>858</v>
      </c>
    </row>
    <row r="622" spans="1:7" x14ac:dyDescent="0.3">
      <c r="A622" s="5" t="str">
        <f t="shared" si="72"/>
        <v>Adidas</v>
      </c>
      <c r="B622" s="5" t="str">
        <f t="shared" si="67"/>
        <v>Gazelle</v>
      </c>
      <c r="C622" s="3">
        <f t="shared" si="73"/>
        <v>45699</v>
      </c>
      <c r="D622" s="4">
        <f t="shared" ca="1" si="68"/>
        <v>135</v>
      </c>
      <c r="E622" s="2">
        <f t="shared" ca="1" si="69"/>
        <v>11945</v>
      </c>
      <c r="F622" s="2">
        <f t="shared" ca="1" si="70"/>
        <v>15495</v>
      </c>
      <c r="G622" s="2">
        <f t="shared" ca="1" si="71"/>
        <v>577</v>
      </c>
    </row>
    <row r="623" spans="1:7" x14ac:dyDescent="0.3">
      <c r="A623" s="5" t="str">
        <f t="shared" si="72"/>
        <v>Puma</v>
      </c>
      <c r="B623" s="5" t="str">
        <f t="shared" si="67"/>
        <v>Slipstream</v>
      </c>
      <c r="C623" s="3">
        <f t="shared" si="73"/>
        <v>45699</v>
      </c>
      <c r="D623" s="4">
        <f t="shared" ca="1" si="68"/>
        <v>22</v>
      </c>
      <c r="E623" s="2">
        <f t="shared" ca="1" si="69"/>
        <v>7842</v>
      </c>
      <c r="F623" s="2">
        <f t="shared" ca="1" si="70"/>
        <v>6741</v>
      </c>
      <c r="G623" s="2">
        <f t="shared" ca="1" si="71"/>
        <v>208</v>
      </c>
    </row>
    <row r="624" spans="1:7" x14ac:dyDescent="0.3">
      <c r="A624" s="5" t="str">
        <f t="shared" si="72"/>
        <v>New Balance</v>
      </c>
      <c r="B624" s="5" t="str">
        <f t="shared" si="67"/>
        <v>550</v>
      </c>
      <c r="C624" s="3">
        <f t="shared" si="73"/>
        <v>45699</v>
      </c>
      <c r="D624" s="4">
        <f t="shared" ca="1" si="68"/>
        <v>182</v>
      </c>
      <c r="E624" s="2">
        <f t="shared" ca="1" si="69"/>
        <v>5694</v>
      </c>
      <c r="F624" s="2">
        <f t="shared" ca="1" si="70"/>
        <v>17023</v>
      </c>
      <c r="G624" s="2">
        <f t="shared" ca="1" si="71"/>
        <v>964</v>
      </c>
    </row>
    <row r="625" spans="1:7" x14ac:dyDescent="0.3">
      <c r="A625" s="5" t="str">
        <f t="shared" si="72"/>
        <v>Reebok</v>
      </c>
      <c r="B625" s="5" t="str">
        <f t="shared" si="67"/>
        <v>Classic Leather</v>
      </c>
      <c r="C625" s="3">
        <f t="shared" si="73"/>
        <v>45699</v>
      </c>
      <c r="D625" s="4">
        <f t="shared" ca="1" si="68"/>
        <v>237</v>
      </c>
      <c r="E625" s="2">
        <f t="shared" ca="1" si="69"/>
        <v>11647</v>
      </c>
      <c r="F625" s="2">
        <f t="shared" ca="1" si="70"/>
        <v>17390</v>
      </c>
      <c r="G625" s="2">
        <f t="shared" ca="1" si="71"/>
        <v>911</v>
      </c>
    </row>
    <row r="626" spans="1:7" x14ac:dyDescent="0.3">
      <c r="A626" s="5" t="str">
        <f t="shared" si="72"/>
        <v>Nike</v>
      </c>
      <c r="B626" s="5" t="str">
        <f t="shared" si="67"/>
        <v>Air Force 1</v>
      </c>
      <c r="C626" s="3">
        <f t="shared" si="73"/>
        <v>45699</v>
      </c>
      <c r="D626" s="4">
        <f t="shared" ca="1" si="68"/>
        <v>80</v>
      </c>
      <c r="E626" s="2">
        <f t="shared" ca="1" si="69"/>
        <v>9697</v>
      </c>
      <c r="F626" s="2">
        <f t="shared" ca="1" si="70"/>
        <v>16504</v>
      </c>
      <c r="G626" s="2">
        <f t="shared" ca="1" si="71"/>
        <v>456</v>
      </c>
    </row>
    <row r="627" spans="1:7" x14ac:dyDescent="0.3">
      <c r="A627" s="5" t="str">
        <f t="shared" si="72"/>
        <v>Adidas</v>
      </c>
      <c r="B627" s="5" t="str">
        <f t="shared" si="67"/>
        <v>Superstar</v>
      </c>
      <c r="C627" s="3">
        <f t="shared" si="73"/>
        <v>45699</v>
      </c>
      <c r="D627" s="4">
        <f t="shared" ca="1" si="68"/>
        <v>114</v>
      </c>
      <c r="E627" s="2">
        <f t="shared" ca="1" si="69"/>
        <v>8071</v>
      </c>
      <c r="F627" s="2">
        <f t="shared" ca="1" si="70"/>
        <v>19014</v>
      </c>
      <c r="G627" s="2">
        <f t="shared" ca="1" si="71"/>
        <v>1427</v>
      </c>
    </row>
    <row r="628" spans="1:7" x14ac:dyDescent="0.3">
      <c r="A628" s="5" t="str">
        <f t="shared" si="72"/>
        <v>Puma</v>
      </c>
      <c r="B628" s="5" t="str">
        <f t="shared" si="67"/>
        <v>Rider Vintage</v>
      </c>
      <c r="C628" s="3">
        <f t="shared" si="73"/>
        <v>45699</v>
      </c>
      <c r="D628" s="4">
        <f t="shared" ca="1" si="68"/>
        <v>96</v>
      </c>
      <c r="E628" s="2">
        <f t="shared" ca="1" si="69"/>
        <v>1528</v>
      </c>
      <c r="F628" s="2">
        <f t="shared" ca="1" si="70"/>
        <v>26250</v>
      </c>
      <c r="G628" s="2">
        <f t="shared" ca="1" si="71"/>
        <v>940</v>
      </c>
    </row>
    <row r="629" spans="1:7" x14ac:dyDescent="0.3">
      <c r="A629" s="5" t="str">
        <f t="shared" si="72"/>
        <v>New Balance</v>
      </c>
      <c r="B629" s="5" t="str">
        <f t="shared" si="67"/>
        <v>327</v>
      </c>
      <c r="C629" s="3">
        <f t="shared" si="73"/>
        <v>45699</v>
      </c>
      <c r="D629" s="4">
        <f t="shared" ca="1" si="68"/>
        <v>162</v>
      </c>
      <c r="E629" s="2">
        <f t="shared" ca="1" si="69"/>
        <v>8304</v>
      </c>
      <c r="F629" s="2">
        <f t="shared" ca="1" si="70"/>
        <v>7356</v>
      </c>
      <c r="G629" s="2">
        <f t="shared" ca="1" si="71"/>
        <v>519</v>
      </c>
    </row>
    <row r="630" spans="1:7" x14ac:dyDescent="0.3">
      <c r="A630" s="5" t="str">
        <f t="shared" si="72"/>
        <v>Reebok</v>
      </c>
      <c r="B630" s="5" t="str">
        <f t="shared" si="67"/>
        <v>Question Mid</v>
      </c>
      <c r="C630" s="3">
        <f t="shared" si="73"/>
        <v>45699</v>
      </c>
      <c r="D630" s="4">
        <f t="shared" ca="1" si="68"/>
        <v>240</v>
      </c>
      <c r="E630" s="2">
        <f t="shared" ca="1" si="69"/>
        <v>7729</v>
      </c>
      <c r="F630" s="2">
        <f t="shared" ca="1" si="70"/>
        <v>12878</v>
      </c>
      <c r="G630" s="2">
        <f t="shared" ca="1" si="71"/>
        <v>770</v>
      </c>
    </row>
    <row r="631" spans="1:7" x14ac:dyDescent="0.3">
      <c r="A631" s="5" t="str">
        <f t="shared" si="72"/>
        <v>Nike</v>
      </c>
      <c r="B631" s="5" t="str">
        <f t="shared" si="67"/>
        <v>Air Max 270</v>
      </c>
      <c r="C631" s="3">
        <f t="shared" si="73"/>
        <v>45699</v>
      </c>
      <c r="D631" s="4">
        <f t="shared" ca="1" si="68"/>
        <v>143</v>
      </c>
      <c r="E631" s="2">
        <f t="shared" ca="1" si="69"/>
        <v>6165</v>
      </c>
      <c r="F631" s="2">
        <f t="shared" ca="1" si="70"/>
        <v>13196</v>
      </c>
      <c r="G631" s="2">
        <f t="shared" ca="1" si="71"/>
        <v>683</v>
      </c>
    </row>
    <row r="632" spans="1:7" x14ac:dyDescent="0.3">
      <c r="A632" s="5" t="str">
        <f t="shared" si="72"/>
        <v>Adidas</v>
      </c>
      <c r="B632" s="5" t="str">
        <f t="shared" si="67"/>
        <v>Stan Smith</v>
      </c>
      <c r="C632" s="3">
        <f t="shared" si="73"/>
        <v>45700</v>
      </c>
      <c r="D632" s="4">
        <f t="shared" ca="1" si="68"/>
        <v>79</v>
      </c>
      <c r="E632" s="2">
        <f t="shared" ca="1" si="69"/>
        <v>9030</v>
      </c>
      <c r="F632" s="2">
        <f t="shared" ca="1" si="70"/>
        <v>13228</v>
      </c>
      <c r="G632" s="2">
        <f t="shared" ca="1" si="71"/>
        <v>694</v>
      </c>
    </row>
    <row r="633" spans="1:7" x14ac:dyDescent="0.3">
      <c r="A633" s="5" t="str">
        <f t="shared" si="72"/>
        <v>Puma</v>
      </c>
      <c r="B633" s="5" t="str">
        <f t="shared" si="67"/>
        <v>Cali Dream</v>
      </c>
      <c r="C633" s="3">
        <f t="shared" si="73"/>
        <v>45700</v>
      </c>
      <c r="D633" s="4">
        <f t="shared" ca="1" si="68"/>
        <v>194</v>
      </c>
      <c r="E633" s="2">
        <f t="shared" ca="1" si="69"/>
        <v>2998</v>
      </c>
      <c r="F633" s="2">
        <f t="shared" ca="1" si="70"/>
        <v>34619</v>
      </c>
      <c r="G633" s="2">
        <f t="shared" ca="1" si="71"/>
        <v>1897</v>
      </c>
    </row>
    <row r="634" spans="1:7" x14ac:dyDescent="0.3">
      <c r="A634" s="5" t="str">
        <f t="shared" si="72"/>
        <v>New Balance</v>
      </c>
      <c r="B634" s="5" t="str">
        <f t="shared" si="67"/>
        <v>9060</v>
      </c>
      <c r="C634" s="3">
        <f t="shared" si="73"/>
        <v>45700</v>
      </c>
      <c r="D634" s="4">
        <f t="shared" ca="1" si="68"/>
        <v>249</v>
      </c>
      <c r="E634" s="2">
        <f t="shared" ca="1" si="69"/>
        <v>1356</v>
      </c>
      <c r="F634" s="2">
        <f t="shared" ca="1" si="70"/>
        <v>24280</v>
      </c>
      <c r="G634" s="2">
        <f t="shared" ca="1" si="71"/>
        <v>673</v>
      </c>
    </row>
    <row r="635" spans="1:7" x14ac:dyDescent="0.3">
      <c r="A635" s="5" t="str">
        <f t="shared" si="72"/>
        <v>Reebok</v>
      </c>
      <c r="B635" s="5" t="str">
        <f t="shared" si="67"/>
        <v>Zig Kinetica</v>
      </c>
      <c r="C635" s="3">
        <f t="shared" si="73"/>
        <v>45700</v>
      </c>
      <c r="D635" s="4">
        <f t="shared" ca="1" si="68"/>
        <v>42</v>
      </c>
      <c r="E635" s="2">
        <f t="shared" ca="1" si="69"/>
        <v>7395</v>
      </c>
      <c r="F635" s="2">
        <f t="shared" ca="1" si="70"/>
        <v>21913</v>
      </c>
      <c r="G635" s="2">
        <f t="shared" ca="1" si="71"/>
        <v>969</v>
      </c>
    </row>
    <row r="636" spans="1:7" x14ac:dyDescent="0.3">
      <c r="A636" s="5" t="str">
        <f t="shared" si="72"/>
        <v>Nike</v>
      </c>
      <c r="B636" s="5" t="str">
        <f t="shared" si="67"/>
        <v>Jordan 1</v>
      </c>
      <c r="C636" s="3">
        <f t="shared" si="73"/>
        <v>45700</v>
      </c>
      <c r="D636" s="4">
        <f t="shared" ca="1" si="68"/>
        <v>52</v>
      </c>
      <c r="E636" s="2">
        <f t="shared" ca="1" si="69"/>
        <v>9301</v>
      </c>
      <c r="F636" s="2">
        <f t="shared" ca="1" si="70"/>
        <v>32497</v>
      </c>
      <c r="G636" s="2">
        <f t="shared" ca="1" si="71"/>
        <v>1597</v>
      </c>
    </row>
    <row r="637" spans="1:7" x14ac:dyDescent="0.3">
      <c r="A637" s="5" t="str">
        <f t="shared" si="72"/>
        <v>Adidas</v>
      </c>
      <c r="B637" s="5" t="str">
        <f t="shared" si="67"/>
        <v>Ultraboost 23</v>
      </c>
      <c r="C637" s="3">
        <f t="shared" si="73"/>
        <v>45700</v>
      </c>
      <c r="D637" s="4">
        <f t="shared" ca="1" si="68"/>
        <v>21</v>
      </c>
      <c r="E637" s="2">
        <f t="shared" ca="1" si="69"/>
        <v>8045</v>
      </c>
      <c r="F637" s="2">
        <f t="shared" ca="1" si="70"/>
        <v>26671</v>
      </c>
      <c r="G637" s="2">
        <f t="shared" ca="1" si="71"/>
        <v>997</v>
      </c>
    </row>
    <row r="638" spans="1:7" x14ac:dyDescent="0.3">
      <c r="A638" s="5" t="str">
        <f t="shared" si="72"/>
        <v>Puma</v>
      </c>
      <c r="B638" s="5" t="str">
        <f t="shared" si="67"/>
        <v>RS-X</v>
      </c>
      <c r="C638" s="3">
        <f t="shared" si="73"/>
        <v>45700</v>
      </c>
      <c r="D638" s="4">
        <f t="shared" ca="1" si="68"/>
        <v>50</v>
      </c>
      <c r="E638" s="2">
        <f t="shared" ca="1" si="69"/>
        <v>9513</v>
      </c>
      <c r="F638" s="2">
        <f t="shared" ca="1" si="70"/>
        <v>17544</v>
      </c>
      <c r="G638" s="2">
        <f t="shared" ca="1" si="71"/>
        <v>461</v>
      </c>
    </row>
    <row r="639" spans="1:7" x14ac:dyDescent="0.3">
      <c r="A639" s="5" t="str">
        <f t="shared" si="72"/>
        <v>New Balance</v>
      </c>
      <c r="B639" s="5" t="str">
        <f t="shared" si="67"/>
        <v>2002R</v>
      </c>
      <c r="C639" s="3">
        <f t="shared" si="73"/>
        <v>45700</v>
      </c>
      <c r="D639" s="4">
        <f t="shared" ca="1" si="68"/>
        <v>230</v>
      </c>
      <c r="E639" s="2">
        <f t="shared" ca="1" si="69"/>
        <v>4533</v>
      </c>
      <c r="F639" s="2">
        <f t="shared" ca="1" si="70"/>
        <v>5908</v>
      </c>
      <c r="G639" s="2">
        <f t="shared" ca="1" si="71"/>
        <v>293</v>
      </c>
    </row>
    <row r="640" spans="1:7" x14ac:dyDescent="0.3">
      <c r="A640" s="5" t="str">
        <f t="shared" si="72"/>
        <v>Reebok</v>
      </c>
      <c r="B640" s="5" t="str">
        <f t="shared" si="67"/>
        <v>Instapump Fury</v>
      </c>
      <c r="C640" s="3">
        <f t="shared" si="73"/>
        <v>45700</v>
      </c>
      <c r="D640" s="4">
        <f t="shared" ca="1" si="68"/>
        <v>233</v>
      </c>
      <c r="E640" s="2">
        <f t="shared" ca="1" si="69"/>
        <v>11584</v>
      </c>
      <c r="F640" s="2">
        <f t="shared" ca="1" si="70"/>
        <v>21002</v>
      </c>
      <c r="G640" s="2">
        <f t="shared" ca="1" si="71"/>
        <v>605</v>
      </c>
    </row>
    <row r="641" spans="1:7" x14ac:dyDescent="0.3">
      <c r="A641" s="5" t="str">
        <f t="shared" si="72"/>
        <v>Nike</v>
      </c>
      <c r="B641" s="5" t="str">
        <f t="shared" si="67"/>
        <v>Cortez</v>
      </c>
      <c r="C641" s="3">
        <f t="shared" si="73"/>
        <v>45700</v>
      </c>
      <c r="D641" s="4">
        <f t="shared" ca="1" si="68"/>
        <v>167</v>
      </c>
      <c r="E641" s="2">
        <f t="shared" ca="1" si="69"/>
        <v>11512</v>
      </c>
      <c r="F641" s="2">
        <f t="shared" ca="1" si="70"/>
        <v>6560</v>
      </c>
      <c r="G641" s="2">
        <f t="shared" ca="1" si="71"/>
        <v>274</v>
      </c>
    </row>
    <row r="642" spans="1:7" x14ac:dyDescent="0.3">
      <c r="A642" s="5" t="str">
        <f t="shared" si="72"/>
        <v>Adidas</v>
      </c>
      <c r="B642" s="5" t="str">
        <f t="shared" si="67"/>
        <v>NMD S1</v>
      </c>
      <c r="C642" s="3">
        <f t="shared" si="73"/>
        <v>45700</v>
      </c>
      <c r="D642" s="4">
        <f t="shared" ca="1" si="68"/>
        <v>171</v>
      </c>
      <c r="E642" s="2">
        <f t="shared" ca="1" si="69"/>
        <v>9699</v>
      </c>
      <c r="F642" s="2">
        <f t="shared" ca="1" si="70"/>
        <v>8980</v>
      </c>
      <c r="G642" s="2">
        <f t="shared" ca="1" si="71"/>
        <v>281</v>
      </c>
    </row>
    <row r="643" spans="1:7" x14ac:dyDescent="0.3">
      <c r="A643" s="5" t="str">
        <f t="shared" si="72"/>
        <v>Puma</v>
      </c>
      <c r="B643" s="5" t="str">
        <f t="shared" ref="B643:B706" si="74">IF(A643="Nike",CHOOSE(MOD(ROW(A642),6)+1,"Air Max 270","Air Force 1","Pegasus 40","Vaporfly 3","Cortez","Jordan 1"),
 IF(A643="Adidas",CHOOSE(MOD(ROW(A642),6)+1,"Ultraboost 23","Stan Smith","Superstar","Gazelle","Samba","NMD S1"),
 IF(A643="Puma",CHOOSE(MOD(ROW(A642),6)+1,"Suede Classic","RS-X","Cali Dream","Rider Vintage","Slipstream","Mayze"),
 IF(A643="New Balance",CHOOSE(MOD(ROW(A642),6)+1,"574 Core","990v6","2002R","9060","327","550"),
 IF(A643="Reebok",CHOOSE(MOD(ROW(A642),6)+1,"Classic Leather","Club C 85","Nano X3","Instapump Fury","Zig Kinetica","Question Mid"),"")))))</f>
        <v>Suede Classic</v>
      </c>
      <c r="C643" s="3">
        <f t="shared" si="73"/>
        <v>45700</v>
      </c>
      <c r="D643" s="4">
        <f t="shared" ref="D643:D706" ca="1" si="75">RANDBETWEEN(20,250)</f>
        <v>120</v>
      </c>
      <c r="E643" s="2">
        <f t="shared" ref="E643:E706" ca="1" si="76">ROUND(RANDBETWEEN(1500,12000)+(RANDBETWEEN(-200,200)),2)</f>
        <v>9248</v>
      </c>
      <c r="F643" s="2">
        <f t="shared" ref="F643:F706" ca="1" si="77">RANDBETWEEN(5000,35000)</f>
        <v>31009</v>
      </c>
      <c r="G643" s="2">
        <f t="shared" ref="G643:G706" ca="1" si="78">RANDBETWEEN(ROUND(F643*0.02,0),ROUND(F643*0.08,0))</f>
        <v>668</v>
      </c>
    </row>
    <row r="644" spans="1:7" x14ac:dyDescent="0.3">
      <c r="A644" s="5" t="str">
        <f t="shared" si="72"/>
        <v>New Balance</v>
      </c>
      <c r="B644" s="5" t="str">
        <f t="shared" si="74"/>
        <v>990v6</v>
      </c>
      <c r="C644" s="3">
        <f t="shared" si="73"/>
        <v>45700</v>
      </c>
      <c r="D644" s="4">
        <f t="shared" ca="1" si="75"/>
        <v>218</v>
      </c>
      <c r="E644" s="2">
        <f t="shared" ca="1" si="76"/>
        <v>6031</v>
      </c>
      <c r="F644" s="2">
        <f t="shared" ca="1" si="77"/>
        <v>31241</v>
      </c>
      <c r="G644" s="2">
        <f t="shared" ca="1" si="78"/>
        <v>2052</v>
      </c>
    </row>
    <row r="645" spans="1:7" x14ac:dyDescent="0.3">
      <c r="A645" s="5" t="str">
        <f t="shared" si="72"/>
        <v>Reebok</v>
      </c>
      <c r="B645" s="5" t="str">
        <f t="shared" si="74"/>
        <v>Nano X3</v>
      </c>
      <c r="C645" s="3">
        <f t="shared" si="73"/>
        <v>45700</v>
      </c>
      <c r="D645" s="4">
        <f t="shared" ca="1" si="75"/>
        <v>73</v>
      </c>
      <c r="E645" s="2">
        <f t="shared" ca="1" si="76"/>
        <v>7601</v>
      </c>
      <c r="F645" s="2">
        <f t="shared" ca="1" si="77"/>
        <v>7551</v>
      </c>
      <c r="G645" s="2">
        <f t="shared" ca="1" si="78"/>
        <v>243</v>
      </c>
    </row>
    <row r="646" spans="1:7" x14ac:dyDescent="0.3">
      <c r="A646" s="5" t="str">
        <f t="shared" si="72"/>
        <v>Nike</v>
      </c>
      <c r="B646" s="5" t="str">
        <f t="shared" si="74"/>
        <v>Vaporfly 3</v>
      </c>
      <c r="C646" s="3">
        <f t="shared" si="73"/>
        <v>45700</v>
      </c>
      <c r="D646" s="4">
        <f t="shared" ca="1" si="75"/>
        <v>192</v>
      </c>
      <c r="E646" s="2">
        <f t="shared" ca="1" si="76"/>
        <v>7426</v>
      </c>
      <c r="F646" s="2">
        <f t="shared" ca="1" si="77"/>
        <v>31695</v>
      </c>
      <c r="G646" s="2">
        <f t="shared" ca="1" si="78"/>
        <v>681</v>
      </c>
    </row>
    <row r="647" spans="1:7" x14ac:dyDescent="0.3">
      <c r="A647" s="5" t="str">
        <f t="shared" si="72"/>
        <v>Adidas</v>
      </c>
      <c r="B647" s="5" t="str">
        <f t="shared" si="74"/>
        <v>Samba</v>
      </c>
      <c r="C647" s="3">
        <f t="shared" si="73"/>
        <v>45701</v>
      </c>
      <c r="D647" s="4">
        <f t="shared" ca="1" si="75"/>
        <v>228</v>
      </c>
      <c r="E647" s="2">
        <f t="shared" ca="1" si="76"/>
        <v>6910</v>
      </c>
      <c r="F647" s="2">
        <f t="shared" ca="1" si="77"/>
        <v>20053</v>
      </c>
      <c r="G647" s="2">
        <f t="shared" ca="1" si="78"/>
        <v>1130</v>
      </c>
    </row>
    <row r="648" spans="1:7" x14ac:dyDescent="0.3">
      <c r="A648" s="5" t="str">
        <f t="shared" si="72"/>
        <v>Puma</v>
      </c>
      <c r="B648" s="5" t="str">
        <f t="shared" si="74"/>
        <v>Mayze</v>
      </c>
      <c r="C648" s="3">
        <f t="shared" si="73"/>
        <v>45701</v>
      </c>
      <c r="D648" s="4">
        <f t="shared" ca="1" si="75"/>
        <v>32</v>
      </c>
      <c r="E648" s="2">
        <f t="shared" ca="1" si="76"/>
        <v>11402</v>
      </c>
      <c r="F648" s="2">
        <f t="shared" ca="1" si="77"/>
        <v>34503</v>
      </c>
      <c r="G648" s="2">
        <f t="shared" ca="1" si="78"/>
        <v>1229</v>
      </c>
    </row>
    <row r="649" spans="1:7" x14ac:dyDescent="0.3">
      <c r="A649" s="5" t="str">
        <f t="shared" si="72"/>
        <v>New Balance</v>
      </c>
      <c r="B649" s="5" t="str">
        <f t="shared" si="74"/>
        <v>574 Core</v>
      </c>
      <c r="C649" s="3">
        <f t="shared" si="73"/>
        <v>45701</v>
      </c>
      <c r="D649" s="4">
        <f t="shared" ca="1" si="75"/>
        <v>242</v>
      </c>
      <c r="E649" s="2">
        <f t="shared" ca="1" si="76"/>
        <v>8702</v>
      </c>
      <c r="F649" s="2">
        <f t="shared" ca="1" si="77"/>
        <v>10723</v>
      </c>
      <c r="G649" s="2">
        <f t="shared" ca="1" si="78"/>
        <v>468</v>
      </c>
    </row>
    <row r="650" spans="1:7" x14ac:dyDescent="0.3">
      <c r="A650" s="5" t="str">
        <f t="shared" si="72"/>
        <v>Reebok</v>
      </c>
      <c r="B650" s="5" t="str">
        <f t="shared" si="74"/>
        <v>Club C 85</v>
      </c>
      <c r="C650" s="3">
        <f t="shared" si="73"/>
        <v>45701</v>
      </c>
      <c r="D650" s="4">
        <f t="shared" ca="1" si="75"/>
        <v>87</v>
      </c>
      <c r="E650" s="2">
        <f t="shared" ca="1" si="76"/>
        <v>12068</v>
      </c>
      <c r="F650" s="2">
        <f t="shared" ca="1" si="77"/>
        <v>23853</v>
      </c>
      <c r="G650" s="2">
        <f t="shared" ca="1" si="78"/>
        <v>1147</v>
      </c>
    </row>
    <row r="651" spans="1:7" x14ac:dyDescent="0.3">
      <c r="A651" s="5" t="str">
        <f t="shared" si="72"/>
        <v>Nike</v>
      </c>
      <c r="B651" s="5" t="str">
        <f t="shared" si="74"/>
        <v>Pegasus 40</v>
      </c>
      <c r="C651" s="3">
        <f t="shared" si="73"/>
        <v>45701</v>
      </c>
      <c r="D651" s="4">
        <f t="shared" ca="1" si="75"/>
        <v>239</v>
      </c>
      <c r="E651" s="2">
        <f t="shared" ca="1" si="76"/>
        <v>2448</v>
      </c>
      <c r="F651" s="2">
        <f t="shared" ca="1" si="77"/>
        <v>6577</v>
      </c>
      <c r="G651" s="2">
        <f t="shared" ca="1" si="78"/>
        <v>196</v>
      </c>
    </row>
    <row r="652" spans="1:7" x14ac:dyDescent="0.3">
      <c r="A652" s="5" t="str">
        <f t="shared" si="72"/>
        <v>Adidas</v>
      </c>
      <c r="B652" s="5" t="str">
        <f t="shared" si="74"/>
        <v>Gazelle</v>
      </c>
      <c r="C652" s="3">
        <f t="shared" si="73"/>
        <v>45701</v>
      </c>
      <c r="D652" s="4">
        <f t="shared" ca="1" si="75"/>
        <v>75</v>
      </c>
      <c r="E652" s="2">
        <f t="shared" ca="1" si="76"/>
        <v>3267</v>
      </c>
      <c r="F652" s="2">
        <f t="shared" ca="1" si="77"/>
        <v>7866</v>
      </c>
      <c r="G652" s="2">
        <f t="shared" ca="1" si="78"/>
        <v>564</v>
      </c>
    </row>
    <row r="653" spans="1:7" x14ac:dyDescent="0.3">
      <c r="A653" s="5" t="str">
        <f t="shared" si="72"/>
        <v>Puma</v>
      </c>
      <c r="B653" s="5" t="str">
        <f t="shared" si="74"/>
        <v>Slipstream</v>
      </c>
      <c r="C653" s="3">
        <f t="shared" si="73"/>
        <v>45701</v>
      </c>
      <c r="D653" s="4">
        <f t="shared" ca="1" si="75"/>
        <v>238</v>
      </c>
      <c r="E653" s="2">
        <f t="shared" ca="1" si="76"/>
        <v>11042</v>
      </c>
      <c r="F653" s="2">
        <f t="shared" ca="1" si="77"/>
        <v>24796</v>
      </c>
      <c r="G653" s="2">
        <f t="shared" ca="1" si="78"/>
        <v>1001</v>
      </c>
    </row>
    <row r="654" spans="1:7" x14ac:dyDescent="0.3">
      <c r="A654" s="5" t="str">
        <f t="shared" si="72"/>
        <v>New Balance</v>
      </c>
      <c r="B654" s="5" t="str">
        <f t="shared" si="74"/>
        <v>550</v>
      </c>
      <c r="C654" s="3">
        <f t="shared" si="73"/>
        <v>45701</v>
      </c>
      <c r="D654" s="4">
        <f t="shared" ca="1" si="75"/>
        <v>242</v>
      </c>
      <c r="E654" s="2">
        <f t="shared" ca="1" si="76"/>
        <v>5477</v>
      </c>
      <c r="F654" s="2">
        <f t="shared" ca="1" si="77"/>
        <v>23235</v>
      </c>
      <c r="G654" s="2">
        <f t="shared" ca="1" si="78"/>
        <v>1278</v>
      </c>
    </row>
    <row r="655" spans="1:7" x14ac:dyDescent="0.3">
      <c r="A655" s="5" t="str">
        <f t="shared" si="72"/>
        <v>Reebok</v>
      </c>
      <c r="B655" s="5" t="str">
        <f t="shared" si="74"/>
        <v>Classic Leather</v>
      </c>
      <c r="C655" s="3">
        <f t="shared" si="73"/>
        <v>45701</v>
      </c>
      <c r="D655" s="4">
        <f t="shared" ca="1" si="75"/>
        <v>180</v>
      </c>
      <c r="E655" s="2">
        <f t="shared" ca="1" si="76"/>
        <v>8456</v>
      </c>
      <c r="F655" s="2">
        <f t="shared" ca="1" si="77"/>
        <v>30720</v>
      </c>
      <c r="G655" s="2">
        <f t="shared" ca="1" si="78"/>
        <v>1245</v>
      </c>
    </row>
    <row r="656" spans="1:7" x14ac:dyDescent="0.3">
      <c r="A656" s="5" t="str">
        <f t="shared" si="72"/>
        <v>Nike</v>
      </c>
      <c r="B656" s="5" t="str">
        <f t="shared" si="74"/>
        <v>Air Force 1</v>
      </c>
      <c r="C656" s="3">
        <f t="shared" si="73"/>
        <v>45701</v>
      </c>
      <c r="D656" s="4">
        <f t="shared" ca="1" si="75"/>
        <v>95</v>
      </c>
      <c r="E656" s="2">
        <f t="shared" ca="1" si="76"/>
        <v>2471</v>
      </c>
      <c r="F656" s="2">
        <f t="shared" ca="1" si="77"/>
        <v>8336</v>
      </c>
      <c r="G656" s="2">
        <f t="shared" ca="1" si="78"/>
        <v>551</v>
      </c>
    </row>
    <row r="657" spans="1:7" x14ac:dyDescent="0.3">
      <c r="A657" s="5" t="str">
        <f t="shared" si="72"/>
        <v>Adidas</v>
      </c>
      <c r="B657" s="5" t="str">
        <f t="shared" si="74"/>
        <v>Superstar</v>
      </c>
      <c r="C657" s="3">
        <f t="shared" si="73"/>
        <v>45701</v>
      </c>
      <c r="D657" s="4">
        <f t="shared" ca="1" si="75"/>
        <v>39</v>
      </c>
      <c r="E657" s="2">
        <f t="shared" ca="1" si="76"/>
        <v>9408</v>
      </c>
      <c r="F657" s="2">
        <f t="shared" ca="1" si="77"/>
        <v>23281</v>
      </c>
      <c r="G657" s="2">
        <f t="shared" ca="1" si="78"/>
        <v>737</v>
      </c>
    </row>
    <row r="658" spans="1:7" x14ac:dyDescent="0.3">
      <c r="A658" s="5" t="str">
        <f t="shared" si="72"/>
        <v>Puma</v>
      </c>
      <c r="B658" s="5" t="str">
        <f t="shared" si="74"/>
        <v>Rider Vintage</v>
      </c>
      <c r="C658" s="3">
        <f t="shared" si="73"/>
        <v>45701</v>
      </c>
      <c r="D658" s="4">
        <f t="shared" ca="1" si="75"/>
        <v>49</v>
      </c>
      <c r="E658" s="2">
        <f t="shared" ca="1" si="76"/>
        <v>4558</v>
      </c>
      <c r="F658" s="2">
        <f t="shared" ca="1" si="77"/>
        <v>12209</v>
      </c>
      <c r="G658" s="2">
        <f t="shared" ca="1" si="78"/>
        <v>694</v>
      </c>
    </row>
    <row r="659" spans="1:7" x14ac:dyDescent="0.3">
      <c r="A659" s="5" t="str">
        <f t="shared" si="72"/>
        <v>New Balance</v>
      </c>
      <c r="B659" s="5" t="str">
        <f t="shared" si="74"/>
        <v>327</v>
      </c>
      <c r="C659" s="3">
        <f t="shared" si="73"/>
        <v>45701</v>
      </c>
      <c r="D659" s="4">
        <f t="shared" ca="1" si="75"/>
        <v>62</v>
      </c>
      <c r="E659" s="2">
        <f t="shared" ca="1" si="76"/>
        <v>1480</v>
      </c>
      <c r="F659" s="2">
        <f t="shared" ca="1" si="77"/>
        <v>27988</v>
      </c>
      <c r="G659" s="2">
        <f t="shared" ca="1" si="78"/>
        <v>2169</v>
      </c>
    </row>
    <row r="660" spans="1:7" x14ac:dyDescent="0.3">
      <c r="A660" s="5" t="str">
        <f t="shared" si="72"/>
        <v>Reebok</v>
      </c>
      <c r="B660" s="5" t="str">
        <f t="shared" si="74"/>
        <v>Question Mid</v>
      </c>
      <c r="C660" s="3">
        <f t="shared" si="73"/>
        <v>45701</v>
      </c>
      <c r="D660" s="4">
        <f t="shared" ca="1" si="75"/>
        <v>59</v>
      </c>
      <c r="E660" s="2">
        <f t="shared" ca="1" si="76"/>
        <v>6586</v>
      </c>
      <c r="F660" s="2">
        <f t="shared" ca="1" si="77"/>
        <v>5896</v>
      </c>
      <c r="G660" s="2">
        <f t="shared" ca="1" si="78"/>
        <v>345</v>
      </c>
    </row>
    <row r="661" spans="1:7" x14ac:dyDescent="0.3">
      <c r="A661" s="5" t="str">
        <f t="shared" si="72"/>
        <v>Nike</v>
      </c>
      <c r="B661" s="5" t="str">
        <f t="shared" si="74"/>
        <v>Air Max 270</v>
      </c>
      <c r="C661" s="3">
        <f t="shared" si="73"/>
        <v>45701</v>
      </c>
      <c r="D661" s="4">
        <f t="shared" ca="1" si="75"/>
        <v>196</v>
      </c>
      <c r="E661" s="2">
        <f t="shared" ca="1" si="76"/>
        <v>11312</v>
      </c>
      <c r="F661" s="2">
        <f t="shared" ca="1" si="77"/>
        <v>10932</v>
      </c>
      <c r="G661" s="2">
        <f t="shared" ca="1" si="78"/>
        <v>500</v>
      </c>
    </row>
    <row r="662" spans="1:7" x14ac:dyDescent="0.3">
      <c r="A662" s="5" t="str">
        <f t="shared" si="72"/>
        <v>Adidas</v>
      </c>
      <c r="B662" s="5" t="str">
        <f t="shared" si="74"/>
        <v>Stan Smith</v>
      </c>
      <c r="C662" s="3">
        <f t="shared" si="73"/>
        <v>45702</v>
      </c>
      <c r="D662" s="4">
        <f t="shared" ca="1" si="75"/>
        <v>155</v>
      </c>
      <c r="E662" s="2">
        <f t="shared" ca="1" si="76"/>
        <v>1619</v>
      </c>
      <c r="F662" s="2">
        <f t="shared" ca="1" si="77"/>
        <v>11159</v>
      </c>
      <c r="G662" s="2">
        <f t="shared" ca="1" si="78"/>
        <v>610</v>
      </c>
    </row>
    <row r="663" spans="1:7" x14ac:dyDescent="0.3">
      <c r="A663" s="5" t="str">
        <f t="shared" si="72"/>
        <v>Puma</v>
      </c>
      <c r="B663" s="5" t="str">
        <f t="shared" si="74"/>
        <v>Cali Dream</v>
      </c>
      <c r="C663" s="3">
        <f t="shared" si="73"/>
        <v>45702</v>
      </c>
      <c r="D663" s="4">
        <f t="shared" ca="1" si="75"/>
        <v>122</v>
      </c>
      <c r="E663" s="2">
        <f t="shared" ca="1" si="76"/>
        <v>10596</v>
      </c>
      <c r="F663" s="2">
        <f t="shared" ca="1" si="77"/>
        <v>16546</v>
      </c>
      <c r="G663" s="2">
        <f t="shared" ca="1" si="78"/>
        <v>519</v>
      </c>
    </row>
    <row r="664" spans="1:7" x14ac:dyDescent="0.3">
      <c r="A664" s="5" t="str">
        <f t="shared" si="72"/>
        <v>New Balance</v>
      </c>
      <c r="B664" s="5" t="str">
        <f t="shared" si="74"/>
        <v>9060</v>
      </c>
      <c r="C664" s="3">
        <f t="shared" si="73"/>
        <v>45702</v>
      </c>
      <c r="D664" s="4">
        <f t="shared" ca="1" si="75"/>
        <v>151</v>
      </c>
      <c r="E664" s="2">
        <f t="shared" ca="1" si="76"/>
        <v>2415</v>
      </c>
      <c r="F664" s="2">
        <f t="shared" ca="1" si="77"/>
        <v>9433</v>
      </c>
      <c r="G664" s="2">
        <f t="shared" ca="1" si="78"/>
        <v>423</v>
      </c>
    </row>
    <row r="665" spans="1:7" x14ac:dyDescent="0.3">
      <c r="A665" s="5" t="str">
        <f t="shared" si="72"/>
        <v>Reebok</v>
      </c>
      <c r="B665" s="5" t="str">
        <f t="shared" si="74"/>
        <v>Zig Kinetica</v>
      </c>
      <c r="C665" s="3">
        <f t="shared" si="73"/>
        <v>45702</v>
      </c>
      <c r="D665" s="4">
        <f t="shared" ca="1" si="75"/>
        <v>202</v>
      </c>
      <c r="E665" s="2">
        <f t="shared" ca="1" si="76"/>
        <v>8346</v>
      </c>
      <c r="F665" s="2">
        <f t="shared" ca="1" si="77"/>
        <v>13588</v>
      </c>
      <c r="G665" s="2">
        <f t="shared" ca="1" si="78"/>
        <v>457</v>
      </c>
    </row>
    <row r="666" spans="1:7" x14ac:dyDescent="0.3">
      <c r="A666" s="5" t="str">
        <f t="shared" si="72"/>
        <v>Nike</v>
      </c>
      <c r="B666" s="5" t="str">
        <f t="shared" si="74"/>
        <v>Jordan 1</v>
      </c>
      <c r="C666" s="3">
        <f t="shared" si="73"/>
        <v>45702</v>
      </c>
      <c r="D666" s="4">
        <f t="shared" ca="1" si="75"/>
        <v>44</v>
      </c>
      <c r="E666" s="2">
        <f t="shared" ca="1" si="76"/>
        <v>10730</v>
      </c>
      <c r="F666" s="2">
        <f t="shared" ca="1" si="77"/>
        <v>15394</v>
      </c>
      <c r="G666" s="2">
        <f t="shared" ca="1" si="78"/>
        <v>657</v>
      </c>
    </row>
    <row r="667" spans="1:7" x14ac:dyDescent="0.3">
      <c r="A667" s="5" t="str">
        <f t="shared" si="72"/>
        <v>Adidas</v>
      </c>
      <c r="B667" s="5" t="str">
        <f t="shared" si="74"/>
        <v>Ultraboost 23</v>
      </c>
      <c r="C667" s="3">
        <f t="shared" si="73"/>
        <v>45702</v>
      </c>
      <c r="D667" s="4">
        <f t="shared" ca="1" si="75"/>
        <v>46</v>
      </c>
      <c r="E667" s="2">
        <f t="shared" ca="1" si="76"/>
        <v>2495</v>
      </c>
      <c r="F667" s="2">
        <f t="shared" ca="1" si="77"/>
        <v>5007</v>
      </c>
      <c r="G667" s="2">
        <f t="shared" ca="1" si="78"/>
        <v>331</v>
      </c>
    </row>
    <row r="668" spans="1:7" x14ac:dyDescent="0.3">
      <c r="A668" s="5" t="str">
        <f t="shared" si="72"/>
        <v>Puma</v>
      </c>
      <c r="B668" s="5" t="str">
        <f t="shared" si="74"/>
        <v>RS-X</v>
      </c>
      <c r="C668" s="3">
        <f t="shared" si="73"/>
        <v>45702</v>
      </c>
      <c r="D668" s="4">
        <f t="shared" ca="1" si="75"/>
        <v>156</v>
      </c>
      <c r="E668" s="2">
        <f t="shared" ca="1" si="76"/>
        <v>9984</v>
      </c>
      <c r="F668" s="2">
        <f t="shared" ca="1" si="77"/>
        <v>14069</v>
      </c>
      <c r="G668" s="2">
        <f t="shared" ca="1" si="78"/>
        <v>339</v>
      </c>
    </row>
    <row r="669" spans="1:7" x14ac:dyDescent="0.3">
      <c r="A669" s="5" t="str">
        <f t="shared" si="72"/>
        <v>New Balance</v>
      </c>
      <c r="B669" s="5" t="str">
        <f t="shared" si="74"/>
        <v>2002R</v>
      </c>
      <c r="C669" s="3">
        <f t="shared" si="73"/>
        <v>45702</v>
      </c>
      <c r="D669" s="4">
        <f t="shared" ca="1" si="75"/>
        <v>181</v>
      </c>
      <c r="E669" s="2">
        <f t="shared" ca="1" si="76"/>
        <v>3127</v>
      </c>
      <c r="F669" s="2">
        <f t="shared" ca="1" si="77"/>
        <v>6042</v>
      </c>
      <c r="G669" s="2">
        <f t="shared" ca="1" si="78"/>
        <v>472</v>
      </c>
    </row>
    <row r="670" spans="1:7" x14ac:dyDescent="0.3">
      <c r="A670" s="5" t="str">
        <f t="shared" si="72"/>
        <v>Reebok</v>
      </c>
      <c r="B670" s="5" t="str">
        <f t="shared" si="74"/>
        <v>Instapump Fury</v>
      </c>
      <c r="C670" s="3">
        <f t="shared" si="73"/>
        <v>45702</v>
      </c>
      <c r="D670" s="4">
        <f t="shared" ca="1" si="75"/>
        <v>37</v>
      </c>
      <c r="E670" s="2">
        <f t="shared" ca="1" si="76"/>
        <v>5965</v>
      </c>
      <c r="F670" s="2">
        <f t="shared" ca="1" si="77"/>
        <v>24246</v>
      </c>
      <c r="G670" s="2">
        <f t="shared" ca="1" si="78"/>
        <v>1562</v>
      </c>
    </row>
    <row r="671" spans="1:7" x14ac:dyDescent="0.3">
      <c r="A671" s="5" t="str">
        <f t="shared" si="72"/>
        <v>Nike</v>
      </c>
      <c r="B671" s="5" t="str">
        <f t="shared" si="74"/>
        <v>Cortez</v>
      </c>
      <c r="C671" s="3">
        <f t="shared" si="73"/>
        <v>45702</v>
      </c>
      <c r="D671" s="4">
        <f t="shared" ca="1" si="75"/>
        <v>84</v>
      </c>
      <c r="E671" s="2">
        <f t="shared" ca="1" si="76"/>
        <v>11471</v>
      </c>
      <c r="F671" s="2">
        <f t="shared" ca="1" si="77"/>
        <v>30829</v>
      </c>
      <c r="G671" s="2">
        <f t="shared" ca="1" si="78"/>
        <v>1701</v>
      </c>
    </row>
    <row r="672" spans="1:7" x14ac:dyDescent="0.3">
      <c r="A672" s="5" t="str">
        <f t="shared" si="72"/>
        <v>Adidas</v>
      </c>
      <c r="B672" s="5" t="str">
        <f t="shared" si="74"/>
        <v>NMD S1</v>
      </c>
      <c r="C672" s="3">
        <f t="shared" si="73"/>
        <v>45702</v>
      </c>
      <c r="D672" s="4">
        <f t="shared" ca="1" si="75"/>
        <v>185</v>
      </c>
      <c r="E672" s="2">
        <f t="shared" ca="1" si="76"/>
        <v>6017</v>
      </c>
      <c r="F672" s="2">
        <f t="shared" ca="1" si="77"/>
        <v>24588</v>
      </c>
      <c r="G672" s="2">
        <f t="shared" ca="1" si="78"/>
        <v>1424</v>
      </c>
    </row>
    <row r="673" spans="1:7" x14ac:dyDescent="0.3">
      <c r="A673" s="5" t="str">
        <f t="shared" si="72"/>
        <v>Puma</v>
      </c>
      <c r="B673" s="5" t="str">
        <f t="shared" si="74"/>
        <v>Suede Classic</v>
      </c>
      <c r="C673" s="3">
        <f t="shared" si="73"/>
        <v>45702</v>
      </c>
      <c r="D673" s="4">
        <f t="shared" ca="1" si="75"/>
        <v>115</v>
      </c>
      <c r="E673" s="2">
        <f t="shared" ca="1" si="76"/>
        <v>4016</v>
      </c>
      <c r="F673" s="2">
        <f t="shared" ca="1" si="77"/>
        <v>30279</v>
      </c>
      <c r="G673" s="2">
        <f t="shared" ca="1" si="78"/>
        <v>1676</v>
      </c>
    </row>
    <row r="674" spans="1:7" x14ac:dyDescent="0.3">
      <c r="A674" s="5" t="str">
        <f t="shared" si="72"/>
        <v>New Balance</v>
      </c>
      <c r="B674" s="5" t="str">
        <f t="shared" si="74"/>
        <v>990v6</v>
      </c>
      <c r="C674" s="3">
        <f t="shared" si="73"/>
        <v>45702</v>
      </c>
      <c r="D674" s="4">
        <f t="shared" ca="1" si="75"/>
        <v>242</v>
      </c>
      <c r="E674" s="2">
        <f t="shared" ca="1" si="76"/>
        <v>10478</v>
      </c>
      <c r="F674" s="2">
        <f t="shared" ca="1" si="77"/>
        <v>15520</v>
      </c>
      <c r="G674" s="2">
        <f t="shared" ca="1" si="78"/>
        <v>837</v>
      </c>
    </row>
    <row r="675" spans="1:7" x14ac:dyDescent="0.3">
      <c r="A675" s="5" t="str">
        <f t="shared" si="72"/>
        <v>Reebok</v>
      </c>
      <c r="B675" s="5" t="str">
        <f t="shared" si="74"/>
        <v>Nano X3</v>
      </c>
      <c r="C675" s="3">
        <f t="shared" si="73"/>
        <v>45702</v>
      </c>
      <c r="D675" s="4">
        <f t="shared" ca="1" si="75"/>
        <v>72</v>
      </c>
      <c r="E675" s="2">
        <f t="shared" ca="1" si="76"/>
        <v>6695</v>
      </c>
      <c r="F675" s="2">
        <f t="shared" ca="1" si="77"/>
        <v>27408</v>
      </c>
      <c r="G675" s="2">
        <f t="shared" ca="1" si="78"/>
        <v>571</v>
      </c>
    </row>
    <row r="676" spans="1:7" x14ac:dyDescent="0.3">
      <c r="A676" s="5" t="str">
        <f t="shared" si="72"/>
        <v>Nike</v>
      </c>
      <c r="B676" s="5" t="str">
        <f t="shared" si="74"/>
        <v>Vaporfly 3</v>
      </c>
      <c r="C676" s="3">
        <f t="shared" si="73"/>
        <v>45702</v>
      </c>
      <c r="D676" s="4">
        <f t="shared" ca="1" si="75"/>
        <v>59</v>
      </c>
      <c r="E676" s="2">
        <f t="shared" ca="1" si="76"/>
        <v>11666</v>
      </c>
      <c r="F676" s="2">
        <f t="shared" ca="1" si="77"/>
        <v>7824</v>
      </c>
      <c r="G676" s="2">
        <f t="shared" ca="1" si="78"/>
        <v>600</v>
      </c>
    </row>
    <row r="677" spans="1:7" x14ac:dyDescent="0.3">
      <c r="A677" s="5" t="str">
        <f t="shared" si="72"/>
        <v>Adidas</v>
      </c>
      <c r="B677" s="5" t="str">
        <f t="shared" si="74"/>
        <v>Samba</v>
      </c>
      <c r="C677" s="3">
        <f t="shared" si="73"/>
        <v>45703</v>
      </c>
      <c r="D677" s="4">
        <f t="shared" ca="1" si="75"/>
        <v>163</v>
      </c>
      <c r="E677" s="2">
        <f t="shared" ca="1" si="76"/>
        <v>7021</v>
      </c>
      <c r="F677" s="2">
        <f t="shared" ca="1" si="77"/>
        <v>8695</v>
      </c>
      <c r="G677" s="2">
        <f t="shared" ca="1" si="78"/>
        <v>675</v>
      </c>
    </row>
    <row r="678" spans="1:7" x14ac:dyDescent="0.3">
      <c r="A678" s="5" t="str">
        <f t="shared" si="72"/>
        <v>Puma</v>
      </c>
      <c r="B678" s="5" t="str">
        <f t="shared" si="74"/>
        <v>Mayze</v>
      </c>
      <c r="C678" s="3">
        <f t="shared" si="73"/>
        <v>45703</v>
      </c>
      <c r="D678" s="4">
        <f t="shared" ca="1" si="75"/>
        <v>39</v>
      </c>
      <c r="E678" s="2">
        <f t="shared" ca="1" si="76"/>
        <v>5488</v>
      </c>
      <c r="F678" s="2">
        <f t="shared" ca="1" si="77"/>
        <v>25224</v>
      </c>
      <c r="G678" s="2">
        <f t="shared" ca="1" si="78"/>
        <v>1229</v>
      </c>
    </row>
    <row r="679" spans="1:7" x14ac:dyDescent="0.3">
      <c r="A679" s="5" t="str">
        <f t="shared" si="72"/>
        <v>New Balance</v>
      </c>
      <c r="B679" s="5" t="str">
        <f t="shared" si="74"/>
        <v>574 Core</v>
      </c>
      <c r="C679" s="3">
        <f t="shared" si="73"/>
        <v>45703</v>
      </c>
      <c r="D679" s="4">
        <f t="shared" ca="1" si="75"/>
        <v>181</v>
      </c>
      <c r="E679" s="2">
        <f t="shared" ca="1" si="76"/>
        <v>6602</v>
      </c>
      <c r="F679" s="2">
        <f t="shared" ca="1" si="77"/>
        <v>22273</v>
      </c>
      <c r="G679" s="2">
        <f t="shared" ca="1" si="78"/>
        <v>638</v>
      </c>
    </row>
    <row r="680" spans="1:7" x14ac:dyDescent="0.3">
      <c r="A680" s="5" t="str">
        <f t="shared" si="72"/>
        <v>Reebok</v>
      </c>
      <c r="B680" s="5" t="str">
        <f t="shared" si="74"/>
        <v>Club C 85</v>
      </c>
      <c r="C680" s="3">
        <f t="shared" si="73"/>
        <v>45703</v>
      </c>
      <c r="D680" s="4">
        <f t="shared" ca="1" si="75"/>
        <v>246</v>
      </c>
      <c r="E680" s="2">
        <f t="shared" ca="1" si="76"/>
        <v>4859</v>
      </c>
      <c r="F680" s="2">
        <f t="shared" ca="1" si="77"/>
        <v>33383</v>
      </c>
      <c r="G680" s="2">
        <f t="shared" ca="1" si="78"/>
        <v>1628</v>
      </c>
    </row>
    <row r="681" spans="1:7" x14ac:dyDescent="0.3">
      <c r="A681" s="5" t="str">
        <f t="shared" si="72"/>
        <v>Nike</v>
      </c>
      <c r="B681" s="5" t="str">
        <f t="shared" si="74"/>
        <v>Pegasus 40</v>
      </c>
      <c r="C681" s="3">
        <f t="shared" si="73"/>
        <v>45703</v>
      </c>
      <c r="D681" s="4">
        <f t="shared" ca="1" si="75"/>
        <v>28</v>
      </c>
      <c r="E681" s="2">
        <f t="shared" ca="1" si="76"/>
        <v>5352</v>
      </c>
      <c r="F681" s="2">
        <f t="shared" ca="1" si="77"/>
        <v>14260</v>
      </c>
      <c r="G681" s="2">
        <f t="shared" ca="1" si="78"/>
        <v>529</v>
      </c>
    </row>
    <row r="682" spans="1:7" x14ac:dyDescent="0.3">
      <c r="A682" s="5" t="str">
        <f t="shared" si="72"/>
        <v>Adidas</v>
      </c>
      <c r="B682" s="5" t="str">
        <f t="shared" si="74"/>
        <v>Gazelle</v>
      </c>
      <c r="C682" s="3">
        <f t="shared" si="73"/>
        <v>45703</v>
      </c>
      <c r="D682" s="4">
        <f t="shared" ca="1" si="75"/>
        <v>156</v>
      </c>
      <c r="E682" s="2">
        <f t="shared" ca="1" si="76"/>
        <v>6406</v>
      </c>
      <c r="F682" s="2">
        <f t="shared" ca="1" si="77"/>
        <v>18067</v>
      </c>
      <c r="G682" s="2">
        <f t="shared" ca="1" si="78"/>
        <v>1379</v>
      </c>
    </row>
    <row r="683" spans="1:7" x14ac:dyDescent="0.3">
      <c r="A683" s="5" t="str">
        <f t="shared" ref="A683:A746" si="79">CHOOSE(MOD(ROW(A682),5)+1,"Nike","Adidas","Puma","New Balance","Reebok")</f>
        <v>Puma</v>
      </c>
      <c r="B683" s="5" t="str">
        <f t="shared" si="74"/>
        <v>Slipstream</v>
      </c>
      <c r="C683" s="3">
        <f t="shared" ref="C683:C746" si="80">DATE(2025,1,1)+INT((ROW(A683)-2)/15)</f>
        <v>45703</v>
      </c>
      <c r="D683" s="4">
        <f t="shared" ca="1" si="75"/>
        <v>111</v>
      </c>
      <c r="E683" s="2">
        <f t="shared" ca="1" si="76"/>
        <v>6115</v>
      </c>
      <c r="F683" s="2">
        <f t="shared" ca="1" si="77"/>
        <v>30025</v>
      </c>
      <c r="G683" s="2">
        <f t="shared" ca="1" si="78"/>
        <v>774</v>
      </c>
    </row>
    <row r="684" spans="1:7" x14ac:dyDescent="0.3">
      <c r="A684" s="5" t="str">
        <f t="shared" si="79"/>
        <v>New Balance</v>
      </c>
      <c r="B684" s="5" t="str">
        <f t="shared" si="74"/>
        <v>550</v>
      </c>
      <c r="C684" s="3">
        <f t="shared" si="80"/>
        <v>45703</v>
      </c>
      <c r="D684" s="4">
        <f t="shared" ca="1" si="75"/>
        <v>214</v>
      </c>
      <c r="E684" s="2">
        <f t="shared" ca="1" si="76"/>
        <v>4147</v>
      </c>
      <c r="F684" s="2">
        <f t="shared" ca="1" si="77"/>
        <v>13461</v>
      </c>
      <c r="G684" s="2">
        <f t="shared" ca="1" si="78"/>
        <v>932</v>
      </c>
    </row>
    <row r="685" spans="1:7" x14ac:dyDescent="0.3">
      <c r="A685" s="5" t="str">
        <f t="shared" si="79"/>
        <v>Reebok</v>
      </c>
      <c r="B685" s="5" t="str">
        <f t="shared" si="74"/>
        <v>Classic Leather</v>
      </c>
      <c r="C685" s="3">
        <f t="shared" si="80"/>
        <v>45703</v>
      </c>
      <c r="D685" s="4">
        <f t="shared" ca="1" si="75"/>
        <v>244</v>
      </c>
      <c r="E685" s="2">
        <f t="shared" ca="1" si="76"/>
        <v>7003</v>
      </c>
      <c r="F685" s="2">
        <f t="shared" ca="1" si="77"/>
        <v>20484</v>
      </c>
      <c r="G685" s="2">
        <f t="shared" ca="1" si="78"/>
        <v>971</v>
      </c>
    </row>
    <row r="686" spans="1:7" x14ac:dyDescent="0.3">
      <c r="A686" s="5" t="str">
        <f t="shared" si="79"/>
        <v>Nike</v>
      </c>
      <c r="B686" s="5" t="str">
        <f t="shared" si="74"/>
        <v>Air Force 1</v>
      </c>
      <c r="C686" s="3">
        <f t="shared" si="80"/>
        <v>45703</v>
      </c>
      <c r="D686" s="4">
        <f t="shared" ca="1" si="75"/>
        <v>54</v>
      </c>
      <c r="E686" s="2">
        <f t="shared" ca="1" si="76"/>
        <v>2812</v>
      </c>
      <c r="F686" s="2">
        <f t="shared" ca="1" si="77"/>
        <v>27366</v>
      </c>
      <c r="G686" s="2">
        <f t="shared" ca="1" si="78"/>
        <v>1835</v>
      </c>
    </row>
    <row r="687" spans="1:7" x14ac:dyDescent="0.3">
      <c r="A687" s="5" t="str">
        <f t="shared" si="79"/>
        <v>Adidas</v>
      </c>
      <c r="B687" s="5" t="str">
        <f t="shared" si="74"/>
        <v>Superstar</v>
      </c>
      <c r="C687" s="3">
        <f t="shared" si="80"/>
        <v>45703</v>
      </c>
      <c r="D687" s="4">
        <f t="shared" ca="1" si="75"/>
        <v>227</v>
      </c>
      <c r="E687" s="2">
        <f t="shared" ca="1" si="76"/>
        <v>4544</v>
      </c>
      <c r="F687" s="2">
        <f t="shared" ca="1" si="77"/>
        <v>19045</v>
      </c>
      <c r="G687" s="2">
        <f t="shared" ca="1" si="78"/>
        <v>774</v>
      </c>
    </row>
    <row r="688" spans="1:7" x14ac:dyDescent="0.3">
      <c r="A688" s="5" t="str">
        <f t="shared" si="79"/>
        <v>Puma</v>
      </c>
      <c r="B688" s="5" t="str">
        <f t="shared" si="74"/>
        <v>Rider Vintage</v>
      </c>
      <c r="C688" s="3">
        <f t="shared" si="80"/>
        <v>45703</v>
      </c>
      <c r="D688" s="4">
        <f t="shared" ca="1" si="75"/>
        <v>126</v>
      </c>
      <c r="E688" s="2">
        <f t="shared" ca="1" si="76"/>
        <v>7397</v>
      </c>
      <c r="F688" s="2">
        <f t="shared" ca="1" si="77"/>
        <v>21735</v>
      </c>
      <c r="G688" s="2">
        <f t="shared" ca="1" si="78"/>
        <v>633</v>
      </c>
    </row>
    <row r="689" spans="1:7" x14ac:dyDescent="0.3">
      <c r="A689" s="5" t="str">
        <f t="shared" si="79"/>
        <v>New Balance</v>
      </c>
      <c r="B689" s="5" t="str">
        <f t="shared" si="74"/>
        <v>327</v>
      </c>
      <c r="C689" s="3">
        <f t="shared" si="80"/>
        <v>45703</v>
      </c>
      <c r="D689" s="4">
        <f t="shared" ca="1" si="75"/>
        <v>153</v>
      </c>
      <c r="E689" s="2">
        <f t="shared" ca="1" si="76"/>
        <v>5851</v>
      </c>
      <c r="F689" s="2">
        <f t="shared" ca="1" si="77"/>
        <v>11260</v>
      </c>
      <c r="G689" s="2">
        <f t="shared" ca="1" si="78"/>
        <v>514</v>
      </c>
    </row>
    <row r="690" spans="1:7" x14ac:dyDescent="0.3">
      <c r="A690" s="5" t="str">
        <f t="shared" si="79"/>
        <v>Reebok</v>
      </c>
      <c r="B690" s="5" t="str">
        <f t="shared" si="74"/>
        <v>Question Mid</v>
      </c>
      <c r="C690" s="3">
        <f t="shared" si="80"/>
        <v>45703</v>
      </c>
      <c r="D690" s="4">
        <f t="shared" ca="1" si="75"/>
        <v>201</v>
      </c>
      <c r="E690" s="2">
        <f t="shared" ca="1" si="76"/>
        <v>4455</v>
      </c>
      <c r="F690" s="2">
        <f t="shared" ca="1" si="77"/>
        <v>31014</v>
      </c>
      <c r="G690" s="2">
        <f t="shared" ca="1" si="78"/>
        <v>2373</v>
      </c>
    </row>
    <row r="691" spans="1:7" x14ac:dyDescent="0.3">
      <c r="A691" s="5" t="str">
        <f t="shared" si="79"/>
        <v>Nike</v>
      </c>
      <c r="B691" s="5" t="str">
        <f t="shared" si="74"/>
        <v>Air Max 270</v>
      </c>
      <c r="C691" s="3">
        <f t="shared" si="80"/>
        <v>45703</v>
      </c>
      <c r="D691" s="4">
        <f t="shared" ca="1" si="75"/>
        <v>145</v>
      </c>
      <c r="E691" s="2">
        <f t="shared" ca="1" si="76"/>
        <v>6167</v>
      </c>
      <c r="F691" s="2">
        <f t="shared" ca="1" si="77"/>
        <v>16515</v>
      </c>
      <c r="G691" s="2">
        <f t="shared" ca="1" si="78"/>
        <v>994</v>
      </c>
    </row>
    <row r="692" spans="1:7" x14ac:dyDescent="0.3">
      <c r="A692" s="5" t="str">
        <f t="shared" si="79"/>
        <v>Adidas</v>
      </c>
      <c r="B692" s="5" t="str">
        <f t="shared" si="74"/>
        <v>Stan Smith</v>
      </c>
      <c r="C692" s="3">
        <f t="shared" si="80"/>
        <v>45704</v>
      </c>
      <c r="D692" s="4">
        <f t="shared" ca="1" si="75"/>
        <v>224</v>
      </c>
      <c r="E692" s="2">
        <f t="shared" ca="1" si="76"/>
        <v>1652</v>
      </c>
      <c r="F692" s="2">
        <f t="shared" ca="1" si="77"/>
        <v>8199</v>
      </c>
      <c r="G692" s="2">
        <f t="shared" ca="1" si="78"/>
        <v>616</v>
      </c>
    </row>
    <row r="693" spans="1:7" x14ac:dyDescent="0.3">
      <c r="A693" s="5" t="str">
        <f t="shared" si="79"/>
        <v>Puma</v>
      </c>
      <c r="B693" s="5" t="str">
        <f t="shared" si="74"/>
        <v>Cali Dream</v>
      </c>
      <c r="C693" s="3">
        <f t="shared" si="80"/>
        <v>45704</v>
      </c>
      <c r="D693" s="4">
        <f t="shared" ca="1" si="75"/>
        <v>26</v>
      </c>
      <c r="E693" s="2">
        <f t="shared" ca="1" si="76"/>
        <v>7655</v>
      </c>
      <c r="F693" s="2">
        <f t="shared" ca="1" si="77"/>
        <v>22266</v>
      </c>
      <c r="G693" s="2">
        <f t="shared" ca="1" si="78"/>
        <v>1199</v>
      </c>
    </row>
    <row r="694" spans="1:7" x14ac:dyDescent="0.3">
      <c r="A694" s="5" t="str">
        <f t="shared" si="79"/>
        <v>New Balance</v>
      </c>
      <c r="B694" s="5" t="str">
        <f t="shared" si="74"/>
        <v>9060</v>
      </c>
      <c r="C694" s="3">
        <f t="shared" si="80"/>
        <v>45704</v>
      </c>
      <c r="D694" s="4">
        <f t="shared" ca="1" si="75"/>
        <v>86</v>
      </c>
      <c r="E694" s="2">
        <f t="shared" ca="1" si="76"/>
        <v>6252</v>
      </c>
      <c r="F694" s="2">
        <f t="shared" ca="1" si="77"/>
        <v>8206</v>
      </c>
      <c r="G694" s="2">
        <f t="shared" ca="1" si="78"/>
        <v>349</v>
      </c>
    </row>
    <row r="695" spans="1:7" x14ac:dyDescent="0.3">
      <c r="A695" s="5" t="str">
        <f t="shared" si="79"/>
        <v>Reebok</v>
      </c>
      <c r="B695" s="5" t="str">
        <f t="shared" si="74"/>
        <v>Zig Kinetica</v>
      </c>
      <c r="C695" s="3">
        <f t="shared" si="80"/>
        <v>45704</v>
      </c>
      <c r="D695" s="4">
        <f t="shared" ca="1" si="75"/>
        <v>233</v>
      </c>
      <c r="E695" s="2">
        <f t="shared" ca="1" si="76"/>
        <v>4247</v>
      </c>
      <c r="F695" s="2">
        <f t="shared" ca="1" si="77"/>
        <v>27689</v>
      </c>
      <c r="G695" s="2">
        <f t="shared" ca="1" si="78"/>
        <v>1709</v>
      </c>
    </row>
    <row r="696" spans="1:7" x14ac:dyDescent="0.3">
      <c r="A696" s="5" t="str">
        <f t="shared" si="79"/>
        <v>Nike</v>
      </c>
      <c r="B696" s="5" t="str">
        <f t="shared" si="74"/>
        <v>Jordan 1</v>
      </c>
      <c r="C696" s="3">
        <f t="shared" si="80"/>
        <v>45704</v>
      </c>
      <c r="D696" s="4">
        <f t="shared" ca="1" si="75"/>
        <v>87</v>
      </c>
      <c r="E696" s="2">
        <f t="shared" ca="1" si="76"/>
        <v>6320</v>
      </c>
      <c r="F696" s="2">
        <f t="shared" ca="1" si="77"/>
        <v>27255</v>
      </c>
      <c r="G696" s="2">
        <f t="shared" ca="1" si="78"/>
        <v>2003</v>
      </c>
    </row>
    <row r="697" spans="1:7" x14ac:dyDescent="0.3">
      <c r="A697" s="5" t="str">
        <f t="shared" si="79"/>
        <v>Adidas</v>
      </c>
      <c r="B697" s="5" t="str">
        <f t="shared" si="74"/>
        <v>Ultraboost 23</v>
      </c>
      <c r="C697" s="3">
        <f t="shared" si="80"/>
        <v>45704</v>
      </c>
      <c r="D697" s="4">
        <f t="shared" ca="1" si="75"/>
        <v>249</v>
      </c>
      <c r="E697" s="2">
        <f t="shared" ca="1" si="76"/>
        <v>7346</v>
      </c>
      <c r="F697" s="2">
        <f t="shared" ca="1" si="77"/>
        <v>18590</v>
      </c>
      <c r="G697" s="2">
        <f t="shared" ca="1" si="78"/>
        <v>1070</v>
      </c>
    </row>
    <row r="698" spans="1:7" x14ac:dyDescent="0.3">
      <c r="A698" s="5" t="str">
        <f t="shared" si="79"/>
        <v>Puma</v>
      </c>
      <c r="B698" s="5" t="str">
        <f t="shared" si="74"/>
        <v>RS-X</v>
      </c>
      <c r="C698" s="3">
        <f t="shared" si="80"/>
        <v>45704</v>
      </c>
      <c r="D698" s="4">
        <f t="shared" ca="1" si="75"/>
        <v>249</v>
      </c>
      <c r="E698" s="2">
        <f t="shared" ca="1" si="76"/>
        <v>10988</v>
      </c>
      <c r="F698" s="2">
        <f t="shared" ca="1" si="77"/>
        <v>33346</v>
      </c>
      <c r="G698" s="2">
        <f t="shared" ca="1" si="78"/>
        <v>1671</v>
      </c>
    </row>
    <row r="699" spans="1:7" x14ac:dyDescent="0.3">
      <c r="A699" s="5" t="str">
        <f t="shared" si="79"/>
        <v>New Balance</v>
      </c>
      <c r="B699" s="5" t="str">
        <f t="shared" si="74"/>
        <v>2002R</v>
      </c>
      <c r="C699" s="3">
        <f t="shared" si="80"/>
        <v>45704</v>
      </c>
      <c r="D699" s="4">
        <f t="shared" ca="1" si="75"/>
        <v>120</v>
      </c>
      <c r="E699" s="2">
        <f t="shared" ca="1" si="76"/>
        <v>3523</v>
      </c>
      <c r="F699" s="2">
        <f t="shared" ca="1" si="77"/>
        <v>12220</v>
      </c>
      <c r="G699" s="2">
        <f t="shared" ca="1" si="78"/>
        <v>641</v>
      </c>
    </row>
    <row r="700" spans="1:7" x14ac:dyDescent="0.3">
      <c r="A700" s="5" t="str">
        <f t="shared" si="79"/>
        <v>Reebok</v>
      </c>
      <c r="B700" s="5" t="str">
        <f t="shared" si="74"/>
        <v>Instapump Fury</v>
      </c>
      <c r="C700" s="3">
        <f t="shared" si="80"/>
        <v>45704</v>
      </c>
      <c r="D700" s="4">
        <f t="shared" ca="1" si="75"/>
        <v>168</v>
      </c>
      <c r="E700" s="2">
        <f t="shared" ca="1" si="76"/>
        <v>2812</v>
      </c>
      <c r="F700" s="2">
        <f t="shared" ca="1" si="77"/>
        <v>6876</v>
      </c>
      <c r="G700" s="2">
        <f t="shared" ca="1" si="78"/>
        <v>199</v>
      </c>
    </row>
    <row r="701" spans="1:7" x14ac:dyDescent="0.3">
      <c r="A701" s="5" t="str">
        <f t="shared" si="79"/>
        <v>Nike</v>
      </c>
      <c r="B701" s="5" t="str">
        <f t="shared" si="74"/>
        <v>Cortez</v>
      </c>
      <c r="C701" s="3">
        <f t="shared" si="80"/>
        <v>45704</v>
      </c>
      <c r="D701" s="4">
        <f t="shared" ca="1" si="75"/>
        <v>38</v>
      </c>
      <c r="E701" s="2">
        <f t="shared" ca="1" si="76"/>
        <v>11397</v>
      </c>
      <c r="F701" s="2">
        <f t="shared" ca="1" si="77"/>
        <v>9935</v>
      </c>
      <c r="G701" s="2">
        <f t="shared" ca="1" si="78"/>
        <v>274</v>
      </c>
    </row>
    <row r="702" spans="1:7" x14ac:dyDescent="0.3">
      <c r="A702" s="5" t="str">
        <f t="shared" si="79"/>
        <v>Adidas</v>
      </c>
      <c r="B702" s="5" t="str">
        <f t="shared" si="74"/>
        <v>NMD S1</v>
      </c>
      <c r="C702" s="3">
        <f t="shared" si="80"/>
        <v>45704</v>
      </c>
      <c r="D702" s="4">
        <f t="shared" ca="1" si="75"/>
        <v>184</v>
      </c>
      <c r="E702" s="2">
        <f t="shared" ca="1" si="76"/>
        <v>7178</v>
      </c>
      <c r="F702" s="2">
        <f t="shared" ca="1" si="77"/>
        <v>34290</v>
      </c>
      <c r="G702" s="2">
        <f t="shared" ca="1" si="78"/>
        <v>995</v>
      </c>
    </row>
    <row r="703" spans="1:7" x14ac:dyDescent="0.3">
      <c r="A703" s="5" t="str">
        <f t="shared" si="79"/>
        <v>Puma</v>
      </c>
      <c r="B703" s="5" t="str">
        <f t="shared" si="74"/>
        <v>Suede Classic</v>
      </c>
      <c r="C703" s="3">
        <f t="shared" si="80"/>
        <v>45704</v>
      </c>
      <c r="D703" s="4">
        <f t="shared" ca="1" si="75"/>
        <v>22</v>
      </c>
      <c r="E703" s="2">
        <f t="shared" ca="1" si="76"/>
        <v>4126</v>
      </c>
      <c r="F703" s="2">
        <f t="shared" ca="1" si="77"/>
        <v>20471</v>
      </c>
      <c r="G703" s="2">
        <f t="shared" ca="1" si="78"/>
        <v>1621</v>
      </c>
    </row>
    <row r="704" spans="1:7" x14ac:dyDescent="0.3">
      <c r="A704" s="5" t="str">
        <f t="shared" si="79"/>
        <v>New Balance</v>
      </c>
      <c r="B704" s="5" t="str">
        <f t="shared" si="74"/>
        <v>990v6</v>
      </c>
      <c r="C704" s="3">
        <f t="shared" si="80"/>
        <v>45704</v>
      </c>
      <c r="D704" s="4">
        <f t="shared" ca="1" si="75"/>
        <v>61</v>
      </c>
      <c r="E704" s="2">
        <f t="shared" ca="1" si="76"/>
        <v>4667</v>
      </c>
      <c r="F704" s="2">
        <f t="shared" ca="1" si="77"/>
        <v>21853</v>
      </c>
      <c r="G704" s="2">
        <f t="shared" ca="1" si="78"/>
        <v>954</v>
      </c>
    </row>
    <row r="705" spans="1:7" x14ac:dyDescent="0.3">
      <c r="A705" s="5" t="str">
        <f t="shared" si="79"/>
        <v>Reebok</v>
      </c>
      <c r="B705" s="5" t="str">
        <f t="shared" si="74"/>
        <v>Nano X3</v>
      </c>
      <c r="C705" s="3">
        <f t="shared" si="80"/>
        <v>45704</v>
      </c>
      <c r="D705" s="4">
        <f t="shared" ca="1" si="75"/>
        <v>144</v>
      </c>
      <c r="E705" s="2">
        <f t="shared" ca="1" si="76"/>
        <v>4425</v>
      </c>
      <c r="F705" s="2">
        <f t="shared" ca="1" si="77"/>
        <v>23654</v>
      </c>
      <c r="G705" s="2">
        <f t="shared" ca="1" si="78"/>
        <v>510</v>
      </c>
    </row>
    <row r="706" spans="1:7" x14ac:dyDescent="0.3">
      <c r="A706" s="5" t="str">
        <f t="shared" si="79"/>
        <v>Nike</v>
      </c>
      <c r="B706" s="5" t="str">
        <f t="shared" si="74"/>
        <v>Vaporfly 3</v>
      </c>
      <c r="C706" s="3">
        <f t="shared" si="80"/>
        <v>45704</v>
      </c>
      <c r="D706" s="4">
        <f t="shared" ca="1" si="75"/>
        <v>30</v>
      </c>
      <c r="E706" s="2">
        <f t="shared" ca="1" si="76"/>
        <v>7449</v>
      </c>
      <c r="F706" s="2">
        <f t="shared" ca="1" si="77"/>
        <v>22690</v>
      </c>
      <c r="G706" s="2">
        <f t="shared" ca="1" si="78"/>
        <v>959</v>
      </c>
    </row>
    <row r="707" spans="1:7" x14ac:dyDescent="0.3">
      <c r="A707" s="5" t="str">
        <f t="shared" si="79"/>
        <v>Adidas</v>
      </c>
      <c r="B707" s="5" t="str">
        <f t="shared" ref="B707:B770" si="81">IF(A707="Nike",CHOOSE(MOD(ROW(A706),6)+1,"Air Max 270","Air Force 1","Pegasus 40","Vaporfly 3","Cortez","Jordan 1"),
 IF(A707="Adidas",CHOOSE(MOD(ROW(A706),6)+1,"Ultraboost 23","Stan Smith","Superstar","Gazelle","Samba","NMD S1"),
 IF(A707="Puma",CHOOSE(MOD(ROW(A706),6)+1,"Suede Classic","RS-X","Cali Dream","Rider Vintage","Slipstream","Mayze"),
 IF(A707="New Balance",CHOOSE(MOD(ROW(A706),6)+1,"574 Core","990v6","2002R","9060","327","550"),
 IF(A707="Reebok",CHOOSE(MOD(ROW(A706),6)+1,"Classic Leather","Club C 85","Nano X3","Instapump Fury","Zig Kinetica","Question Mid"),"")))))</f>
        <v>Samba</v>
      </c>
      <c r="C707" s="3">
        <f t="shared" si="80"/>
        <v>45705</v>
      </c>
      <c r="D707" s="4">
        <f t="shared" ref="D707:D770" ca="1" si="82">RANDBETWEEN(20,250)</f>
        <v>71</v>
      </c>
      <c r="E707" s="2">
        <f t="shared" ref="E707:E770" ca="1" si="83">ROUND(RANDBETWEEN(1500,12000)+(RANDBETWEEN(-200,200)),2)</f>
        <v>10111</v>
      </c>
      <c r="F707" s="2">
        <f t="shared" ref="F707:F770" ca="1" si="84">RANDBETWEEN(5000,35000)</f>
        <v>21881</v>
      </c>
      <c r="G707" s="2">
        <f t="shared" ref="G707:G770" ca="1" si="85">RANDBETWEEN(ROUND(F707*0.02,0),ROUND(F707*0.08,0))</f>
        <v>898</v>
      </c>
    </row>
    <row r="708" spans="1:7" x14ac:dyDescent="0.3">
      <c r="A708" s="5" t="str">
        <f t="shared" si="79"/>
        <v>Puma</v>
      </c>
      <c r="B708" s="5" t="str">
        <f t="shared" si="81"/>
        <v>Mayze</v>
      </c>
      <c r="C708" s="3">
        <f t="shared" si="80"/>
        <v>45705</v>
      </c>
      <c r="D708" s="4">
        <f t="shared" ca="1" si="82"/>
        <v>52</v>
      </c>
      <c r="E708" s="2">
        <f t="shared" ca="1" si="83"/>
        <v>9021</v>
      </c>
      <c r="F708" s="2">
        <f t="shared" ca="1" si="84"/>
        <v>7307</v>
      </c>
      <c r="G708" s="2">
        <f t="shared" ca="1" si="85"/>
        <v>417</v>
      </c>
    </row>
    <row r="709" spans="1:7" x14ac:dyDescent="0.3">
      <c r="A709" s="5" t="str">
        <f t="shared" si="79"/>
        <v>New Balance</v>
      </c>
      <c r="B709" s="5" t="str">
        <f t="shared" si="81"/>
        <v>574 Core</v>
      </c>
      <c r="C709" s="3">
        <f t="shared" si="80"/>
        <v>45705</v>
      </c>
      <c r="D709" s="4">
        <f t="shared" ca="1" si="82"/>
        <v>90</v>
      </c>
      <c r="E709" s="2">
        <f t="shared" ca="1" si="83"/>
        <v>5730</v>
      </c>
      <c r="F709" s="2">
        <f t="shared" ca="1" si="84"/>
        <v>13881</v>
      </c>
      <c r="G709" s="2">
        <f t="shared" ca="1" si="85"/>
        <v>880</v>
      </c>
    </row>
    <row r="710" spans="1:7" x14ac:dyDescent="0.3">
      <c r="A710" s="5" t="str">
        <f t="shared" si="79"/>
        <v>Reebok</v>
      </c>
      <c r="B710" s="5" t="str">
        <f t="shared" si="81"/>
        <v>Club C 85</v>
      </c>
      <c r="C710" s="3">
        <f t="shared" si="80"/>
        <v>45705</v>
      </c>
      <c r="D710" s="4">
        <f t="shared" ca="1" si="82"/>
        <v>76</v>
      </c>
      <c r="E710" s="2">
        <f t="shared" ca="1" si="83"/>
        <v>3649</v>
      </c>
      <c r="F710" s="2">
        <f t="shared" ca="1" si="84"/>
        <v>16896</v>
      </c>
      <c r="G710" s="2">
        <f t="shared" ca="1" si="85"/>
        <v>493</v>
      </c>
    </row>
    <row r="711" spans="1:7" x14ac:dyDescent="0.3">
      <c r="A711" s="5" t="str">
        <f t="shared" si="79"/>
        <v>Nike</v>
      </c>
      <c r="B711" s="5" t="str">
        <f t="shared" si="81"/>
        <v>Pegasus 40</v>
      </c>
      <c r="C711" s="3">
        <f t="shared" si="80"/>
        <v>45705</v>
      </c>
      <c r="D711" s="4">
        <f t="shared" ca="1" si="82"/>
        <v>170</v>
      </c>
      <c r="E711" s="2">
        <f t="shared" ca="1" si="83"/>
        <v>7373</v>
      </c>
      <c r="F711" s="2">
        <f t="shared" ca="1" si="84"/>
        <v>10794</v>
      </c>
      <c r="G711" s="2">
        <f t="shared" ca="1" si="85"/>
        <v>726</v>
      </c>
    </row>
    <row r="712" spans="1:7" x14ac:dyDescent="0.3">
      <c r="A712" s="5" t="str">
        <f t="shared" si="79"/>
        <v>Adidas</v>
      </c>
      <c r="B712" s="5" t="str">
        <f t="shared" si="81"/>
        <v>Gazelle</v>
      </c>
      <c r="C712" s="3">
        <f t="shared" si="80"/>
        <v>45705</v>
      </c>
      <c r="D712" s="4">
        <f t="shared" ca="1" si="82"/>
        <v>176</v>
      </c>
      <c r="E712" s="2">
        <f t="shared" ca="1" si="83"/>
        <v>8502</v>
      </c>
      <c r="F712" s="2">
        <f t="shared" ca="1" si="84"/>
        <v>29966</v>
      </c>
      <c r="G712" s="2">
        <f t="shared" ca="1" si="85"/>
        <v>1810</v>
      </c>
    </row>
    <row r="713" spans="1:7" x14ac:dyDescent="0.3">
      <c r="A713" s="5" t="str">
        <f t="shared" si="79"/>
        <v>Puma</v>
      </c>
      <c r="B713" s="5" t="str">
        <f t="shared" si="81"/>
        <v>Slipstream</v>
      </c>
      <c r="C713" s="3">
        <f t="shared" si="80"/>
        <v>45705</v>
      </c>
      <c r="D713" s="4">
        <f t="shared" ca="1" si="82"/>
        <v>61</v>
      </c>
      <c r="E713" s="2">
        <f t="shared" ca="1" si="83"/>
        <v>3931</v>
      </c>
      <c r="F713" s="2">
        <f t="shared" ca="1" si="84"/>
        <v>26952</v>
      </c>
      <c r="G713" s="2">
        <f t="shared" ca="1" si="85"/>
        <v>645</v>
      </c>
    </row>
    <row r="714" spans="1:7" x14ac:dyDescent="0.3">
      <c r="A714" s="5" t="str">
        <f t="shared" si="79"/>
        <v>New Balance</v>
      </c>
      <c r="B714" s="5" t="str">
        <f t="shared" si="81"/>
        <v>550</v>
      </c>
      <c r="C714" s="3">
        <f t="shared" si="80"/>
        <v>45705</v>
      </c>
      <c r="D714" s="4">
        <f t="shared" ca="1" si="82"/>
        <v>51</v>
      </c>
      <c r="E714" s="2">
        <f t="shared" ca="1" si="83"/>
        <v>8949</v>
      </c>
      <c r="F714" s="2">
        <f t="shared" ca="1" si="84"/>
        <v>11339</v>
      </c>
      <c r="G714" s="2">
        <f t="shared" ca="1" si="85"/>
        <v>816</v>
      </c>
    </row>
    <row r="715" spans="1:7" x14ac:dyDescent="0.3">
      <c r="A715" s="5" t="str">
        <f t="shared" si="79"/>
        <v>Reebok</v>
      </c>
      <c r="B715" s="5" t="str">
        <f t="shared" si="81"/>
        <v>Classic Leather</v>
      </c>
      <c r="C715" s="3">
        <f t="shared" si="80"/>
        <v>45705</v>
      </c>
      <c r="D715" s="4">
        <f t="shared" ca="1" si="82"/>
        <v>204</v>
      </c>
      <c r="E715" s="2">
        <f t="shared" ca="1" si="83"/>
        <v>6342</v>
      </c>
      <c r="F715" s="2">
        <f t="shared" ca="1" si="84"/>
        <v>20022</v>
      </c>
      <c r="G715" s="2">
        <f t="shared" ca="1" si="85"/>
        <v>1095</v>
      </c>
    </row>
    <row r="716" spans="1:7" x14ac:dyDescent="0.3">
      <c r="A716" s="5" t="str">
        <f t="shared" si="79"/>
        <v>Nike</v>
      </c>
      <c r="B716" s="5" t="str">
        <f t="shared" si="81"/>
        <v>Air Force 1</v>
      </c>
      <c r="C716" s="3">
        <f t="shared" si="80"/>
        <v>45705</v>
      </c>
      <c r="D716" s="4">
        <f t="shared" ca="1" si="82"/>
        <v>191</v>
      </c>
      <c r="E716" s="2">
        <f t="shared" ca="1" si="83"/>
        <v>1600</v>
      </c>
      <c r="F716" s="2">
        <f t="shared" ca="1" si="84"/>
        <v>34424</v>
      </c>
      <c r="G716" s="2">
        <f t="shared" ca="1" si="85"/>
        <v>1692</v>
      </c>
    </row>
    <row r="717" spans="1:7" x14ac:dyDescent="0.3">
      <c r="A717" s="5" t="str">
        <f t="shared" si="79"/>
        <v>Adidas</v>
      </c>
      <c r="B717" s="5" t="str">
        <f t="shared" si="81"/>
        <v>Superstar</v>
      </c>
      <c r="C717" s="3">
        <f t="shared" si="80"/>
        <v>45705</v>
      </c>
      <c r="D717" s="4">
        <f t="shared" ca="1" si="82"/>
        <v>23</v>
      </c>
      <c r="E717" s="2">
        <f t="shared" ca="1" si="83"/>
        <v>5342</v>
      </c>
      <c r="F717" s="2">
        <f t="shared" ca="1" si="84"/>
        <v>31386</v>
      </c>
      <c r="G717" s="2">
        <f t="shared" ca="1" si="85"/>
        <v>2169</v>
      </c>
    </row>
    <row r="718" spans="1:7" x14ac:dyDescent="0.3">
      <c r="A718" s="5" t="str">
        <f t="shared" si="79"/>
        <v>Puma</v>
      </c>
      <c r="B718" s="5" t="str">
        <f t="shared" si="81"/>
        <v>Rider Vintage</v>
      </c>
      <c r="C718" s="3">
        <f t="shared" si="80"/>
        <v>45705</v>
      </c>
      <c r="D718" s="4">
        <f t="shared" ca="1" si="82"/>
        <v>181</v>
      </c>
      <c r="E718" s="2">
        <f t="shared" ca="1" si="83"/>
        <v>3982</v>
      </c>
      <c r="F718" s="2">
        <f t="shared" ca="1" si="84"/>
        <v>7369</v>
      </c>
      <c r="G718" s="2">
        <f t="shared" ca="1" si="85"/>
        <v>449</v>
      </c>
    </row>
    <row r="719" spans="1:7" x14ac:dyDescent="0.3">
      <c r="A719" s="5" t="str">
        <f t="shared" si="79"/>
        <v>New Balance</v>
      </c>
      <c r="B719" s="5" t="str">
        <f t="shared" si="81"/>
        <v>327</v>
      </c>
      <c r="C719" s="3">
        <f t="shared" si="80"/>
        <v>45705</v>
      </c>
      <c r="D719" s="4">
        <f t="shared" ca="1" si="82"/>
        <v>67</v>
      </c>
      <c r="E719" s="2">
        <f t="shared" ca="1" si="83"/>
        <v>8872</v>
      </c>
      <c r="F719" s="2">
        <f t="shared" ca="1" si="84"/>
        <v>29394</v>
      </c>
      <c r="G719" s="2">
        <f t="shared" ca="1" si="85"/>
        <v>1148</v>
      </c>
    </row>
    <row r="720" spans="1:7" x14ac:dyDescent="0.3">
      <c r="A720" s="5" t="str">
        <f t="shared" si="79"/>
        <v>Reebok</v>
      </c>
      <c r="B720" s="5" t="str">
        <f t="shared" si="81"/>
        <v>Question Mid</v>
      </c>
      <c r="C720" s="3">
        <f t="shared" si="80"/>
        <v>45705</v>
      </c>
      <c r="D720" s="4">
        <f t="shared" ca="1" si="82"/>
        <v>175</v>
      </c>
      <c r="E720" s="2">
        <f t="shared" ca="1" si="83"/>
        <v>10137</v>
      </c>
      <c r="F720" s="2">
        <f t="shared" ca="1" si="84"/>
        <v>30433</v>
      </c>
      <c r="G720" s="2">
        <f t="shared" ca="1" si="85"/>
        <v>1886</v>
      </c>
    </row>
    <row r="721" spans="1:7" x14ac:dyDescent="0.3">
      <c r="A721" s="5" t="str">
        <f t="shared" si="79"/>
        <v>Nike</v>
      </c>
      <c r="B721" s="5" t="str">
        <f t="shared" si="81"/>
        <v>Air Max 270</v>
      </c>
      <c r="C721" s="3">
        <f t="shared" si="80"/>
        <v>45705</v>
      </c>
      <c r="D721" s="4">
        <f t="shared" ca="1" si="82"/>
        <v>163</v>
      </c>
      <c r="E721" s="2">
        <f t="shared" ca="1" si="83"/>
        <v>9605</v>
      </c>
      <c r="F721" s="2">
        <f t="shared" ca="1" si="84"/>
        <v>19346</v>
      </c>
      <c r="G721" s="2">
        <f t="shared" ca="1" si="85"/>
        <v>714</v>
      </c>
    </row>
    <row r="722" spans="1:7" x14ac:dyDescent="0.3">
      <c r="A722" s="5" t="str">
        <f t="shared" si="79"/>
        <v>Adidas</v>
      </c>
      <c r="B722" s="5" t="str">
        <f t="shared" si="81"/>
        <v>Stan Smith</v>
      </c>
      <c r="C722" s="3">
        <f t="shared" si="80"/>
        <v>45706</v>
      </c>
      <c r="D722" s="4">
        <f t="shared" ca="1" si="82"/>
        <v>150</v>
      </c>
      <c r="E722" s="2">
        <f t="shared" ca="1" si="83"/>
        <v>3023</v>
      </c>
      <c r="F722" s="2">
        <f t="shared" ca="1" si="84"/>
        <v>5179</v>
      </c>
      <c r="G722" s="2">
        <f t="shared" ca="1" si="85"/>
        <v>344</v>
      </c>
    </row>
    <row r="723" spans="1:7" x14ac:dyDescent="0.3">
      <c r="A723" s="5" t="str">
        <f t="shared" si="79"/>
        <v>Puma</v>
      </c>
      <c r="B723" s="5" t="str">
        <f t="shared" si="81"/>
        <v>Cali Dream</v>
      </c>
      <c r="C723" s="3">
        <f t="shared" si="80"/>
        <v>45706</v>
      </c>
      <c r="D723" s="4">
        <f t="shared" ca="1" si="82"/>
        <v>177</v>
      </c>
      <c r="E723" s="2">
        <f t="shared" ca="1" si="83"/>
        <v>1559</v>
      </c>
      <c r="F723" s="2">
        <f t="shared" ca="1" si="84"/>
        <v>26847</v>
      </c>
      <c r="G723" s="2">
        <f t="shared" ca="1" si="85"/>
        <v>1711</v>
      </c>
    </row>
    <row r="724" spans="1:7" x14ac:dyDescent="0.3">
      <c r="A724" s="5" t="str">
        <f t="shared" si="79"/>
        <v>New Balance</v>
      </c>
      <c r="B724" s="5" t="str">
        <f t="shared" si="81"/>
        <v>9060</v>
      </c>
      <c r="C724" s="3">
        <f t="shared" si="80"/>
        <v>45706</v>
      </c>
      <c r="D724" s="4">
        <f t="shared" ca="1" si="82"/>
        <v>68</v>
      </c>
      <c r="E724" s="2">
        <f t="shared" ca="1" si="83"/>
        <v>2528</v>
      </c>
      <c r="F724" s="2">
        <f t="shared" ca="1" si="84"/>
        <v>16177</v>
      </c>
      <c r="G724" s="2">
        <f t="shared" ca="1" si="85"/>
        <v>1096</v>
      </c>
    </row>
    <row r="725" spans="1:7" x14ac:dyDescent="0.3">
      <c r="A725" s="5" t="str">
        <f t="shared" si="79"/>
        <v>Reebok</v>
      </c>
      <c r="B725" s="5" t="str">
        <f t="shared" si="81"/>
        <v>Zig Kinetica</v>
      </c>
      <c r="C725" s="3">
        <f t="shared" si="80"/>
        <v>45706</v>
      </c>
      <c r="D725" s="4">
        <f t="shared" ca="1" si="82"/>
        <v>230</v>
      </c>
      <c r="E725" s="2">
        <f t="shared" ca="1" si="83"/>
        <v>2847</v>
      </c>
      <c r="F725" s="2">
        <f t="shared" ca="1" si="84"/>
        <v>11974</v>
      </c>
      <c r="G725" s="2">
        <f t="shared" ca="1" si="85"/>
        <v>521</v>
      </c>
    </row>
    <row r="726" spans="1:7" x14ac:dyDescent="0.3">
      <c r="A726" s="5" t="str">
        <f t="shared" si="79"/>
        <v>Nike</v>
      </c>
      <c r="B726" s="5" t="str">
        <f t="shared" si="81"/>
        <v>Jordan 1</v>
      </c>
      <c r="C726" s="3">
        <f t="shared" si="80"/>
        <v>45706</v>
      </c>
      <c r="D726" s="4">
        <f t="shared" ca="1" si="82"/>
        <v>152</v>
      </c>
      <c r="E726" s="2">
        <f t="shared" ca="1" si="83"/>
        <v>4971</v>
      </c>
      <c r="F726" s="2">
        <f t="shared" ca="1" si="84"/>
        <v>24140</v>
      </c>
      <c r="G726" s="2">
        <f t="shared" ca="1" si="85"/>
        <v>830</v>
      </c>
    </row>
    <row r="727" spans="1:7" x14ac:dyDescent="0.3">
      <c r="A727" s="5" t="str">
        <f t="shared" si="79"/>
        <v>Adidas</v>
      </c>
      <c r="B727" s="5" t="str">
        <f t="shared" si="81"/>
        <v>Ultraboost 23</v>
      </c>
      <c r="C727" s="3">
        <f t="shared" si="80"/>
        <v>45706</v>
      </c>
      <c r="D727" s="4">
        <f t="shared" ca="1" si="82"/>
        <v>56</v>
      </c>
      <c r="E727" s="2">
        <f t="shared" ca="1" si="83"/>
        <v>9798</v>
      </c>
      <c r="F727" s="2">
        <f t="shared" ca="1" si="84"/>
        <v>27782</v>
      </c>
      <c r="G727" s="2">
        <f t="shared" ca="1" si="85"/>
        <v>2029</v>
      </c>
    </row>
    <row r="728" spans="1:7" x14ac:dyDescent="0.3">
      <c r="A728" s="5" t="str">
        <f t="shared" si="79"/>
        <v>Puma</v>
      </c>
      <c r="B728" s="5" t="str">
        <f t="shared" si="81"/>
        <v>RS-X</v>
      </c>
      <c r="C728" s="3">
        <f t="shared" si="80"/>
        <v>45706</v>
      </c>
      <c r="D728" s="4">
        <f t="shared" ca="1" si="82"/>
        <v>176</v>
      </c>
      <c r="E728" s="2">
        <f t="shared" ca="1" si="83"/>
        <v>5217</v>
      </c>
      <c r="F728" s="2">
        <f t="shared" ca="1" si="84"/>
        <v>14804</v>
      </c>
      <c r="G728" s="2">
        <f t="shared" ca="1" si="85"/>
        <v>1104</v>
      </c>
    </row>
    <row r="729" spans="1:7" x14ac:dyDescent="0.3">
      <c r="A729" s="5" t="str">
        <f t="shared" si="79"/>
        <v>New Balance</v>
      </c>
      <c r="B729" s="5" t="str">
        <f t="shared" si="81"/>
        <v>2002R</v>
      </c>
      <c r="C729" s="3">
        <f t="shared" si="80"/>
        <v>45706</v>
      </c>
      <c r="D729" s="4">
        <f t="shared" ca="1" si="82"/>
        <v>46</v>
      </c>
      <c r="E729" s="2">
        <f t="shared" ca="1" si="83"/>
        <v>5283</v>
      </c>
      <c r="F729" s="2">
        <f t="shared" ca="1" si="84"/>
        <v>20771</v>
      </c>
      <c r="G729" s="2">
        <f t="shared" ca="1" si="85"/>
        <v>933</v>
      </c>
    </row>
    <row r="730" spans="1:7" x14ac:dyDescent="0.3">
      <c r="A730" s="5" t="str">
        <f t="shared" si="79"/>
        <v>Reebok</v>
      </c>
      <c r="B730" s="5" t="str">
        <f t="shared" si="81"/>
        <v>Instapump Fury</v>
      </c>
      <c r="C730" s="3">
        <f t="shared" si="80"/>
        <v>45706</v>
      </c>
      <c r="D730" s="4">
        <f t="shared" ca="1" si="82"/>
        <v>215</v>
      </c>
      <c r="E730" s="2">
        <f t="shared" ca="1" si="83"/>
        <v>4674</v>
      </c>
      <c r="F730" s="2">
        <f t="shared" ca="1" si="84"/>
        <v>30220</v>
      </c>
      <c r="G730" s="2">
        <f t="shared" ca="1" si="85"/>
        <v>1520</v>
      </c>
    </row>
    <row r="731" spans="1:7" x14ac:dyDescent="0.3">
      <c r="A731" s="5" t="str">
        <f t="shared" si="79"/>
        <v>Nike</v>
      </c>
      <c r="B731" s="5" t="str">
        <f t="shared" si="81"/>
        <v>Cortez</v>
      </c>
      <c r="C731" s="3">
        <f t="shared" si="80"/>
        <v>45706</v>
      </c>
      <c r="D731" s="4">
        <f t="shared" ca="1" si="82"/>
        <v>203</v>
      </c>
      <c r="E731" s="2">
        <f t="shared" ca="1" si="83"/>
        <v>4517</v>
      </c>
      <c r="F731" s="2">
        <f t="shared" ca="1" si="84"/>
        <v>15681</v>
      </c>
      <c r="G731" s="2">
        <f t="shared" ca="1" si="85"/>
        <v>486</v>
      </c>
    </row>
    <row r="732" spans="1:7" x14ac:dyDescent="0.3">
      <c r="A732" s="5" t="str">
        <f t="shared" si="79"/>
        <v>Adidas</v>
      </c>
      <c r="B732" s="5" t="str">
        <f t="shared" si="81"/>
        <v>NMD S1</v>
      </c>
      <c r="C732" s="3">
        <f t="shared" si="80"/>
        <v>45706</v>
      </c>
      <c r="D732" s="4">
        <f t="shared" ca="1" si="82"/>
        <v>62</v>
      </c>
      <c r="E732" s="2">
        <f t="shared" ca="1" si="83"/>
        <v>2677</v>
      </c>
      <c r="F732" s="2">
        <f t="shared" ca="1" si="84"/>
        <v>16626</v>
      </c>
      <c r="G732" s="2">
        <f t="shared" ca="1" si="85"/>
        <v>1023</v>
      </c>
    </row>
    <row r="733" spans="1:7" x14ac:dyDescent="0.3">
      <c r="A733" s="5" t="str">
        <f t="shared" si="79"/>
        <v>Puma</v>
      </c>
      <c r="B733" s="5" t="str">
        <f t="shared" si="81"/>
        <v>Suede Classic</v>
      </c>
      <c r="C733" s="3">
        <f t="shared" si="80"/>
        <v>45706</v>
      </c>
      <c r="D733" s="4">
        <f t="shared" ca="1" si="82"/>
        <v>191</v>
      </c>
      <c r="E733" s="2">
        <f t="shared" ca="1" si="83"/>
        <v>7123</v>
      </c>
      <c r="F733" s="2">
        <f t="shared" ca="1" si="84"/>
        <v>27910</v>
      </c>
      <c r="G733" s="2">
        <f t="shared" ca="1" si="85"/>
        <v>672</v>
      </c>
    </row>
    <row r="734" spans="1:7" x14ac:dyDescent="0.3">
      <c r="A734" s="5" t="str">
        <f t="shared" si="79"/>
        <v>New Balance</v>
      </c>
      <c r="B734" s="5" t="str">
        <f t="shared" si="81"/>
        <v>990v6</v>
      </c>
      <c r="C734" s="3">
        <f t="shared" si="80"/>
        <v>45706</v>
      </c>
      <c r="D734" s="4">
        <f t="shared" ca="1" si="82"/>
        <v>57</v>
      </c>
      <c r="E734" s="2">
        <f t="shared" ca="1" si="83"/>
        <v>6682</v>
      </c>
      <c r="F734" s="2">
        <f t="shared" ca="1" si="84"/>
        <v>14008</v>
      </c>
      <c r="G734" s="2">
        <f t="shared" ca="1" si="85"/>
        <v>330</v>
      </c>
    </row>
    <row r="735" spans="1:7" x14ac:dyDescent="0.3">
      <c r="A735" s="5" t="str">
        <f t="shared" si="79"/>
        <v>Reebok</v>
      </c>
      <c r="B735" s="5" t="str">
        <f t="shared" si="81"/>
        <v>Nano X3</v>
      </c>
      <c r="C735" s="3">
        <f t="shared" si="80"/>
        <v>45706</v>
      </c>
      <c r="D735" s="4">
        <f t="shared" ca="1" si="82"/>
        <v>42</v>
      </c>
      <c r="E735" s="2">
        <f t="shared" ca="1" si="83"/>
        <v>11764</v>
      </c>
      <c r="F735" s="2">
        <f t="shared" ca="1" si="84"/>
        <v>34136</v>
      </c>
      <c r="G735" s="2">
        <f t="shared" ca="1" si="85"/>
        <v>1058</v>
      </c>
    </row>
    <row r="736" spans="1:7" x14ac:dyDescent="0.3">
      <c r="A736" s="5" t="str">
        <f t="shared" si="79"/>
        <v>Nike</v>
      </c>
      <c r="B736" s="5" t="str">
        <f t="shared" si="81"/>
        <v>Vaporfly 3</v>
      </c>
      <c r="C736" s="3">
        <f t="shared" si="80"/>
        <v>45706</v>
      </c>
      <c r="D736" s="4">
        <f t="shared" ca="1" si="82"/>
        <v>183</v>
      </c>
      <c r="E736" s="2">
        <f t="shared" ca="1" si="83"/>
        <v>1535</v>
      </c>
      <c r="F736" s="2">
        <f t="shared" ca="1" si="84"/>
        <v>7394</v>
      </c>
      <c r="G736" s="2">
        <f t="shared" ca="1" si="85"/>
        <v>454</v>
      </c>
    </row>
    <row r="737" spans="1:7" x14ac:dyDescent="0.3">
      <c r="A737" s="5" t="str">
        <f t="shared" si="79"/>
        <v>Adidas</v>
      </c>
      <c r="B737" s="5" t="str">
        <f t="shared" si="81"/>
        <v>Samba</v>
      </c>
      <c r="C737" s="3">
        <f t="shared" si="80"/>
        <v>45707</v>
      </c>
      <c r="D737" s="4">
        <f t="shared" ca="1" si="82"/>
        <v>235</v>
      </c>
      <c r="E737" s="2">
        <f t="shared" ca="1" si="83"/>
        <v>2055</v>
      </c>
      <c r="F737" s="2">
        <f t="shared" ca="1" si="84"/>
        <v>6967</v>
      </c>
      <c r="G737" s="2">
        <f t="shared" ca="1" si="85"/>
        <v>449</v>
      </c>
    </row>
    <row r="738" spans="1:7" x14ac:dyDescent="0.3">
      <c r="A738" s="5" t="str">
        <f t="shared" si="79"/>
        <v>Puma</v>
      </c>
      <c r="B738" s="5" t="str">
        <f t="shared" si="81"/>
        <v>Mayze</v>
      </c>
      <c r="C738" s="3">
        <f t="shared" si="80"/>
        <v>45707</v>
      </c>
      <c r="D738" s="4">
        <f t="shared" ca="1" si="82"/>
        <v>142</v>
      </c>
      <c r="E738" s="2">
        <f t="shared" ca="1" si="83"/>
        <v>5683</v>
      </c>
      <c r="F738" s="2">
        <f t="shared" ca="1" si="84"/>
        <v>17195</v>
      </c>
      <c r="G738" s="2">
        <f t="shared" ca="1" si="85"/>
        <v>405</v>
      </c>
    </row>
    <row r="739" spans="1:7" x14ac:dyDescent="0.3">
      <c r="A739" s="5" t="str">
        <f t="shared" si="79"/>
        <v>New Balance</v>
      </c>
      <c r="B739" s="5" t="str">
        <f t="shared" si="81"/>
        <v>574 Core</v>
      </c>
      <c r="C739" s="3">
        <f t="shared" si="80"/>
        <v>45707</v>
      </c>
      <c r="D739" s="4">
        <f t="shared" ca="1" si="82"/>
        <v>31</v>
      </c>
      <c r="E739" s="2">
        <f t="shared" ca="1" si="83"/>
        <v>6934</v>
      </c>
      <c r="F739" s="2">
        <f t="shared" ca="1" si="84"/>
        <v>22309</v>
      </c>
      <c r="G739" s="2">
        <f t="shared" ca="1" si="85"/>
        <v>1095</v>
      </c>
    </row>
    <row r="740" spans="1:7" x14ac:dyDescent="0.3">
      <c r="A740" s="5" t="str">
        <f t="shared" si="79"/>
        <v>Reebok</v>
      </c>
      <c r="B740" s="5" t="str">
        <f t="shared" si="81"/>
        <v>Club C 85</v>
      </c>
      <c r="C740" s="3">
        <f t="shared" si="80"/>
        <v>45707</v>
      </c>
      <c r="D740" s="4">
        <f t="shared" ca="1" si="82"/>
        <v>69</v>
      </c>
      <c r="E740" s="2">
        <f t="shared" ca="1" si="83"/>
        <v>4407</v>
      </c>
      <c r="F740" s="2">
        <f t="shared" ca="1" si="84"/>
        <v>29176</v>
      </c>
      <c r="G740" s="2">
        <f t="shared" ca="1" si="85"/>
        <v>1134</v>
      </c>
    </row>
    <row r="741" spans="1:7" x14ac:dyDescent="0.3">
      <c r="A741" s="5" t="str">
        <f t="shared" si="79"/>
        <v>Nike</v>
      </c>
      <c r="B741" s="5" t="str">
        <f t="shared" si="81"/>
        <v>Pegasus 40</v>
      </c>
      <c r="C741" s="3">
        <f t="shared" si="80"/>
        <v>45707</v>
      </c>
      <c r="D741" s="4">
        <f t="shared" ca="1" si="82"/>
        <v>140</v>
      </c>
      <c r="E741" s="2">
        <f t="shared" ca="1" si="83"/>
        <v>10358</v>
      </c>
      <c r="F741" s="2">
        <f t="shared" ca="1" si="84"/>
        <v>12375</v>
      </c>
      <c r="G741" s="2">
        <f t="shared" ca="1" si="85"/>
        <v>913</v>
      </c>
    </row>
    <row r="742" spans="1:7" x14ac:dyDescent="0.3">
      <c r="A742" s="5" t="str">
        <f t="shared" si="79"/>
        <v>Adidas</v>
      </c>
      <c r="B742" s="5" t="str">
        <f t="shared" si="81"/>
        <v>Gazelle</v>
      </c>
      <c r="C742" s="3">
        <f t="shared" si="80"/>
        <v>45707</v>
      </c>
      <c r="D742" s="4">
        <f t="shared" ca="1" si="82"/>
        <v>145</v>
      </c>
      <c r="E742" s="2">
        <f t="shared" ca="1" si="83"/>
        <v>1490</v>
      </c>
      <c r="F742" s="2">
        <f t="shared" ca="1" si="84"/>
        <v>20697</v>
      </c>
      <c r="G742" s="2">
        <f t="shared" ca="1" si="85"/>
        <v>986</v>
      </c>
    </row>
    <row r="743" spans="1:7" x14ac:dyDescent="0.3">
      <c r="A743" s="5" t="str">
        <f t="shared" si="79"/>
        <v>Puma</v>
      </c>
      <c r="B743" s="5" t="str">
        <f t="shared" si="81"/>
        <v>Slipstream</v>
      </c>
      <c r="C743" s="3">
        <f t="shared" si="80"/>
        <v>45707</v>
      </c>
      <c r="D743" s="4">
        <f t="shared" ca="1" si="82"/>
        <v>28</v>
      </c>
      <c r="E743" s="2">
        <f t="shared" ca="1" si="83"/>
        <v>4298</v>
      </c>
      <c r="F743" s="2">
        <f t="shared" ca="1" si="84"/>
        <v>10009</v>
      </c>
      <c r="G743" s="2">
        <f t="shared" ca="1" si="85"/>
        <v>415</v>
      </c>
    </row>
    <row r="744" spans="1:7" x14ac:dyDescent="0.3">
      <c r="A744" s="5" t="str">
        <f t="shared" si="79"/>
        <v>New Balance</v>
      </c>
      <c r="B744" s="5" t="str">
        <f t="shared" si="81"/>
        <v>550</v>
      </c>
      <c r="C744" s="3">
        <f t="shared" si="80"/>
        <v>45707</v>
      </c>
      <c r="D744" s="4">
        <f t="shared" ca="1" si="82"/>
        <v>81</v>
      </c>
      <c r="E744" s="2">
        <f t="shared" ca="1" si="83"/>
        <v>2010</v>
      </c>
      <c r="F744" s="2">
        <f t="shared" ca="1" si="84"/>
        <v>25440</v>
      </c>
      <c r="G744" s="2">
        <f t="shared" ca="1" si="85"/>
        <v>1242</v>
      </c>
    </row>
    <row r="745" spans="1:7" x14ac:dyDescent="0.3">
      <c r="A745" s="5" t="str">
        <f t="shared" si="79"/>
        <v>Reebok</v>
      </c>
      <c r="B745" s="5" t="str">
        <f t="shared" si="81"/>
        <v>Classic Leather</v>
      </c>
      <c r="C745" s="3">
        <f t="shared" si="80"/>
        <v>45707</v>
      </c>
      <c r="D745" s="4">
        <f t="shared" ca="1" si="82"/>
        <v>84</v>
      </c>
      <c r="E745" s="2">
        <f t="shared" ca="1" si="83"/>
        <v>3644</v>
      </c>
      <c r="F745" s="2">
        <f t="shared" ca="1" si="84"/>
        <v>25211</v>
      </c>
      <c r="G745" s="2">
        <f t="shared" ca="1" si="85"/>
        <v>1981</v>
      </c>
    </row>
    <row r="746" spans="1:7" x14ac:dyDescent="0.3">
      <c r="A746" s="5" t="str">
        <f t="shared" si="79"/>
        <v>Nike</v>
      </c>
      <c r="B746" s="5" t="str">
        <f t="shared" si="81"/>
        <v>Air Force 1</v>
      </c>
      <c r="C746" s="3">
        <f t="shared" si="80"/>
        <v>45707</v>
      </c>
      <c r="D746" s="4">
        <f t="shared" ca="1" si="82"/>
        <v>27</v>
      </c>
      <c r="E746" s="2">
        <f t="shared" ca="1" si="83"/>
        <v>5870</v>
      </c>
      <c r="F746" s="2">
        <f t="shared" ca="1" si="84"/>
        <v>5448</v>
      </c>
      <c r="G746" s="2">
        <f t="shared" ca="1" si="85"/>
        <v>236</v>
      </c>
    </row>
    <row r="747" spans="1:7" x14ac:dyDescent="0.3">
      <c r="A747" s="5" t="str">
        <f t="shared" ref="A747:A810" si="86">CHOOSE(MOD(ROW(A746),5)+1,"Nike","Adidas","Puma","New Balance","Reebok")</f>
        <v>Adidas</v>
      </c>
      <c r="B747" s="5" t="str">
        <f t="shared" si="81"/>
        <v>Superstar</v>
      </c>
      <c r="C747" s="3">
        <f t="shared" ref="C747:C810" si="87">DATE(2025,1,1)+INT((ROW(A747)-2)/15)</f>
        <v>45707</v>
      </c>
      <c r="D747" s="4">
        <f t="shared" ca="1" si="82"/>
        <v>185</v>
      </c>
      <c r="E747" s="2">
        <f t="shared" ca="1" si="83"/>
        <v>9494</v>
      </c>
      <c r="F747" s="2">
        <f t="shared" ca="1" si="84"/>
        <v>31715</v>
      </c>
      <c r="G747" s="2">
        <f t="shared" ca="1" si="85"/>
        <v>948</v>
      </c>
    </row>
    <row r="748" spans="1:7" x14ac:dyDescent="0.3">
      <c r="A748" s="5" t="str">
        <f t="shared" si="86"/>
        <v>Puma</v>
      </c>
      <c r="B748" s="5" t="str">
        <f t="shared" si="81"/>
        <v>Rider Vintage</v>
      </c>
      <c r="C748" s="3">
        <f t="shared" si="87"/>
        <v>45707</v>
      </c>
      <c r="D748" s="4">
        <f t="shared" ca="1" si="82"/>
        <v>39</v>
      </c>
      <c r="E748" s="2">
        <f t="shared" ca="1" si="83"/>
        <v>6262</v>
      </c>
      <c r="F748" s="2">
        <f t="shared" ca="1" si="84"/>
        <v>21509</v>
      </c>
      <c r="G748" s="2">
        <f t="shared" ca="1" si="85"/>
        <v>491</v>
      </c>
    </row>
    <row r="749" spans="1:7" x14ac:dyDescent="0.3">
      <c r="A749" s="5" t="str">
        <f t="shared" si="86"/>
        <v>New Balance</v>
      </c>
      <c r="B749" s="5" t="str">
        <f t="shared" si="81"/>
        <v>327</v>
      </c>
      <c r="C749" s="3">
        <f t="shared" si="87"/>
        <v>45707</v>
      </c>
      <c r="D749" s="4">
        <f t="shared" ca="1" si="82"/>
        <v>53</v>
      </c>
      <c r="E749" s="2">
        <f t="shared" ca="1" si="83"/>
        <v>9102</v>
      </c>
      <c r="F749" s="2">
        <f t="shared" ca="1" si="84"/>
        <v>22241</v>
      </c>
      <c r="G749" s="2">
        <f t="shared" ca="1" si="85"/>
        <v>1293</v>
      </c>
    </row>
    <row r="750" spans="1:7" x14ac:dyDescent="0.3">
      <c r="A750" s="5" t="str">
        <f t="shared" si="86"/>
        <v>Reebok</v>
      </c>
      <c r="B750" s="5" t="str">
        <f t="shared" si="81"/>
        <v>Question Mid</v>
      </c>
      <c r="C750" s="3">
        <f t="shared" si="87"/>
        <v>45707</v>
      </c>
      <c r="D750" s="4">
        <f t="shared" ca="1" si="82"/>
        <v>196</v>
      </c>
      <c r="E750" s="2">
        <f t="shared" ca="1" si="83"/>
        <v>6069</v>
      </c>
      <c r="F750" s="2">
        <f t="shared" ca="1" si="84"/>
        <v>27093</v>
      </c>
      <c r="G750" s="2">
        <f t="shared" ca="1" si="85"/>
        <v>1394</v>
      </c>
    </row>
    <row r="751" spans="1:7" x14ac:dyDescent="0.3">
      <c r="A751" s="5" t="str">
        <f t="shared" si="86"/>
        <v>Nike</v>
      </c>
      <c r="B751" s="5" t="str">
        <f t="shared" si="81"/>
        <v>Air Max 270</v>
      </c>
      <c r="C751" s="3">
        <f t="shared" si="87"/>
        <v>45707</v>
      </c>
      <c r="D751" s="4">
        <f t="shared" ca="1" si="82"/>
        <v>80</v>
      </c>
      <c r="E751" s="2">
        <f t="shared" ca="1" si="83"/>
        <v>7857</v>
      </c>
      <c r="F751" s="2">
        <f t="shared" ca="1" si="84"/>
        <v>15723</v>
      </c>
      <c r="G751" s="2">
        <f t="shared" ca="1" si="85"/>
        <v>400</v>
      </c>
    </row>
    <row r="752" spans="1:7" x14ac:dyDescent="0.3">
      <c r="A752" s="5" t="str">
        <f t="shared" si="86"/>
        <v>Adidas</v>
      </c>
      <c r="B752" s="5" t="str">
        <f t="shared" si="81"/>
        <v>Stan Smith</v>
      </c>
      <c r="C752" s="3">
        <f t="shared" si="87"/>
        <v>45708</v>
      </c>
      <c r="D752" s="4">
        <f t="shared" ca="1" si="82"/>
        <v>68</v>
      </c>
      <c r="E752" s="2">
        <f t="shared" ca="1" si="83"/>
        <v>5995</v>
      </c>
      <c r="F752" s="2">
        <f t="shared" ca="1" si="84"/>
        <v>20777</v>
      </c>
      <c r="G752" s="2">
        <f t="shared" ca="1" si="85"/>
        <v>1068</v>
      </c>
    </row>
    <row r="753" spans="1:7" x14ac:dyDescent="0.3">
      <c r="A753" s="5" t="str">
        <f t="shared" si="86"/>
        <v>Puma</v>
      </c>
      <c r="B753" s="5" t="str">
        <f t="shared" si="81"/>
        <v>Cali Dream</v>
      </c>
      <c r="C753" s="3">
        <f t="shared" si="87"/>
        <v>45708</v>
      </c>
      <c r="D753" s="4">
        <f t="shared" ca="1" si="82"/>
        <v>181</v>
      </c>
      <c r="E753" s="2">
        <f t="shared" ca="1" si="83"/>
        <v>10590</v>
      </c>
      <c r="F753" s="2">
        <f t="shared" ca="1" si="84"/>
        <v>19805</v>
      </c>
      <c r="G753" s="2">
        <f t="shared" ca="1" si="85"/>
        <v>793</v>
      </c>
    </row>
    <row r="754" spans="1:7" x14ac:dyDescent="0.3">
      <c r="A754" s="5" t="str">
        <f t="shared" si="86"/>
        <v>New Balance</v>
      </c>
      <c r="B754" s="5" t="str">
        <f t="shared" si="81"/>
        <v>9060</v>
      </c>
      <c r="C754" s="3">
        <f t="shared" si="87"/>
        <v>45708</v>
      </c>
      <c r="D754" s="4">
        <f t="shared" ca="1" si="82"/>
        <v>90</v>
      </c>
      <c r="E754" s="2">
        <f t="shared" ca="1" si="83"/>
        <v>4272</v>
      </c>
      <c r="F754" s="2">
        <f t="shared" ca="1" si="84"/>
        <v>13515</v>
      </c>
      <c r="G754" s="2">
        <f t="shared" ca="1" si="85"/>
        <v>717</v>
      </c>
    </row>
    <row r="755" spans="1:7" x14ac:dyDescent="0.3">
      <c r="A755" s="5" t="str">
        <f t="shared" si="86"/>
        <v>Reebok</v>
      </c>
      <c r="B755" s="5" t="str">
        <f t="shared" si="81"/>
        <v>Zig Kinetica</v>
      </c>
      <c r="C755" s="3">
        <f t="shared" si="87"/>
        <v>45708</v>
      </c>
      <c r="D755" s="4">
        <f t="shared" ca="1" si="82"/>
        <v>162</v>
      </c>
      <c r="E755" s="2">
        <f t="shared" ca="1" si="83"/>
        <v>3848</v>
      </c>
      <c r="F755" s="2">
        <f t="shared" ca="1" si="84"/>
        <v>20419</v>
      </c>
      <c r="G755" s="2">
        <f t="shared" ca="1" si="85"/>
        <v>1354</v>
      </c>
    </row>
    <row r="756" spans="1:7" x14ac:dyDescent="0.3">
      <c r="A756" s="5" t="str">
        <f t="shared" si="86"/>
        <v>Nike</v>
      </c>
      <c r="B756" s="5" t="str">
        <f t="shared" si="81"/>
        <v>Jordan 1</v>
      </c>
      <c r="C756" s="3">
        <f t="shared" si="87"/>
        <v>45708</v>
      </c>
      <c r="D756" s="4">
        <f t="shared" ca="1" si="82"/>
        <v>38</v>
      </c>
      <c r="E756" s="2">
        <f t="shared" ca="1" si="83"/>
        <v>7401</v>
      </c>
      <c r="F756" s="2">
        <f t="shared" ca="1" si="84"/>
        <v>9858</v>
      </c>
      <c r="G756" s="2">
        <f t="shared" ca="1" si="85"/>
        <v>335</v>
      </c>
    </row>
    <row r="757" spans="1:7" x14ac:dyDescent="0.3">
      <c r="A757" s="5" t="str">
        <f t="shared" si="86"/>
        <v>Adidas</v>
      </c>
      <c r="B757" s="5" t="str">
        <f t="shared" si="81"/>
        <v>Ultraboost 23</v>
      </c>
      <c r="C757" s="3">
        <f t="shared" si="87"/>
        <v>45708</v>
      </c>
      <c r="D757" s="4">
        <f t="shared" ca="1" si="82"/>
        <v>93</v>
      </c>
      <c r="E757" s="2">
        <f t="shared" ca="1" si="83"/>
        <v>11831</v>
      </c>
      <c r="F757" s="2">
        <f t="shared" ca="1" si="84"/>
        <v>24699</v>
      </c>
      <c r="G757" s="2">
        <f t="shared" ca="1" si="85"/>
        <v>617</v>
      </c>
    </row>
    <row r="758" spans="1:7" x14ac:dyDescent="0.3">
      <c r="A758" s="5" t="str">
        <f t="shared" si="86"/>
        <v>Puma</v>
      </c>
      <c r="B758" s="5" t="str">
        <f t="shared" si="81"/>
        <v>RS-X</v>
      </c>
      <c r="C758" s="3">
        <f t="shared" si="87"/>
        <v>45708</v>
      </c>
      <c r="D758" s="4">
        <f t="shared" ca="1" si="82"/>
        <v>247</v>
      </c>
      <c r="E758" s="2">
        <f t="shared" ca="1" si="83"/>
        <v>11389</v>
      </c>
      <c r="F758" s="2">
        <f t="shared" ca="1" si="84"/>
        <v>18068</v>
      </c>
      <c r="G758" s="2">
        <f t="shared" ca="1" si="85"/>
        <v>1186</v>
      </c>
    </row>
    <row r="759" spans="1:7" x14ac:dyDescent="0.3">
      <c r="A759" s="5" t="str">
        <f t="shared" si="86"/>
        <v>New Balance</v>
      </c>
      <c r="B759" s="5" t="str">
        <f t="shared" si="81"/>
        <v>2002R</v>
      </c>
      <c r="C759" s="3">
        <f t="shared" si="87"/>
        <v>45708</v>
      </c>
      <c r="D759" s="4">
        <f t="shared" ca="1" si="82"/>
        <v>222</v>
      </c>
      <c r="E759" s="2">
        <f t="shared" ca="1" si="83"/>
        <v>11572</v>
      </c>
      <c r="F759" s="2">
        <f t="shared" ca="1" si="84"/>
        <v>13803</v>
      </c>
      <c r="G759" s="2">
        <f t="shared" ca="1" si="85"/>
        <v>497</v>
      </c>
    </row>
    <row r="760" spans="1:7" x14ac:dyDescent="0.3">
      <c r="A760" s="5" t="str">
        <f t="shared" si="86"/>
        <v>Reebok</v>
      </c>
      <c r="B760" s="5" t="str">
        <f t="shared" si="81"/>
        <v>Instapump Fury</v>
      </c>
      <c r="C760" s="3">
        <f t="shared" si="87"/>
        <v>45708</v>
      </c>
      <c r="D760" s="4">
        <f t="shared" ca="1" si="82"/>
        <v>158</v>
      </c>
      <c r="E760" s="2">
        <f t="shared" ca="1" si="83"/>
        <v>3200</v>
      </c>
      <c r="F760" s="2">
        <f t="shared" ca="1" si="84"/>
        <v>24662</v>
      </c>
      <c r="G760" s="2">
        <f t="shared" ca="1" si="85"/>
        <v>872</v>
      </c>
    </row>
    <row r="761" spans="1:7" x14ac:dyDescent="0.3">
      <c r="A761" s="5" t="str">
        <f t="shared" si="86"/>
        <v>Nike</v>
      </c>
      <c r="B761" s="5" t="str">
        <f t="shared" si="81"/>
        <v>Cortez</v>
      </c>
      <c r="C761" s="3">
        <f t="shared" si="87"/>
        <v>45708</v>
      </c>
      <c r="D761" s="4">
        <f t="shared" ca="1" si="82"/>
        <v>206</v>
      </c>
      <c r="E761" s="2">
        <f t="shared" ca="1" si="83"/>
        <v>1535</v>
      </c>
      <c r="F761" s="2">
        <f t="shared" ca="1" si="84"/>
        <v>22628</v>
      </c>
      <c r="G761" s="2">
        <f t="shared" ca="1" si="85"/>
        <v>656</v>
      </c>
    </row>
    <row r="762" spans="1:7" x14ac:dyDescent="0.3">
      <c r="A762" s="5" t="str">
        <f t="shared" si="86"/>
        <v>Adidas</v>
      </c>
      <c r="B762" s="5" t="str">
        <f t="shared" si="81"/>
        <v>NMD S1</v>
      </c>
      <c r="C762" s="3">
        <f t="shared" si="87"/>
        <v>45708</v>
      </c>
      <c r="D762" s="4">
        <f t="shared" ca="1" si="82"/>
        <v>111</v>
      </c>
      <c r="E762" s="2">
        <f t="shared" ca="1" si="83"/>
        <v>4973</v>
      </c>
      <c r="F762" s="2">
        <f t="shared" ca="1" si="84"/>
        <v>33079</v>
      </c>
      <c r="G762" s="2">
        <f t="shared" ca="1" si="85"/>
        <v>2261</v>
      </c>
    </row>
    <row r="763" spans="1:7" x14ac:dyDescent="0.3">
      <c r="A763" s="5" t="str">
        <f t="shared" si="86"/>
        <v>Puma</v>
      </c>
      <c r="B763" s="5" t="str">
        <f t="shared" si="81"/>
        <v>Suede Classic</v>
      </c>
      <c r="C763" s="3">
        <f t="shared" si="87"/>
        <v>45708</v>
      </c>
      <c r="D763" s="4">
        <f t="shared" ca="1" si="82"/>
        <v>171</v>
      </c>
      <c r="E763" s="2">
        <f t="shared" ca="1" si="83"/>
        <v>9367</v>
      </c>
      <c r="F763" s="2">
        <f t="shared" ca="1" si="84"/>
        <v>18942</v>
      </c>
      <c r="G763" s="2">
        <f t="shared" ca="1" si="85"/>
        <v>961</v>
      </c>
    </row>
    <row r="764" spans="1:7" x14ac:dyDescent="0.3">
      <c r="A764" s="5" t="str">
        <f t="shared" si="86"/>
        <v>New Balance</v>
      </c>
      <c r="B764" s="5" t="str">
        <f t="shared" si="81"/>
        <v>990v6</v>
      </c>
      <c r="C764" s="3">
        <f t="shared" si="87"/>
        <v>45708</v>
      </c>
      <c r="D764" s="4">
        <f t="shared" ca="1" si="82"/>
        <v>159</v>
      </c>
      <c r="E764" s="2">
        <f t="shared" ca="1" si="83"/>
        <v>7810</v>
      </c>
      <c r="F764" s="2">
        <f t="shared" ca="1" si="84"/>
        <v>17149</v>
      </c>
      <c r="G764" s="2">
        <f t="shared" ca="1" si="85"/>
        <v>381</v>
      </c>
    </row>
    <row r="765" spans="1:7" x14ac:dyDescent="0.3">
      <c r="A765" s="5" t="str">
        <f t="shared" si="86"/>
        <v>Reebok</v>
      </c>
      <c r="B765" s="5" t="str">
        <f t="shared" si="81"/>
        <v>Nano X3</v>
      </c>
      <c r="C765" s="3">
        <f t="shared" si="87"/>
        <v>45708</v>
      </c>
      <c r="D765" s="4">
        <f t="shared" ca="1" si="82"/>
        <v>191</v>
      </c>
      <c r="E765" s="2">
        <f t="shared" ca="1" si="83"/>
        <v>4197</v>
      </c>
      <c r="F765" s="2">
        <f t="shared" ca="1" si="84"/>
        <v>25759</v>
      </c>
      <c r="G765" s="2">
        <f t="shared" ca="1" si="85"/>
        <v>1751</v>
      </c>
    </row>
    <row r="766" spans="1:7" x14ac:dyDescent="0.3">
      <c r="A766" s="5" t="str">
        <f t="shared" si="86"/>
        <v>Nike</v>
      </c>
      <c r="B766" s="5" t="str">
        <f t="shared" si="81"/>
        <v>Vaporfly 3</v>
      </c>
      <c r="C766" s="3">
        <f t="shared" si="87"/>
        <v>45708</v>
      </c>
      <c r="D766" s="4">
        <f t="shared" ca="1" si="82"/>
        <v>120</v>
      </c>
      <c r="E766" s="2">
        <f t="shared" ca="1" si="83"/>
        <v>7236</v>
      </c>
      <c r="F766" s="2">
        <f t="shared" ca="1" si="84"/>
        <v>8641</v>
      </c>
      <c r="G766" s="2">
        <f t="shared" ca="1" si="85"/>
        <v>309</v>
      </c>
    </row>
    <row r="767" spans="1:7" x14ac:dyDescent="0.3">
      <c r="A767" s="5" t="str">
        <f t="shared" si="86"/>
        <v>Adidas</v>
      </c>
      <c r="B767" s="5" t="str">
        <f t="shared" si="81"/>
        <v>Samba</v>
      </c>
      <c r="C767" s="3">
        <f t="shared" si="87"/>
        <v>45709</v>
      </c>
      <c r="D767" s="4">
        <f t="shared" ca="1" si="82"/>
        <v>145</v>
      </c>
      <c r="E767" s="2">
        <f t="shared" ca="1" si="83"/>
        <v>2534</v>
      </c>
      <c r="F767" s="2">
        <f t="shared" ca="1" si="84"/>
        <v>7921</v>
      </c>
      <c r="G767" s="2">
        <f t="shared" ca="1" si="85"/>
        <v>431</v>
      </c>
    </row>
    <row r="768" spans="1:7" x14ac:dyDescent="0.3">
      <c r="A768" s="5" t="str">
        <f t="shared" si="86"/>
        <v>Puma</v>
      </c>
      <c r="B768" s="5" t="str">
        <f t="shared" si="81"/>
        <v>Mayze</v>
      </c>
      <c r="C768" s="3">
        <f t="shared" si="87"/>
        <v>45709</v>
      </c>
      <c r="D768" s="4">
        <f t="shared" ca="1" si="82"/>
        <v>118</v>
      </c>
      <c r="E768" s="2">
        <f t="shared" ca="1" si="83"/>
        <v>11344</v>
      </c>
      <c r="F768" s="2">
        <f t="shared" ca="1" si="84"/>
        <v>13205</v>
      </c>
      <c r="G768" s="2">
        <f t="shared" ca="1" si="85"/>
        <v>430</v>
      </c>
    </row>
    <row r="769" spans="1:7" x14ac:dyDescent="0.3">
      <c r="A769" s="5" t="str">
        <f t="shared" si="86"/>
        <v>New Balance</v>
      </c>
      <c r="B769" s="5" t="str">
        <f t="shared" si="81"/>
        <v>574 Core</v>
      </c>
      <c r="C769" s="3">
        <f t="shared" si="87"/>
        <v>45709</v>
      </c>
      <c r="D769" s="4">
        <f t="shared" ca="1" si="82"/>
        <v>222</v>
      </c>
      <c r="E769" s="2">
        <f t="shared" ca="1" si="83"/>
        <v>3513</v>
      </c>
      <c r="F769" s="2">
        <f t="shared" ca="1" si="84"/>
        <v>11381</v>
      </c>
      <c r="G769" s="2">
        <f t="shared" ca="1" si="85"/>
        <v>611</v>
      </c>
    </row>
    <row r="770" spans="1:7" x14ac:dyDescent="0.3">
      <c r="A770" s="5" t="str">
        <f t="shared" si="86"/>
        <v>Reebok</v>
      </c>
      <c r="B770" s="5" t="str">
        <f t="shared" si="81"/>
        <v>Club C 85</v>
      </c>
      <c r="C770" s="3">
        <f t="shared" si="87"/>
        <v>45709</v>
      </c>
      <c r="D770" s="4">
        <f t="shared" ca="1" si="82"/>
        <v>186</v>
      </c>
      <c r="E770" s="2">
        <f t="shared" ca="1" si="83"/>
        <v>11151</v>
      </c>
      <c r="F770" s="2">
        <f t="shared" ca="1" si="84"/>
        <v>8873</v>
      </c>
      <c r="G770" s="2">
        <f t="shared" ca="1" si="85"/>
        <v>710</v>
      </c>
    </row>
    <row r="771" spans="1:7" x14ac:dyDescent="0.3">
      <c r="A771" s="5" t="str">
        <f t="shared" si="86"/>
        <v>Nike</v>
      </c>
      <c r="B771" s="5" t="str">
        <f t="shared" ref="B771:B834" si="88">IF(A771="Nike",CHOOSE(MOD(ROW(A770),6)+1,"Air Max 270","Air Force 1","Pegasus 40","Vaporfly 3","Cortez","Jordan 1"),
 IF(A771="Adidas",CHOOSE(MOD(ROW(A770),6)+1,"Ultraboost 23","Stan Smith","Superstar","Gazelle","Samba","NMD S1"),
 IF(A771="Puma",CHOOSE(MOD(ROW(A770),6)+1,"Suede Classic","RS-X","Cali Dream","Rider Vintage","Slipstream","Mayze"),
 IF(A771="New Balance",CHOOSE(MOD(ROW(A770),6)+1,"574 Core","990v6","2002R","9060","327","550"),
 IF(A771="Reebok",CHOOSE(MOD(ROW(A770),6)+1,"Classic Leather","Club C 85","Nano X3","Instapump Fury","Zig Kinetica","Question Mid"),"")))))</f>
        <v>Pegasus 40</v>
      </c>
      <c r="C771" s="3">
        <f t="shared" si="87"/>
        <v>45709</v>
      </c>
      <c r="D771" s="4">
        <f t="shared" ref="D771:D834" ca="1" si="89">RANDBETWEEN(20,250)</f>
        <v>241</v>
      </c>
      <c r="E771" s="2">
        <f t="shared" ref="E771:E834" ca="1" si="90">ROUND(RANDBETWEEN(1500,12000)+(RANDBETWEEN(-200,200)),2)</f>
        <v>5138</v>
      </c>
      <c r="F771" s="2">
        <f t="shared" ref="F771:F834" ca="1" si="91">RANDBETWEEN(5000,35000)</f>
        <v>13853</v>
      </c>
      <c r="G771" s="2">
        <f t="shared" ref="G771:G834" ca="1" si="92">RANDBETWEEN(ROUND(F771*0.02,0),ROUND(F771*0.08,0))</f>
        <v>676</v>
      </c>
    </row>
    <row r="772" spans="1:7" x14ac:dyDescent="0.3">
      <c r="A772" s="5" t="str">
        <f t="shared" si="86"/>
        <v>Adidas</v>
      </c>
      <c r="B772" s="5" t="str">
        <f t="shared" si="88"/>
        <v>Gazelle</v>
      </c>
      <c r="C772" s="3">
        <f t="shared" si="87"/>
        <v>45709</v>
      </c>
      <c r="D772" s="4">
        <f t="shared" ca="1" si="89"/>
        <v>74</v>
      </c>
      <c r="E772" s="2">
        <f t="shared" ca="1" si="90"/>
        <v>9425</v>
      </c>
      <c r="F772" s="2">
        <f t="shared" ca="1" si="91"/>
        <v>17044</v>
      </c>
      <c r="G772" s="2">
        <f t="shared" ca="1" si="92"/>
        <v>737</v>
      </c>
    </row>
    <row r="773" spans="1:7" x14ac:dyDescent="0.3">
      <c r="A773" s="5" t="str">
        <f t="shared" si="86"/>
        <v>Puma</v>
      </c>
      <c r="B773" s="5" t="str">
        <f t="shared" si="88"/>
        <v>Slipstream</v>
      </c>
      <c r="C773" s="3">
        <f t="shared" si="87"/>
        <v>45709</v>
      </c>
      <c r="D773" s="4">
        <f t="shared" ca="1" si="89"/>
        <v>130</v>
      </c>
      <c r="E773" s="2">
        <f t="shared" ca="1" si="90"/>
        <v>5753</v>
      </c>
      <c r="F773" s="2">
        <f t="shared" ca="1" si="91"/>
        <v>20198</v>
      </c>
      <c r="G773" s="2">
        <f t="shared" ca="1" si="92"/>
        <v>1118</v>
      </c>
    </row>
    <row r="774" spans="1:7" x14ac:dyDescent="0.3">
      <c r="A774" s="5" t="str">
        <f t="shared" si="86"/>
        <v>New Balance</v>
      </c>
      <c r="B774" s="5" t="str">
        <f t="shared" si="88"/>
        <v>550</v>
      </c>
      <c r="C774" s="3">
        <f t="shared" si="87"/>
        <v>45709</v>
      </c>
      <c r="D774" s="4">
        <f t="shared" ca="1" si="89"/>
        <v>85</v>
      </c>
      <c r="E774" s="2">
        <f t="shared" ca="1" si="90"/>
        <v>7754</v>
      </c>
      <c r="F774" s="2">
        <f t="shared" ca="1" si="91"/>
        <v>6492</v>
      </c>
      <c r="G774" s="2">
        <f t="shared" ca="1" si="92"/>
        <v>250</v>
      </c>
    </row>
    <row r="775" spans="1:7" x14ac:dyDescent="0.3">
      <c r="A775" s="5" t="str">
        <f t="shared" si="86"/>
        <v>Reebok</v>
      </c>
      <c r="B775" s="5" t="str">
        <f t="shared" si="88"/>
        <v>Classic Leather</v>
      </c>
      <c r="C775" s="3">
        <f t="shared" si="87"/>
        <v>45709</v>
      </c>
      <c r="D775" s="4">
        <f t="shared" ca="1" si="89"/>
        <v>211</v>
      </c>
      <c r="E775" s="2">
        <f t="shared" ca="1" si="90"/>
        <v>3773</v>
      </c>
      <c r="F775" s="2">
        <f t="shared" ca="1" si="91"/>
        <v>28264</v>
      </c>
      <c r="G775" s="2">
        <f t="shared" ca="1" si="92"/>
        <v>1283</v>
      </c>
    </row>
    <row r="776" spans="1:7" x14ac:dyDescent="0.3">
      <c r="A776" s="5" t="str">
        <f t="shared" si="86"/>
        <v>Nike</v>
      </c>
      <c r="B776" s="5" t="str">
        <f t="shared" si="88"/>
        <v>Air Force 1</v>
      </c>
      <c r="C776" s="3">
        <f t="shared" si="87"/>
        <v>45709</v>
      </c>
      <c r="D776" s="4">
        <f t="shared" ca="1" si="89"/>
        <v>75</v>
      </c>
      <c r="E776" s="2">
        <f t="shared" ca="1" si="90"/>
        <v>2507</v>
      </c>
      <c r="F776" s="2">
        <f t="shared" ca="1" si="91"/>
        <v>22702</v>
      </c>
      <c r="G776" s="2">
        <f t="shared" ca="1" si="92"/>
        <v>1678</v>
      </c>
    </row>
    <row r="777" spans="1:7" x14ac:dyDescent="0.3">
      <c r="A777" s="5" t="str">
        <f t="shared" si="86"/>
        <v>Adidas</v>
      </c>
      <c r="B777" s="5" t="str">
        <f t="shared" si="88"/>
        <v>Superstar</v>
      </c>
      <c r="C777" s="3">
        <f t="shared" si="87"/>
        <v>45709</v>
      </c>
      <c r="D777" s="4">
        <f t="shared" ca="1" si="89"/>
        <v>24</v>
      </c>
      <c r="E777" s="2">
        <f t="shared" ca="1" si="90"/>
        <v>8722</v>
      </c>
      <c r="F777" s="2">
        <f t="shared" ca="1" si="91"/>
        <v>12551</v>
      </c>
      <c r="G777" s="2">
        <f t="shared" ca="1" si="92"/>
        <v>837</v>
      </c>
    </row>
    <row r="778" spans="1:7" x14ac:dyDescent="0.3">
      <c r="A778" s="5" t="str">
        <f t="shared" si="86"/>
        <v>Puma</v>
      </c>
      <c r="B778" s="5" t="str">
        <f t="shared" si="88"/>
        <v>Rider Vintage</v>
      </c>
      <c r="C778" s="3">
        <f t="shared" si="87"/>
        <v>45709</v>
      </c>
      <c r="D778" s="4">
        <f t="shared" ca="1" si="89"/>
        <v>94</v>
      </c>
      <c r="E778" s="2">
        <f t="shared" ca="1" si="90"/>
        <v>2325</v>
      </c>
      <c r="F778" s="2">
        <f t="shared" ca="1" si="91"/>
        <v>5891</v>
      </c>
      <c r="G778" s="2">
        <f t="shared" ca="1" si="92"/>
        <v>134</v>
      </c>
    </row>
    <row r="779" spans="1:7" x14ac:dyDescent="0.3">
      <c r="A779" s="5" t="str">
        <f t="shared" si="86"/>
        <v>New Balance</v>
      </c>
      <c r="B779" s="5" t="str">
        <f t="shared" si="88"/>
        <v>327</v>
      </c>
      <c r="C779" s="3">
        <f t="shared" si="87"/>
        <v>45709</v>
      </c>
      <c r="D779" s="4">
        <f t="shared" ca="1" si="89"/>
        <v>199</v>
      </c>
      <c r="E779" s="2">
        <f t="shared" ca="1" si="90"/>
        <v>2513</v>
      </c>
      <c r="F779" s="2">
        <f t="shared" ca="1" si="91"/>
        <v>10673</v>
      </c>
      <c r="G779" s="2">
        <f t="shared" ca="1" si="92"/>
        <v>774</v>
      </c>
    </row>
    <row r="780" spans="1:7" x14ac:dyDescent="0.3">
      <c r="A780" s="5" t="str">
        <f t="shared" si="86"/>
        <v>Reebok</v>
      </c>
      <c r="B780" s="5" t="str">
        <f t="shared" si="88"/>
        <v>Question Mid</v>
      </c>
      <c r="C780" s="3">
        <f t="shared" si="87"/>
        <v>45709</v>
      </c>
      <c r="D780" s="4">
        <f t="shared" ca="1" si="89"/>
        <v>175</v>
      </c>
      <c r="E780" s="2">
        <f t="shared" ca="1" si="90"/>
        <v>4397</v>
      </c>
      <c r="F780" s="2">
        <f t="shared" ca="1" si="91"/>
        <v>26511</v>
      </c>
      <c r="G780" s="2">
        <f t="shared" ca="1" si="92"/>
        <v>1527</v>
      </c>
    </row>
    <row r="781" spans="1:7" x14ac:dyDescent="0.3">
      <c r="A781" s="5" t="str">
        <f t="shared" si="86"/>
        <v>Nike</v>
      </c>
      <c r="B781" s="5" t="str">
        <f t="shared" si="88"/>
        <v>Air Max 270</v>
      </c>
      <c r="C781" s="3">
        <f t="shared" si="87"/>
        <v>45709</v>
      </c>
      <c r="D781" s="4">
        <f t="shared" ca="1" si="89"/>
        <v>151</v>
      </c>
      <c r="E781" s="2">
        <f t="shared" ca="1" si="90"/>
        <v>4001</v>
      </c>
      <c r="F781" s="2">
        <f t="shared" ca="1" si="91"/>
        <v>22082</v>
      </c>
      <c r="G781" s="2">
        <f t="shared" ca="1" si="92"/>
        <v>1294</v>
      </c>
    </row>
    <row r="782" spans="1:7" x14ac:dyDescent="0.3">
      <c r="A782" s="5" t="str">
        <f t="shared" si="86"/>
        <v>Adidas</v>
      </c>
      <c r="B782" s="5" t="str">
        <f t="shared" si="88"/>
        <v>Stan Smith</v>
      </c>
      <c r="C782" s="3">
        <f t="shared" si="87"/>
        <v>45710</v>
      </c>
      <c r="D782" s="4">
        <f t="shared" ca="1" si="89"/>
        <v>151</v>
      </c>
      <c r="E782" s="2">
        <f t="shared" ca="1" si="90"/>
        <v>3475</v>
      </c>
      <c r="F782" s="2">
        <f t="shared" ca="1" si="91"/>
        <v>9697</v>
      </c>
      <c r="G782" s="2">
        <f t="shared" ca="1" si="92"/>
        <v>239</v>
      </c>
    </row>
    <row r="783" spans="1:7" x14ac:dyDescent="0.3">
      <c r="A783" s="5" t="str">
        <f t="shared" si="86"/>
        <v>Puma</v>
      </c>
      <c r="B783" s="5" t="str">
        <f t="shared" si="88"/>
        <v>Cali Dream</v>
      </c>
      <c r="C783" s="3">
        <f t="shared" si="87"/>
        <v>45710</v>
      </c>
      <c r="D783" s="4">
        <f t="shared" ca="1" si="89"/>
        <v>126</v>
      </c>
      <c r="E783" s="2">
        <f t="shared" ca="1" si="90"/>
        <v>5243</v>
      </c>
      <c r="F783" s="2">
        <f t="shared" ca="1" si="91"/>
        <v>13250</v>
      </c>
      <c r="G783" s="2">
        <f t="shared" ca="1" si="92"/>
        <v>890</v>
      </c>
    </row>
    <row r="784" spans="1:7" x14ac:dyDescent="0.3">
      <c r="A784" s="5" t="str">
        <f t="shared" si="86"/>
        <v>New Balance</v>
      </c>
      <c r="B784" s="5" t="str">
        <f t="shared" si="88"/>
        <v>9060</v>
      </c>
      <c r="C784" s="3">
        <f t="shared" si="87"/>
        <v>45710</v>
      </c>
      <c r="D784" s="4">
        <f t="shared" ca="1" si="89"/>
        <v>122</v>
      </c>
      <c r="E784" s="2">
        <f t="shared" ca="1" si="90"/>
        <v>11977</v>
      </c>
      <c r="F784" s="2">
        <f t="shared" ca="1" si="91"/>
        <v>13508</v>
      </c>
      <c r="G784" s="2">
        <f t="shared" ca="1" si="92"/>
        <v>499</v>
      </c>
    </row>
    <row r="785" spans="1:7" x14ac:dyDescent="0.3">
      <c r="A785" s="5" t="str">
        <f t="shared" si="86"/>
        <v>Reebok</v>
      </c>
      <c r="B785" s="5" t="str">
        <f t="shared" si="88"/>
        <v>Zig Kinetica</v>
      </c>
      <c r="C785" s="3">
        <f t="shared" si="87"/>
        <v>45710</v>
      </c>
      <c r="D785" s="4">
        <f t="shared" ca="1" si="89"/>
        <v>178</v>
      </c>
      <c r="E785" s="2">
        <f t="shared" ca="1" si="90"/>
        <v>9825</v>
      </c>
      <c r="F785" s="2">
        <f t="shared" ca="1" si="91"/>
        <v>22876</v>
      </c>
      <c r="G785" s="2">
        <f t="shared" ca="1" si="92"/>
        <v>1773</v>
      </c>
    </row>
    <row r="786" spans="1:7" x14ac:dyDescent="0.3">
      <c r="A786" s="5" t="str">
        <f t="shared" si="86"/>
        <v>Nike</v>
      </c>
      <c r="B786" s="5" t="str">
        <f t="shared" si="88"/>
        <v>Jordan 1</v>
      </c>
      <c r="C786" s="3">
        <f t="shared" si="87"/>
        <v>45710</v>
      </c>
      <c r="D786" s="4">
        <f t="shared" ca="1" si="89"/>
        <v>148</v>
      </c>
      <c r="E786" s="2">
        <f t="shared" ca="1" si="90"/>
        <v>6486</v>
      </c>
      <c r="F786" s="2">
        <f t="shared" ca="1" si="91"/>
        <v>11502</v>
      </c>
      <c r="G786" s="2">
        <f t="shared" ca="1" si="92"/>
        <v>426</v>
      </c>
    </row>
    <row r="787" spans="1:7" x14ac:dyDescent="0.3">
      <c r="A787" s="5" t="str">
        <f t="shared" si="86"/>
        <v>Adidas</v>
      </c>
      <c r="B787" s="5" t="str">
        <f t="shared" si="88"/>
        <v>Ultraboost 23</v>
      </c>
      <c r="C787" s="3">
        <f t="shared" si="87"/>
        <v>45710</v>
      </c>
      <c r="D787" s="4">
        <f t="shared" ca="1" si="89"/>
        <v>54</v>
      </c>
      <c r="E787" s="2">
        <f t="shared" ca="1" si="90"/>
        <v>1707</v>
      </c>
      <c r="F787" s="2">
        <f t="shared" ca="1" si="91"/>
        <v>25452</v>
      </c>
      <c r="G787" s="2">
        <f t="shared" ca="1" si="92"/>
        <v>1035</v>
      </c>
    </row>
    <row r="788" spans="1:7" x14ac:dyDescent="0.3">
      <c r="A788" s="5" t="str">
        <f t="shared" si="86"/>
        <v>Puma</v>
      </c>
      <c r="B788" s="5" t="str">
        <f t="shared" si="88"/>
        <v>RS-X</v>
      </c>
      <c r="C788" s="3">
        <f t="shared" si="87"/>
        <v>45710</v>
      </c>
      <c r="D788" s="4">
        <f t="shared" ca="1" si="89"/>
        <v>99</v>
      </c>
      <c r="E788" s="2">
        <f t="shared" ca="1" si="90"/>
        <v>2893</v>
      </c>
      <c r="F788" s="2">
        <f t="shared" ca="1" si="91"/>
        <v>18318</v>
      </c>
      <c r="G788" s="2">
        <f t="shared" ca="1" si="92"/>
        <v>631</v>
      </c>
    </row>
    <row r="789" spans="1:7" x14ac:dyDescent="0.3">
      <c r="A789" s="5" t="str">
        <f t="shared" si="86"/>
        <v>New Balance</v>
      </c>
      <c r="B789" s="5" t="str">
        <f t="shared" si="88"/>
        <v>2002R</v>
      </c>
      <c r="C789" s="3">
        <f t="shared" si="87"/>
        <v>45710</v>
      </c>
      <c r="D789" s="4">
        <f t="shared" ca="1" si="89"/>
        <v>196</v>
      </c>
      <c r="E789" s="2">
        <f t="shared" ca="1" si="90"/>
        <v>10469</v>
      </c>
      <c r="F789" s="2">
        <f t="shared" ca="1" si="91"/>
        <v>15813</v>
      </c>
      <c r="G789" s="2">
        <f t="shared" ca="1" si="92"/>
        <v>558</v>
      </c>
    </row>
    <row r="790" spans="1:7" x14ac:dyDescent="0.3">
      <c r="A790" s="5" t="str">
        <f t="shared" si="86"/>
        <v>Reebok</v>
      </c>
      <c r="B790" s="5" t="str">
        <f t="shared" si="88"/>
        <v>Instapump Fury</v>
      </c>
      <c r="C790" s="3">
        <f t="shared" si="87"/>
        <v>45710</v>
      </c>
      <c r="D790" s="4">
        <f t="shared" ca="1" si="89"/>
        <v>191</v>
      </c>
      <c r="E790" s="2">
        <f t="shared" ca="1" si="90"/>
        <v>1713</v>
      </c>
      <c r="F790" s="2">
        <f t="shared" ca="1" si="91"/>
        <v>15071</v>
      </c>
      <c r="G790" s="2">
        <f t="shared" ca="1" si="92"/>
        <v>906</v>
      </c>
    </row>
    <row r="791" spans="1:7" x14ac:dyDescent="0.3">
      <c r="A791" s="5" t="str">
        <f t="shared" si="86"/>
        <v>Nike</v>
      </c>
      <c r="B791" s="5" t="str">
        <f t="shared" si="88"/>
        <v>Cortez</v>
      </c>
      <c r="C791" s="3">
        <f t="shared" si="87"/>
        <v>45710</v>
      </c>
      <c r="D791" s="4">
        <f t="shared" ca="1" si="89"/>
        <v>241</v>
      </c>
      <c r="E791" s="2">
        <f t="shared" ca="1" si="90"/>
        <v>2705</v>
      </c>
      <c r="F791" s="2">
        <f t="shared" ca="1" si="91"/>
        <v>5968</v>
      </c>
      <c r="G791" s="2">
        <f t="shared" ca="1" si="92"/>
        <v>340</v>
      </c>
    </row>
    <row r="792" spans="1:7" x14ac:dyDescent="0.3">
      <c r="A792" s="5" t="str">
        <f t="shared" si="86"/>
        <v>Adidas</v>
      </c>
      <c r="B792" s="5" t="str">
        <f t="shared" si="88"/>
        <v>NMD S1</v>
      </c>
      <c r="C792" s="3">
        <f t="shared" si="87"/>
        <v>45710</v>
      </c>
      <c r="D792" s="4">
        <f t="shared" ca="1" si="89"/>
        <v>59</v>
      </c>
      <c r="E792" s="2">
        <f t="shared" ca="1" si="90"/>
        <v>3540</v>
      </c>
      <c r="F792" s="2">
        <f t="shared" ca="1" si="91"/>
        <v>15518</v>
      </c>
      <c r="G792" s="2">
        <f t="shared" ca="1" si="92"/>
        <v>1092</v>
      </c>
    </row>
    <row r="793" spans="1:7" x14ac:dyDescent="0.3">
      <c r="A793" s="5" t="str">
        <f t="shared" si="86"/>
        <v>Puma</v>
      </c>
      <c r="B793" s="5" t="str">
        <f t="shared" si="88"/>
        <v>Suede Classic</v>
      </c>
      <c r="C793" s="3">
        <f t="shared" si="87"/>
        <v>45710</v>
      </c>
      <c r="D793" s="4">
        <f t="shared" ca="1" si="89"/>
        <v>211</v>
      </c>
      <c r="E793" s="2">
        <f t="shared" ca="1" si="90"/>
        <v>3530</v>
      </c>
      <c r="F793" s="2">
        <f t="shared" ca="1" si="91"/>
        <v>18652</v>
      </c>
      <c r="G793" s="2">
        <f t="shared" ca="1" si="92"/>
        <v>1284</v>
      </c>
    </row>
    <row r="794" spans="1:7" x14ac:dyDescent="0.3">
      <c r="A794" s="5" t="str">
        <f t="shared" si="86"/>
        <v>New Balance</v>
      </c>
      <c r="B794" s="5" t="str">
        <f t="shared" si="88"/>
        <v>990v6</v>
      </c>
      <c r="C794" s="3">
        <f t="shared" si="87"/>
        <v>45710</v>
      </c>
      <c r="D794" s="4">
        <f t="shared" ca="1" si="89"/>
        <v>52</v>
      </c>
      <c r="E794" s="2">
        <f t="shared" ca="1" si="90"/>
        <v>10025</v>
      </c>
      <c r="F794" s="2">
        <f t="shared" ca="1" si="91"/>
        <v>7393</v>
      </c>
      <c r="G794" s="2">
        <f t="shared" ca="1" si="92"/>
        <v>328</v>
      </c>
    </row>
    <row r="795" spans="1:7" x14ac:dyDescent="0.3">
      <c r="A795" s="5" t="str">
        <f t="shared" si="86"/>
        <v>Reebok</v>
      </c>
      <c r="B795" s="5" t="str">
        <f t="shared" si="88"/>
        <v>Nano X3</v>
      </c>
      <c r="C795" s="3">
        <f t="shared" si="87"/>
        <v>45710</v>
      </c>
      <c r="D795" s="4">
        <f t="shared" ca="1" si="89"/>
        <v>61</v>
      </c>
      <c r="E795" s="2">
        <f t="shared" ca="1" si="90"/>
        <v>5389</v>
      </c>
      <c r="F795" s="2">
        <f t="shared" ca="1" si="91"/>
        <v>21527</v>
      </c>
      <c r="G795" s="2">
        <f t="shared" ca="1" si="92"/>
        <v>1179</v>
      </c>
    </row>
    <row r="796" spans="1:7" x14ac:dyDescent="0.3">
      <c r="A796" s="5" t="str">
        <f t="shared" si="86"/>
        <v>Nike</v>
      </c>
      <c r="B796" s="5" t="str">
        <f t="shared" si="88"/>
        <v>Vaporfly 3</v>
      </c>
      <c r="C796" s="3">
        <f t="shared" si="87"/>
        <v>45710</v>
      </c>
      <c r="D796" s="4">
        <f t="shared" ca="1" si="89"/>
        <v>165</v>
      </c>
      <c r="E796" s="2">
        <f t="shared" ca="1" si="90"/>
        <v>9674</v>
      </c>
      <c r="F796" s="2">
        <f t="shared" ca="1" si="91"/>
        <v>32555</v>
      </c>
      <c r="G796" s="2">
        <f t="shared" ca="1" si="92"/>
        <v>925</v>
      </c>
    </row>
    <row r="797" spans="1:7" x14ac:dyDescent="0.3">
      <c r="A797" s="5" t="str">
        <f t="shared" si="86"/>
        <v>Adidas</v>
      </c>
      <c r="B797" s="5" t="str">
        <f t="shared" si="88"/>
        <v>Samba</v>
      </c>
      <c r="C797" s="3">
        <f t="shared" si="87"/>
        <v>45711</v>
      </c>
      <c r="D797" s="4">
        <f t="shared" ca="1" si="89"/>
        <v>188</v>
      </c>
      <c r="E797" s="2">
        <f t="shared" ca="1" si="90"/>
        <v>6269</v>
      </c>
      <c r="F797" s="2">
        <f t="shared" ca="1" si="91"/>
        <v>9300</v>
      </c>
      <c r="G797" s="2">
        <f t="shared" ca="1" si="92"/>
        <v>302</v>
      </c>
    </row>
    <row r="798" spans="1:7" x14ac:dyDescent="0.3">
      <c r="A798" s="5" t="str">
        <f t="shared" si="86"/>
        <v>Puma</v>
      </c>
      <c r="B798" s="5" t="str">
        <f t="shared" si="88"/>
        <v>Mayze</v>
      </c>
      <c r="C798" s="3">
        <f t="shared" si="87"/>
        <v>45711</v>
      </c>
      <c r="D798" s="4">
        <f t="shared" ca="1" si="89"/>
        <v>243</v>
      </c>
      <c r="E798" s="2">
        <f t="shared" ca="1" si="90"/>
        <v>4201</v>
      </c>
      <c r="F798" s="2">
        <f t="shared" ca="1" si="91"/>
        <v>22242</v>
      </c>
      <c r="G798" s="2">
        <f t="shared" ca="1" si="92"/>
        <v>1135</v>
      </c>
    </row>
    <row r="799" spans="1:7" x14ac:dyDescent="0.3">
      <c r="A799" s="5" t="str">
        <f t="shared" si="86"/>
        <v>New Balance</v>
      </c>
      <c r="B799" s="5" t="str">
        <f t="shared" si="88"/>
        <v>574 Core</v>
      </c>
      <c r="C799" s="3">
        <f t="shared" si="87"/>
        <v>45711</v>
      </c>
      <c r="D799" s="4">
        <f t="shared" ca="1" si="89"/>
        <v>60</v>
      </c>
      <c r="E799" s="2">
        <f t="shared" ca="1" si="90"/>
        <v>4381</v>
      </c>
      <c r="F799" s="2">
        <f t="shared" ca="1" si="91"/>
        <v>5008</v>
      </c>
      <c r="G799" s="2">
        <f t="shared" ca="1" si="92"/>
        <v>218</v>
      </c>
    </row>
    <row r="800" spans="1:7" x14ac:dyDescent="0.3">
      <c r="A800" s="5" t="str">
        <f t="shared" si="86"/>
        <v>Reebok</v>
      </c>
      <c r="B800" s="5" t="str">
        <f t="shared" si="88"/>
        <v>Club C 85</v>
      </c>
      <c r="C800" s="3">
        <f t="shared" si="87"/>
        <v>45711</v>
      </c>
      <c r="D800" s="4">
        <f t="shared" ca="1" si="89"/>
        <v>43</v>
      </c>
      <c r="E800" s="2">
        <f t="shared" ca="1" si="90"/>
        <v>8742</v>
      </c>
      <c r="F800" s="2">
        <f t="shared" ca="1" si="91"/>
        <v>31258</v>
      </c>
      <c r="G800" s="2">
        <f t="shared" ca="1" si="92"/>
        <v>1308</v>
      </c>
    </row>
    <row r="801" spans="1:7" x14ac:dyDescent="0.3">
      <c r="A801" s="5" t="str">
        <f t="shared" si="86"/>
        <v>Nike</v>
      </c>
      <c r="B801" s="5" t="str">
        <f t="shared" si="88"/>
        <v>Pegasus 40</v>
      </c>
      <c r="C801" s="3">
        <f t="shared" si="87"/>
        <v>45711</v>
      </c>
      <c r="D801" s="4">
        <f t="shared" ca="1" si="89"/>
        <v>174</v>
      </c>
      <c r="E801" s="2">
        <f t="shared" ca="1" si="90"/>
        <v>3352</v>
      </c>
      <c r="F801" s="2">
        <f t="shared" ca="1" si="91"/>
        <v>13609</v>
      </c>
      <c r="G801" s="2">
        <f t="shared" ca="1" si="92"/>
        <v>680</v>
      </c>
    </row>
    <row r="802" spans="1:7" x14ac:dyDescent="0.3">
      <c r="A802" s="5" t="str">
        <f t="shared" si="86"/>
        <v>Adidas</v>
      </c>
      <c r="B802" s="5" t="str">
        <f t="shared" si="88"/>
        <v>Gazelle</v>
      </c>
      <c r="C802" s="3">
        <f t="shared" si="87"/>
        <v>45711</v>
      </c>
      <c r="D802" s="4">
        <f t="shared" ca="1" si="89"/>
        <v>25</v>
      </c>
      <c r="E802" s="2">
        <f t="shared" ca="1" si="90"/>
        <v>6683</v>
      </c>
      <c r="F802" s="2">
        <f t="shared" ca="1" si="91"/>
        <v>26939</v>
      </c>
      <c r="G802" s="2">
        <f t="shared" ca="1" si="92"/>
        <v>1785</v>
      </c>
    </row>
    <row r="803" spans="1:7" x14ac:dyDescent="0.3">
      <c r="A803" s="5" t="str">
        <f t="shared" si="86"/>
        <v>Puma</v>
      </c>
      <c r="B803" s="5" t="str">
        <f t="shared" si="88"/>
        <v>Slipstream</v>
      </c>
      <c r="C803" s="3">
        <f t="shared" si="87"/>
        <v>45711</v>
      </c>
      <c r="D803" s="4">
        <f t="shared" ca="1" si="89"/>
        <v>238</v>
      </c>
      <c r="E803" s="2">
        <f t="shared" ca="1" si="90"/>
        <v>7358</v>
      </c>
      <c r="F803" s="2">
        <f t="shared" ca="1" si="91"/>
        <v>17632</v>
      </c>
      <c r="G803" s="2">
        <f t="shared" ca="1" si="92"/>
        <v>1167</v>
      </c>
    </row>
    <row r="804" spans="1:7" x14ac:dyDescent="0.3">
      <c r="A804" s="5" t="str">
        <f t="shared" si="86"/>
        <v>New Balance</v>
      </c>
      <c r="B804" s="5" t="str">
        <f t="shared" si="88"/>
        <v>550</v>
      </c>
      <c r="C804" s="3">
        <f t="shared" si="87"/>
        <v>45711</v>
      </c>
      <c r="D804" s="4">
        <f t="shared" ca="1" si="89"/>
        <v>170</v>
      </c>
      <c r="E804" s="2">
        <f t="shared" ca="1" si="90"/>
        <v>3524</v>
      </c>
      <c r="F804" s="2">
        <f t="shared" ca="1" si="91"/>
        <v>9719</v>
      </c>
      <c r="G804" s="2">
        <f t="shared" ca="1" si="92"/>
        <v>624</v>
      </c>
    </row>
    <row r="805" spans="1:7" x14ac:dyDescent="0.3">
      <c r="A805" s="5" t="str">
        <f t="shared" si="86"/>
        <v>Reebok</v>
      </c>
      <c r="B805" s="5" t="str">
        <f t="shared" si="88"/>
        <v>Classic Leather</v>
      </c>
      <c r="C805" s="3">
        <f t="shared" si="87"/>
        <v>45711</v>
      </c>
      <c r="D805" s="4">
        <f t="shared" ca="1" si="89"/>
        <v>247</v>
      </c>
      <c r="E805" s="2">
        <f t="shared" ca="1" si="90"/>
        <v>5758</v>
      </c>
      <c r="F805" s="2">
        <f t="shared" ca="1" si="91"/>
        <v>28699</v>
      </c>
      <c r="G805" s="2">
        <f t="shared" ca="1" si="92"/>
        <v>2277</v>
      </c>
    </row>
    <row r="806" spans="1:7" x14ac:dyDescent="0.3">
      <c r="A806" s="5" t="str">
        <f t="shared" si="86"/>
        <v>Nike</v>
      </c>
      <c r="B806" s="5" t="str">
        <f t="shared" si="88"/>
        <v>Air Force 1</v>
      </c>
      <c r="C806" s="3">
        <f t="shared" si="87"/>
        <v>45711</v>
      </c>
      <c r="D806" s="4">
        <f t="shared" ca="1" si="89"/>
        <v>144</v>
      </c>
      <c r="E806" s="2">
        <f t="shared" ca="1" si="90"/>
        <v>5542</v>
      </c>
      <c r="F806" s="2">
        <f t="shared" ca="1" si="91"/>
        <v>34949</v>
      </c>
      <c r="G806" s="2">
        <f t="shared" ca="1" si="92"/>
        <v>2101</v>
      </c>
    </row>
    <row r="807" spans="1:7" x14ac:dyDescent="0.3">
      <c r="A807" s="5" t="str">
        <f t="shared" si="86"/>
        <v>Adidas</v>
      </c>
      <c r="B807" s="5" t="str">
        <f t="shared" si="88"/>
        <v>Superstar</v>
      </c>
      <c r="C807" s="3">
        <f t="shared" si="87"/>
        <v>45711</v>
      </c>
      <c r="D807" s="4">
        <f t="shared" ca="1" si="89"/>
        <v>100</v>
      </c>
      <c r="E807" s="2">
        <f t="shared" ca="1" si="90"/>
        <v>4676</v>
      </c>
      <c r="F807" s="2">
        <f t="shared" ca="1" si="91"/>
        <v>34169</v>
      </c>
      <c r="G807" s="2">
        <f t="shared" ca="1" si="92"/>
        <v>1774</v>
      </c>
    </row>
    <row r="808" spans="1:7" x14ac:dyDescent="0.3">
      <c r="A808" s="5" t="str">
        <f t="shared" si="86"/>
        <v>Puma</v>
      </c>
      <c r="B808" s="5" t="str">
        <f t="shared" si="88"/>
        <v>Rider Vintage</v>
      </c>
      <c r="C808" s="3">
        <f t="shared" si="87"/>
        <v>45711</v>
      </c>
      <c r="D808" s="4">
        <f t="shared" ca="1" si="89"/>
        <v>142</v>
      </c>
      <c r="E808" s="2">
        <f t="shared" ca="1" si="90"/>
        <v>2969</v>
      </c>
      <c r="F808" s="2">
        <f t="shared" ca="1" si="91"/>
        <v>16932</v>
      </c>
      <c r="G808" s="2">
        <f t="shared" ca="1" si="92"/>
        <v>1313</v>
      </c>
    </row>
    <row r="809" spans="1:7" x14ac:dyDescent="0.3">
      <c r="A809" s="5" t="str">
        <f t="shared" si="86"/>
        <v>New Balance</v>
      </c>
      <c r="B809" s="5" t="str">
        <f t="shared" si="88"/>
        <v>327</v>
      </c>
      <c r="C809" s="3">
        <f t="shared" si="87"/>
        <v>45711</v>
      </c>
      <c r="D809" s="4">
        <f t="shared" ca="1" si="89"/>
        <v>216</v>
      </c>
      <c r="E809" s="2">
        <f t="shared" ca="1" si="90"/>
        <v>9079</v>
      </c>
      <c r="F809" s="2">
        <f t="shared" ca="1" si="91"/>
        <v>29294</v>
      </c>
      <c r="G809" s="2">
        <f t="shared" ca="1" si="92"/>
        <v>1567</v>
      </c>
    </row>
    <row r="810" spans="1:7" x14ac:dyDescent="0.3">
      <c r="A810" s="5" t="str">
        <f t="shared" si="86"/>
        <v>Reebok</v>
      </c>
      <c r="B810" s="5" t="str">
        <f t="shared" si="88"/>
        <v>Question Mid</v>
      </c>
      <c r="C810" s="3">
        <f t="shared" si="87"/>
        <v>45711</v>
      </c>
      <c r="D810" s="4">
        <f t="shared" ca="1" si="89"/>
        <v>130</v>
      </c>
      <c r="E810" s="2">
        <f t="shared" ca="1" si="90"/>
        <v>3798</v>
      </c>
      <c r="F810" s="2">
        <f t="shared" ca="1" si="91"/>
        <v>20972</v>
      </c>
      <c r="G810" s="2">
        <f t="shared" ca="1" si="92"/>
        <v>845</v>
      </c>
    </row>
    <row r="811" spans="1:7" x14ac:dyDescent="0.3">
      <c r="A811" s="5" t="str">
        <f t="shared" ref="A811:A874" si="93">CHOOSE(MOD(ROW(A810),5)+1,"Nike","Adidas","Puma","New Balance","Reebok")</f>
        <v>Nike</v>
      </c>
      <c r="B811" s="5" t="str">
        <f t="shared" si="88"/>
        <v>Air Max 270</v>
      </c>
      <c r="C811" s="3">
        <f t="shared" ref="C811:C874" si="94">DATE(2025,1,1)+INT((ROW(A811)-2)/15)</f>
        <v>45711</v>
      </c>
      <c r="D811" s="4">
        <f t="shared" ca="1" si="89"/>
        <v>135</v>
      </c>
      <c r="E811" s="2">
        <f t="shared" ca="1" si="90"/>
        <v>10639</v>
      </c>
      <c r="F811" s="2">
        <f t="shared" ca="1" si="91"/>
        <v>31357</v>
      </c>
      <c r="G811" s="2">
        <f t="shared" ca="1" si="92"/>
        <v>862</v>
      </c>
    </row>
    <row r="812" spans="1:7" x14ac:dyDescent="0.3">
      <c r="A812" s="5" t="str">
        <f t="shared" si="93"/>
        <v>Adidas</v>
      </c>
      <c r="B812" s="5" t="str">
        <f t="shared" si="88"/>
        <v>Stan Smith</v>
      </c>
      <c r="C812" s="3">
        <f t="shared" si="94"/>
        <v>45712</v>
      </c>
      <c r="D812" s="4">
        <f t="shared" ca="1" si="89"/>
        <v>165</v>
      </c>
      <c r="E812" s="2">
        <f t="shared" ca="1" si="90"/>
        <v>11349</v>
      </c>
      <c r="F812" s="2">
        <f t="shared" ca="1" si="91"/>
        <v>26908</v>
      </c>
      <c r="G812" s="2">
        <f t="shared" ca="1" si="92"/>
        <v>667</v>
      </c>
    </row>
    <row r="813" spans="1:7" x14ac:dyDescent="0.3">
      <c r="A813" s="5" t="str">
        <f t="shared" si="93"/>
        <v>Puma</v>
      </c>
      <c r="B813" s="5" t="str">
        <f t="shared" si="88"/>
        <v>Cali Dream</v>
      </c>
      <c r="C813" s="3">
        <f t="shared" si="94"/>
        <v>45712</v>
      </c>
      <c r="D813" s="4">
        <f t="shared" ca="1" si="89"/>
        <v>127</v>
      </c>
      <c r="E813" s="2">
        <f t="shared" ca="1" si="90"/>
        <v>3454</v>
      </c>
      <c r="F813" s="2">
        <f t="shared" ca="1" si="91"/>
        <v>32385</v>
      </c>
      <c r="G813" s="2">
        <f t="shared" ca="1" si="92"/>
        <v>1043</v>
      </c>
    </row>
    <row r="814" spans="1:7" x14ac:dyDescent="0.3">
      <c r="A814" s="5" t="str">
        <f t="shared" si="93"/>
        <v>New Balance</v>
      </c>
      <c r="B814" s="5" t="str">
        <f t="shared" si="88"/>
        <v>9060</v>
      </c>
      <c r="C814" s="3">
        <f t="shared" si="94"/>
        <v>45712</v>
      </c>
      <c r="D814" s="4">
        <f t="shared" ca="1" si="89"/>
        <v>250</v>
      </c>
      <c r="E814" s="2">
        <f t="shared" ca="1" si="90"/>
        <v>7585</v>
      </c>
      <c r="F814" s="2">
        <f t="shared" ca="1" si="91"/>
        <v>24254</v>
      </c>
      <c r="G814" s="2">
        <f t="shared" ca="1" si="92"/>
        <v>1703</v>
      </c>
    </row>
    <row r="815" spans="1:7" x14ac:dyDescent="0.3">
      <c r="A815" s="5" t="str">
        <f t="shared" si="93"/>
        <v>Reebok</v>
      </c>
      <c r="B815" s="5" t="str">
        <f t="shared" si="88"/>
        <v>Zig Kinetica</v>
      </c>
      <c r="C815" s="3">
        <f t="shared" si="94"/>
        <v>45712</v>
      </c>
      <c r="D815" s="4">
        <f t="shared" ca="1" si="89"/>
        <v>48</v>
      </c>
      <c r="E815" s="2">
        <f t="shared" ca="1" si="90"/>
        <v>10754</v>
      </c>
      <c r="F815" s="2">
        <f t="shared" ca="1" si="91"/>
        <v>5074</v>
      </c>
      <c r="G815" s="2">
        <f t="shared" ca="1" si="92"/>
        <v>309</v>
      </c>
    </row>
    <row r="816" spans="1:7" x14ac:dyDescent="0.3">
      <c r="A816" s="5" t="str">
        <f t="shared" si="93"/>
        <v>Nike</v>
      </c>
      <c r="B816" s="5" t="str">
        <f t="shared" si="88"/>
        <v>Jordan 1</v>
      </c>
      <c r="C816" s="3">
        <f t="shared" si="94"/>
        <v>45712</v>
      </c>
      <c r="D816" s="4">
        <f t="shared" ca="1" si="89"/>
        <v>226</v>
      </c>
      <c r="E816" s="2">
        <f t="shared" ca="1" si="90"/>
        <v>9396</v>
      </c>
      <c r="F816" s="2">
        <f t="shared" ca="1" si="91"/>
        <v>21287</v>
      </c>
      <c r="G816" s="2">
        <f t="shared" ca="1" si="92"/>
        <v>536</v>
      </c>
    </row>
    <row r="817" spans="1:7" x14ac:dyDescent="0.3">
      <c r="A817" s="5" t="str">
        <f t="shared" si="93"/>
        <v>Adidas</v>
      </c>
      <c r="B817" s="5" t="str">
        <f t="shared" si="88"/>
        <v>Ultraboost 23</v>
      </c>
      <c r="C817" s="3">
        <f t="shared" si="94"/>
        <v>45712</v>
      </c>
      <c r="D817" s="4">
        <f t="shared" ca="1" si="89"/>
        <v>179</v>
      </c>
      <c r="E817" s="2">
        <f t="shared" ca="1" si="90"/>
        <v>5416</v>
      </c>
      <c r="F817" s="2">
        <f t="shared" ca="1" si="91"/>
        <v>17562</v>
      </c>
      <c r="G817" s="2">
        <f t="shared" ca="1" si="92"/>
        <v>840</v>
      </c>
    </row>
    <row r="818" spans="1:7" x14ac:dyDescent="0.3">
      <c r="A818" s="5" t="str">
        <f t="shared" si="93"/>
        <v>Puma</v>
      </c>
      <c r="B818" s="5" t="str">
        <f t="shared" si="88"/>
        <v>RS-X</v>
      </c>
      <c r="C818" s="3">
        <f t="shared" si="94"/>
        <v>45712</v>
      </c>
      <c r="D818" s="4">
        <f t="shared" ca="1" si="89"/>
        <v>139</v>
      </c>
      <c r="E818" s="2">
        <f t="shared" ca="1" si="90"/>
        <v>11526</v>
      </c>
      <c r="F818" s="2">
        <f t="shared" ca="1" si="91"/>
        <v>12311</v>
      </c>
      <c r="G818" s="2">
        <f t="shared" ca="1" si="92"/>
        <v>979</v>
      </c>
    </row>
    <row r="819" spans="1:7" x14ac:dyDescent="0.3">
      <c r="A819" s="5" t="str">
        <f t="shared" si="93"/>
        <v>New Balance</v>
      </c>
      <c r="B819" s="5" t="str">
        <f t="shared" si="88"/>
        <v>2002R</v>
      </c>
      <c r="C819" s="3">
        <f t="shared" si="94"/>
        <v>45712</v>
      </c>
      <c r="D819" s="4">
        <f t="shared" ca="1" si="89"/>
        <v>175</v>
      </c>
      <c r="E819" s="2">
        <f t="shared" ca="1" si="90"/>
        <v>6804</v>
      </c>
      <c r="F819" s="2">
        <f t="shared" ca="1" si="91"/>
        <v>30713</v>
      </c>
      <c r="G819" s="2">
        <f t="shared" ca="1" si="92"/>
        <v>1855</v>
      </c>
    </row>
    <row r="820" spans="1:7" x14ac:dyDescent="0.3">
      <c r="A820" s="5" t="str">
        <f t="shared" si="93"/>
        <v>Reebok</v>
      </c>
      <c r="B820" s="5" t="str">
        <f t="shared" si="88"/>
        <v>Instapump Fury</v>
      </c>
      <c r="C820" s="3">
        <f t="shared" si="94"/>
        <v>45712</v>
      </c>
      <c r="D820" s="4">
        <f t="shared" ca="1" si="89"/>
        <v>209</v>
      </c>
      <c r="E820" s="2">
        <f t="shared" ca="1" si="90"/>
        <v>3086</v>
      </c>
      <c r="F820" s="2">
        <f t="shared" ca="1" si="91"/>
        <v>26095</v>
      </c>
      <c r="G820" s="2">
        <f t="shared" ca="1" si="92"/>
        <v>1419</v>
      </c>
    </row>
    <row r="821" spans="1:7" x14ac:dyDescent="0.3">
      <c r="A821" s="5" t="str">
        <f t="shared" si="93"/>
        <v>Nike</v>
      </c>
      <c r="B821" s="5" t="str">
        <f t="shared" si="88"/>
        <v>Cortez</v>
      </c>
      <c r="C821" s="3">
        <f t="shared" si="94"/>
        <v>45712</v>
      </c>
      <c r="D821" s="4">
        <f t="shared" ca="1" si="89"/>
        <v>204</v>
      </c>
      <c r="E821" s="2">
        <f t="shared" ca="1" si="90"/>
        <v>11670</v>
      </c>
      <c r="F821" s="2">
        <f t="shared" ca="1" si="91"/>
        <v>16656</v>
      </c>
      <c r="G821" s="2">
        <f t="shared" ca="1" si="92"/>
        <v>965</v>
      </c>
    </row>
    <row r="822" spans="1:7" x14ac:dyDescent="0.3">
      <c r="A822" s="5" t="str">
        <f t="shared" si="93"/>
        <v>Adidas</v>
      </c>
      <c r="B822" s="5" t="str">
        <f t="shared" si="88"/>
        <v>NMD S1</v>
      </c>
      <c r="C822" s="3">
        <f t="shared" si="94"/>
        <v>45712</v>
      </c>
      <c r="D822" s="4">
        <f t="shared" ca="1" si="89"/>
        <v>188</v>
      </c>
      <c r="E822" s="2">
        <f t="shared" ca="1" si="90"/>
        <v>5052</v>
      </c>
      <c r="F822" s="2">
        <f t="shared" ca="1" si="91"/>
        <v>5943</v>
      </c>
      <c r="G822" s="2">
        <f t="shared" ca="1" si="92"/>
        <v>416</v>
      </c>
    </row>
    <row r="823" spans="1:7" x14ac:dyDescent="0.3">
      <c r="A823" s="5" t="str">
        <f t="shared" si="93"/>
        <v>Puma</v>
      </c>
      <c r="B823" s="5" t="str">
        <f t="shared" si="88"/>
        <v>Suede Classic</v>
      </c>
      <c r="C823" s="3">
        <f t="shared" si="94"/>
        <v>45712</v>
      </c>
      <c r="D823" s="4">
        <f t="shared" ca="1" si="89"/>
        <v>62</v>
      </c>
      <c r="E823" s="2">
        <f t="shared" ca="1" si="90"/>
        <v>2122</v>
      </c>
      <c r="F823" s="2">
        <f t="shared" ca="1" si="91"/>
        <v>21924</v>
      </c>
      <c r="G823" s="2">
        <f t="shared" ca="1" si="92"/>
        <v>768</v>
      </c>
    </row>
    <row r="824" spans="1:7" x14ac:dyDescent="0.3">
      <c r="A824" s="5" t="str">
        <f t="shared" si="93"/>
        <v>New Balance</v>
      </c>
      <c r="B824" s="5" t="str">
        <f t="shared" si="88"/>
        <v>990v6</v>
      </c>
      <c r="C824" s="3">
        <f t="shared" si="94"/>
        <v>45712</v>
      </c>
      <c r="D824" s="4">
        <f t="shared" ca="1" si="89"/>
        <v>126</v>
      </c>
      <c r="E824" s="2">
        <f t="shared" ca="1" si="90"/>
        <v>9195</v>
      </c>
      <c r="F824" s="2">
        <f t="shared" ca="1" si="91"/>
        <v>30570</v>
      </c>
      <c r="G824" s="2">
        <f t="shared" ca="1" si="92"/>
        <v>646</v>
      </c>
    </row>
    <row r="825" spans="1:7" x14ac:dyDescent="0.3">
      <c r="A825" s="5" t="str">
        <f t="shared" si="93"/>
        <v>Reebok</v>
      </c>
      <c r="B825" s="5" t="str">
        <f t="shared" si="88"/>
        <v>Nano X3</v>
      </c>
      <c r="C825" s="3">
        <f t="shared" si="94"/>
        <v>45712</v>
      </c>
      <c r="D825" s="4">
        <f t="shared" ca="1" si="89"/>
        <v>198</v>
      </c>
      <c r="E825" s="2">
        <f t="shared" ca="1" si="90"/>
        <v>7523</v>
      </c>
      <c r="F825" s="2">
        <f t="shared" ca="1" si="91"/>
        <v>14803</v>
      </c>
      <c r="G825" s="2">
        <f t="shared" ca="1" si="92"/>
        <v>1021</v>
      </c>
    </row>
    <row r="826" spans="1:7" x14ac:dyDescent="0.3">
      <c r="A826" s="5" t="str">
        <f t="shared" si="93"/>
        <v>Nike</v>
      </c>
      <c r="B826" s="5" t="str">
        <f t="shared" si="88"/>
        <v>Vaporfly 3</v>
      </c>
      <c r="C826" s="3">
        <f t="shared" si="94"/>
        <v>45712</v>
      </c>
      <c r="D826" s="4">
        <f t="shared" ca="1" si="89"/>
        <v>159</v>
      </c>
      <c r="E826" s="2">
        <f t="shared" ca="1" si="90"/>
        <v>4196</v>
      </c>
      <c r="F826" s="2">
        <f t="shared" ca="1" si="91"/>
        <v>14804</v>
      </c>
      <c r="G826" s="2">
        <f t="shared" ca="1" si="92"/>
        <v>360</v>
      </c>
    </row>
    <row r="827" spans="1:7" x14ac:dyDescent="0.3">
      <c r="A827" s="5" t="str">
        <f t="shared" si="93"/>
        <v>Adidas</v>
      </c>
      <c r="B827" s="5" t="str">
        <f t="shared" si="88"/>
        <v>Samba</v>
      </c>
      <c r="C827" s="3">
        <f t="shared" si="94"/>
        <v>45713</v>
      </c>
      <c r="D827" s="4">
        <f t="shared" ca="1" si="89"/>
        <v>168</v>
      </c>
      <c r="E827" s="2">
        <f t="shared" ca="1" si="90"/>
        <v>5909</v>
      </c>
      <c r="F827" s="2">
        <f t="shared" ca="1" si="91"/>
        <v>9113</v>
      </c>
      <c r="G827" s="2">
        <f t="shared" ca="1" si="92"/>
        <v>479</v>
      </c>
    </row>
    <row r="828" spans="1:7" x14ac:dyDescent="0.3">
      <c r="A828" s="5" t="str">
        <f t="shared" si="93"/>
        <v>Puma</v>
      </c>
      <c r="B828" s="5" t="str">
        <f t="shared" si="88"/>
        <v>Mayze</v>
      </c>
      <c r="C828" s="3">
        <f t="shared" si="94"/>
        <v>45713</v>
      </c>
      <c r="D828" s="4">
        <f t="shared" ca="1" si="89"/>
        <v>133</v>
      </c>
      <c r="E828" s="2">
        <f t="shared" ca="1" si="90"/>
        <v>6692</v>
      </c>
      <c r="F828" s="2">
        <f t="shared" ca="1" si="91"/>
        <v>33535</v>
      </c>
      <c r="G828" s="2">
        <f t="shared" ca="1" si="92"/>
        <v>1641</v>
      </c>
    </row>
    <row r="829" spans="1:7" x14ac:dyDescent="0.3">
      <c r="A829" s="5" t="str">
        <f t="shared" si="93"/>
        <v>New Balance</v>
      </c>
      <c r="B829" s="5" t="str">
        <f t="shared" si="88"/>
        <v>574 Core</v>
      </c>
      <c r="C829" s="3">
        <f t="shared" si="94"/>
        <v>45713</v>
      </c>
      <c r="D829" s="4">
        <f t="shared" ca="1" si="89"/>
        <v>88</v>
      </c>
      <c r="E829" s="2">
        <f t="shared" ca="1" si="90"/>
        <v>9104</v>
      </c>
      <c r="F829" s="2">
        <f t="shared" ca="1" si="91"/>
        <v>10642</v>
      </c>
      <c r="G829" s="2">
        <f t="shared" ca="1" si="92"/>
        <v>636</v>
      </c>
    </row>
    <row r="830" spans="1:7" x14ac:dyDescent="0.3">
      <c r="A830" s="5" t="str">
        <f t="shared" si="93"/>
        <v>Reebok</v>
      </c>
      <c r="B830" s="5" t="str">
        <f t="shared" si="88"/>
        <v>Club C 85</v>
      </c>
      <c r="C830" s="3">
        <f t="shared" si="94"/>
        <v>45713</v>
      </c>
      <c r="D830" s="4">
        <f t="shared" ca="1" si="89"/>
        <v>42</v>
      </c>
      <c r="E830" s="2">
        <f t="shared" ca="1" si="90"/>
        <v>4559</v>
      </c>
      <c r="F830" s="2">
        <f t="shared" ca="1" si="91"/>
        <v>32669</v>
      </c>
      <c r="G830" s="2">
        <f t="shared" ca="1" si="92"/>
        <v>1275</v>
      </c>
    </row>
    <row r="831" spans="1:7" x14ac:dyDescent="0.3">
      <c r="A831" s="5" t="str">
        <f t="shared" si="93"/>
        <v>Nike</v>
      </c>
      <c r="B831" s="5" t="str">
        <f t="shared" si="88"/>
        <v>Pegasus 40</v>
      </c>
      <c r="C831" s="3">
        <f t="shared" si="94"/>
        <v>45713</v>
      </c>
      <c r="D831" s="4">
        <f t="shared" ca="1" si="89"/>
        <v>84</v>
      </c>
      <c r="E831" s="2">
        <f t="shared" ca="1" si="90"/>
        <v>1867</v>
      </c>
      <c r="F831" s="2">
        <f t="shared" ca="1" si="91"/>
        <v>22561</v>
      </c>
      <c r="G831" s="2">
        <f t="shared" ca="1" si="92"/>
        <v>662</v>
      </c>
    </row>
    <row r="832" spans="1:7" x14ac:dyDescent="0.3">
      <c r="A832" s="5" t="str">
        <f t="shared" si="93"/>
        <v>Adidas</v>
      </c>
      <c r="B832" s="5" t="str">
        <f t="shared" si="88"/>
        <v>Gazelle</v>
      </c>
      <c r="C832" s="3">
        <f t="shared" si="94"/>
        <v>45713</v>
      </c>
      <c r="D832" s="4">
        <f t="shared" ca="1" si="89"/>
        <v>67</v>
      </c>
      <c r="E832" s="2">
        <f t="shared" ca="1" si="90"/>
        <v>10242</v>
      </c>
      <c r="F832" s="2">
        <f t="shared" ca="1" si="91"/>
        <v>16436</v>
      </c>
      <c r="G832" s="2">
        <f t="shared" ca="1" si="92"/>
        <v>645</v>
      </c>
    </row>
    <row r="833" spans="1:7" x14ac:dyDescent="0.3">
      <c r="A833" s="5" t="str">
        <f t="shared" si="93"/>
        <v>Puma</v>
      </c>
      <c r="B833" s="5" t="str">
        <f t="shared" si="88"/>
        <v>Slipstream</v>
      </c>
      <c r="C833" s="3">
        <f t="shared" si="94"/>
        <v>45713</v>
      </c>
      <c r="D833" s="4">
        <f t="shared" ca="1" si="89"/>
        <v>216</v>
      </c>
      <c r="E833" s="2">
        <f t="shared" ca="1" si="90"/>
        <v>7393</v>
      </c>
      <c r="F833" s="2">
        <f t="shared" ca="1" si="91"/>
        <v>6764</v>
      </c>
      <c r="G833" s="2">
        <f t="shared" ca="1" si="92"/>
        <v>314</v>
      </c>
    </row>
    <row r="834" spans="1:7" x14ac:dyDescent="0.3">
      <c r="A834" s="5" t="str">
        <f t="shared" si="93"/>
        <v>New Balance</v>
      </c>
      <c r="B834" s="5" t="str">
        <f t="shared" si="88"/>
        <v>550</v>
      </c>
      <c r="C834" s="3">
        <f t="shared" si="94"/>
        <v>45713</v>
      </c>
      <c r="D834" s="4">
        <f t="shared" ca="1" si="89"/>
        <v>56</v>
      </c>
      <c r="E834" s="2">
        <f t="shared" ca="1" si="90"/>
        <v>8644</v>
      </c>
      <c r="F834" s="2">
        <f t="shared" ca="1" si="91"/>
        <v>6820</v>
      </c>
      <c r="G834" s="2">
        <f t="shared" ca="1" si="92"/>
        <v>486</v>
      </c>
    </row>
    <row r="835" spans="1:7" x14ac:dyDescent="0.3">
      <c r="A835" s="5" t="str">
        <f t="shared" si="93"/>
        <v>Reebok</v>
      </c>
      <c r="B835" s="5" t="str">
        <f t="shared" ref="B835:B898" si="95">IF(A835="Nike",CHOOSE(MOD(ROW(A834),6)+1,"Air Max 270","Air Force 1","Pegasus 40","Vaporfly 3","Cortez","Jordan 1"),
 IF(A835="Adidas",CHOOSE(MOD(ROW(A834),6)+1,"Ultraboost 23","Stan Smith","Superstar","Gazelle","Samba","NMD S1"),
 IF(A835="Puma",CHOOSE(MOD(ROW(A834),6)+1,"Suede Classic","RS-X","Cali Dream","Rider Vintage","Slipstream","Mayze"),
 IF(A835="New Balance",CHOOSE(MOD(ROW(A834),6)+1,"574 Core","990v6","2002R","9060","327","550"),
 IF(A835="Reebok",CHOOSE(MOD(ROW(A834),6)+1,"Classic Leather","Club C 85","Nano X3","Instapump Fury","Zig Kinetica","Question Mid"),"")))))</f>
        <v>Classic Leather</v>
      </c>
      <c r="C835" s="3">
        <f t="shared" si="94"/>
        <v>45713</v>
      </c>
      <c r="D835" s="4">
        <f t="shared" ref="D835:D898" ca="1" si="96">RANDBETWEEN(20,250)</f>
        <v>137</v>
      </c>
      <c r="E835" s="2">
        <f t="shared" ref="E835:E898" ca="1" si="97">ROUND(RANDBETWEEN(1500,12000)+(RANDBETWEEN(-200,200)),2)</f>
        <v>5135</v>
      </c>
      <c r="F835" s="2">
        <f t="shared" ref="F835:F898" ca="1" si="98">RANDBETWEEN(5000,35000)</f>
        <v>13935</v>
      </c>
      <c r="G835" s="2">
        <f t="shared" ref="G835:G898" ca="1" si="99">RANDBETWEEN(ROUND(F835*0.02,0),ROUND(F835*0.08,0))</f>
        <v>614</v>
      </c>
    </row>
    <row r="836" spans="1:7" x14ac:dyDescent="0.3">
      <c r="A836" s="5" t="str">
        <f t="shared" si="93"/>
        <v>Nike</v>
      </c>
      <c r="B836" s="5" t="str">
        <f t="shared" si="95"/>
        <v>Air Force 1</v>
      </c>
      <c r="C836" s="3">
        <f t="shared" si="94"/>
        <v>45713</v>
      </c>
      <c r="D836" s="4">
        <f t="shared" ca="1" si="96"/>
        <v>82</v>
      </c>
      <c r="E836" s="2">
        <f t="shared" ca="1" si="97"/>
        <v>3136</v>
      </c>
      <c r="F836" s="2">
        <f t="shared" ca="1" si="98"/>
        <v>19323</v>
      </c>
      <c r="G836" s="2">
        <f t="shared" ca="1" si="99"/>
        <v>1458</v>
      </c>
    </row>
    <row r="837" spans="1:7" x14ac:dyDescent="0.3">
      <c r="A837" s="5" t="str">
        <f t="shared" si="93"/>
        <v>Adidas</v>
      </c>
      <c r="B837" s="5" t="str">
        <f t="shared" si="95"/>
        <v>Superstar</v>
      </c>
      <c r="C837" s="3">
        <f t="shared" si="94"/>
        <v>45713</v>
      </c>
      <c r="D837" s="4">
        <f t="shared" ca="1" si="96"/>
        <v>35</v>
      </c>
      <c r="E837" s="2">
        <f t="shared" ca="1" si="97"/>
        <v>5426</v>
      </c>
      <c r="F837" s="2">
        <f t="shared" ca="1" si="98"/>
        <v>16494</v>
      </c>
      <c r="G837" s="2">
        <f t="shared" ca="1" si="99"/>
        <v>499</v>
      </c>
    </row>
    <row r="838" spans="1:7" x14ac:dyDescent="0.3">
      <c r="A838" s="5" t="str">
        <f t="shared" si="93"/>
        <v>Puma</v>
      </c>
      <c r="B838" s="5" t="str">
        <f t="shared" si="95"/>
        <v>Rider Vintage</v>
      </c>
      <c r="C838" s="3">
        <f t="shared" si="94"/>
        <v>45713</v>
      </c>
      <c r="D838" s="4">
        <f t="shared" ca="1" si="96"/>
        <v>87</v>
      </c>
      <c r="E838" s="2">
        <f t="shared" ca="1" si="97"/>
        <v>1920</v>
      </c>
      <c r="F838" s="2">
        <f t="shared" ca="1" si="98"/>
        <v>26540</v>
      </c>
      <c r="G838" s="2">
        <f t="shared" ca="1" si="99"/>
        <v>733</v>
      </c>
    </row>
    <row r="839" spans="1:7" x14ac:dyDescent="0.3">
      <c r="A839" s="5" t="str">
        <f t="shared" si="93"/>
        <v>New Balance</v>
      </c>
      <c r="B839" s="5" t="str">
        <f t="shared" si="95"/>
        <v>327</v>
      </c>
      <c r="C839" s="3">
        <f t="shared" si="94"/>
        <v>45713</v>
      </c>
      <c r="D839" s="4">
        <f t="shared" ca="1" si="96"/>
        <v>245</v>
      </c>
      <c r="E839" s="2">
        <f t="shared" ca="1" si="97"/>
        <v>6796</v>
      </c>
      <c r="F839" s="2">
        <f t="shared" ca="1" si="98"/>
        <v>17420</v>
      </c>
      <c r="G839" s="2">
        <f t="shared" ca="1" si="99"/>
        <v>1212</v>
      </c>
    </row>
    <row r="840" spans="1:7" x14ac:dyDescent="0.3">
      <c r="A840" s="5" t="str">
        <f t="shared" si="93"/>
        <v>Reebok</v>
      </c>
      <c r="B840" s="5" t="str">
        <f t="shared" si="95"/>
        <v>Question Mid</v>
      </c>
      <c r="C840" s="3">
        <f t="shared" si="94"/>
        <v>45713</v>
      </c>
      <c r="D840" s="4">
        <f t="shared" ca="1" si="96"/>
        <v>46</v>
      </c>
      <c r="E840" s="2">
        <f t="shared" ca="1" si="97"/>
        <v>11014</v>
      </c>
      <c r="F840" s="2">
        <f t="shared" ca="1" si="98"/>
        <v>7760</v>
      </c>
      <c r="G840" s="2">
        <f t="shared" ca="1" si="99"/>
        <v>508</v>
      </c>
    </row>
    <row r="841" spans="1:7" x14ac:dyDescent="0.3">
      <c r="A841" s="5" t="str">
        <f t="shared" si="93"/>
        <v>Nike</v>
      </c>
      <c r="B841" s="5" t="str">
        <f t="shared" si="95"/>
        <v>Air Max 270</v>
      </c>
      <c r="C841" s="3">
        <f t="shared" si="94"/>
        <v>45713</v>
      </c>
      <c r="D841" s="4">
        <f t="shared" ca="1" si="96"/>
        <v>214</v>
      </c>
      <c r="E841" s="2">
        <f t="shared" ca="1" si="97"/>
        <v>5658</v>
      </c>
      <c r="F841" s="2">
        <f t="shared" ca="1" si="98"/>
        <v>16022</v>
      </c>
      <c r="G841" s="2">
        <f t="shared" ca="1" si="99"/>
        <v>628</v>
      </c>
    </row>
    <row r="842" spans="1:7" x14ac:dyDescent="0.3">
      <c r="A842" s="5" t="str">
        <f t="shared" si="93"/>
        <v>Adidas</v>
      </c>
      <c r="B842" s="5" t="str">
        <f t="shared" si="95"/>
        <v>Stan Smith</v>
      </c>
      <c r="C842" s="3">
        <f t="shared" si="94"/>
        <v>45714</v>
      </c>
      <c r="D842" s="4">
        <f t="shared" ca="1" si="96"/>
        <v>34</v>
      </c>
      <c r="E842" s="2">
        <f t="shared" ca="1" si="97"/>
        <v>6924</v>
      </c>
      <c r="F842" s="2">
        <f t="shared" ca="1" si="98"/>
        <v>9114</v>
      </c>
      <c r="G842" s="2">
        <f t="shared" ca="1" si="99"/>
        <v>529</v>
      </c>
    </row>
    <row r="843" spans="1:7" x14ac:dyDescent="0.3">
      <c r="A843" s="5" t="str">
        <f t="shared" si="93"/>
        <v>Puma</v>
      </c>
      <c r="B843" s="5" t="str">
        <f t="shared" si="95"/>
        <v>Cali Dream</v>
      </c>
      <c r="C843" s="3">
        <f t="shared" si="94"/>
        <v>45714</v>
      </c>
      <c r="D843" s="4">
        <f t="shared" ca="1" si="96"/>
        <v>25</v>
      </c>
      <c r="E843" s="2">
        <f t="shared" ca="1" si="97"/>
        <v>8335</v>
      </c>
      <c r="F843" s="2">
        <f t="shared" ca="1" si="98"/>
        <v>34042</v>
      </c>
      <c r="G843" s="2">
        <f t="shared" ca="1" si="99"/>
        <v>2705</v>
      </c>
    </row>
    <row r="844" spans="1:7" x14ac:dyDescent="0.3">
      <c r="A844" s="5" t="str">
        <f t="shared" si="93"/>
        <v>New Balance</v>
      </c>
      <c r="B844" s="5" t="str">
        <f t="shared" si="95"/>
        <v>9060</v>
      </c>
      <c r="C844" s="3">
        <f t="shared" si="94"/>
        <v>45714</v>
      </c>
      <c r="D844" s="4">
        <f t="shared" ca="1" si="96"/>
        <v>91</v>
      </c>
      <c r="E844" s="2">
        <f t="shared" ca="1" si="97"/>
        <v>7920</v>
      </c>
      <c r="F844" s="2">
        <f t="shared" ca="1" si="98"/>
        <v>23384</v>
      </c>
      <c r="G844" s="2">
        <f t="shared" ca="1" si="99"/>
        <v>930</v>
      </c>
    </row>
    <row r="845" spans="1:7" x14ac:dyDescent="0.3">
      <c r="A845" s="5" t="str">
        <f t="shared" si="93"/>
        <v>Reebok</v>
      </c>
      <c r="B845" s="5" t="str">
        <f t="shared" si="95"/>
        <v>Zig Kinetica</v>
      </c>
      <c r="C845" s="3">
        <f t="shared" si="94"/>
        <v>45714</v>
      </c>
      <c r="D845" s="4">
        <f t="shared" ca="1" si="96"/>
        <v>46</v>
      </c>
      <c r="E845" s="2">
        <f t="shared" ca="1" si="97"/>
        <v>7953</v>
      </c>
      <c r="F845" s="2">
        <f t="shared" ca="1" si="98"/>
        <v>32803</v>
      </c>
      <c r="G845" s="2">
        <f t="shared" ca="1" si="99"/>
        <v>2353</v>
      </c>
    </row>
    <row r="846" spans="1:7" x14ac:dyDescent="0.3">
      <c r="A846" s="5" t="str">
        <f t="shared" si="93"/>
        <v>Nike</v>
      </c>
      <c r="B846" s="5" t="str">
        <f t="shared" si="95"/>
        <v>Jordan 1</v>
      </c>
      <c r="C846" s="3">
        <f t="shared" si="94"/>
        <v>45714</v>
      </c>
      <c r="D846" s="4">
        <f t="shared" ca="1" si="96"/>
        <v>235</v>
      </c>
      <c r="E846" s="2">
        <f t="shared" ca="1" si="97"/>
        <v>10117</v>
      </c>
      <c r="F846" s="2">
        <f t="shared" ca="1" si="98"/>
        <v>33061</v>
      </c>
      <c r="G846" s="2">
        <f t="shared" ca="1" si="99"/>
        <v>1855</v>
      </c>
    </row>
    <row r="847" spans="1:7" x14ac:dyDescent="0.3">
      <c r="A847" s="5" t="str">
        <f t="shared" si="93"/>
        <v>Adidas</v>
      </c>
      <c r="B847" s="5" t="str">
        <f t="shared" si="95"/>
        <v>Ultraboost 23</v>
      </c>
      <c r="C847" s="3">
        <f t="shared" si="94"/>
        <v>45714</v>
      </c>
      <c r="D847" s="4">
        <f t="shared" ca="1" si="96"/>
        <v>212</v>
      </c>
      <c r="E847" s="2">
        <f t="shared" ca="1" si="97"/>
        <v>3495</v>
      </c>
      <c r="F847" s="2">
        <f t="shared" ca="1" si="98"/>
        <v>26126</v>
      </c>
      <c r="G847" s="2">
        <f t="shared" ca="1" si="99"/>
        <v>1280</v>
      </c>
    </row>
    <row r="848" spans="1:7" x14ac:dyDescent="0.3">
      <c r="A848" s="5" t="str">
        <f t="shared" si="93"/>
        <v>Puma</v>
      </c>
      <c r="B848" s="5" t="str">
        <f t="shared" si="95"/>
        <v>RS-X</v>
      </c>
      <c r="C848" s="3">
        <f t="shared" si="94"/>
        <v>45714</v>
      </c>
      <c r="D848" s="4">
        <f t="shared" ca="1" si="96"/>
        <v>100</v>
      </c>
      <c r="E848" s="2">
        <f t="shared" ca="1" si="97"/>
        <v>9674</v>
      </c>
      <c r="F848" s="2">
        <f t="shared" ca="1" si="98"/>
        <v>18009</v>
      </c>
      <c r="G848" s="2">
        <f t="shared" ca="1" si="99"/>
        <v>556</v>
      </c>
    </row>
    <row r="849" spans="1:7" x14ac:dyDescent="0.3">
      <c r="A849" s="5" t="str">
        <f t="shared" si="93"/>
        <v>New Balance</v>
      </c>
      <c r="B849" s="5" t="str">
        <f t="shared" si="95"/>
        <v>2002R</v>
      </c>
      <c r="C849" s="3">
        <f t="shared" si="94"/>
        <v>45714</v>
      </c>
      <c r="D849" s="4">
        <f t="shared" ca="1" si="96"/>
        <v>58</v>
      </c>
      <c r="E849" s="2">
        <f t="shared" ca="1" si="97"/>
        <v>7126</v>
      </c>
      <c r="F849" s="2">
        <f t="shared" ca="1" si="98"/>
        <v>23432</v>
      </c>
      <c r="G849" s="2">
        <f t="shared" ca="1" si="99"/>
        <v>756</v>
      </c>
    </row>
    <row r="850" spans="1:7" x14ac:dyDescent="0.3">
      <c r="A850" s="5" t="str">
        <f t="shared" si="93"/>
        <v>Reebok</v>
      </c>
      <c r="B850" s="5" t="str">
        <f t="shared" si="95"/>
        <v>Instapump Fury</v>
      </c>
      <c r="C850" s="3">
        <f t="shared" si="94"/>
        <v>45714</v>
      </c>
      <c r="D850" s="4">
        <f t="shared" ca="1" si="96"/>
        <v>238</v>
      </c>
      <c r="E850" s="2">
        <f t="shared" ca="1" si="97"/>
        <v>3376</v>
      </c>
      <c r="F850" s="2">
        <f t="shared" ca="1" si="98"/>
        <v>18966</v>
      </c>
      <c r="G850" s="2">
        <f t="shared" ca="1" si="99"/>
        <v>954</v>
      </c>
    </row>
    <row r="851" spans="1:7" x14ac:dyDescent="0.3">
      <c r="A851" s="5" t="str">
        <f t="shared" si="93"/>
        <v>Nike</v>
      </c>
      <c r="B851" s="5" t="str">
        <f t="shared" si="95"/>
        <v>Cortez</v>
      </c>
      <c r="C851" s="3">
        <f t="shared" si="94"/>
        <v>45714</v>
      </c>
      <c r="D851" s="4">
        <f t="shared" ca="1" si="96"/>
        <v>122</v>
      </c>
      <c r="E851" s="2">
        <f t="shared" ca="1" si="97"/>
        <v>1961</v>
      </c>
      <c r="F851" s="2">
        <f t="shared" ca="1" si="98"/>
        <v>15003</v>
      </c>
      <c r="G851" s="2">
        <f t="shared" ca="1" si="99"/>
        <v>1010</v>
      </c>
    </row>
    <row r="852" spans="1:7" x14ac:dyDescent="0.3">
      <c r="A852" s="5" t="str">
        <f t="shared" si="93"/>
        <v>Adidas</v>
      </c>
      <c r="B852" s="5" t="str">
        <f t="shared" si="95"/>
        <v>NMD S1</v>
      </c>
      <c r="C852" s="3">
        <f t="shared" si="94"/>
        <v>45714</v>
      </c>
      <c r="D852" s="4">
        <f t="shared" ca="1" si="96"/>
        <v>243</v>
      </c>
      <c r="E852" s="2">
        <f t="shared" ca="1" si="97"/>
        <v>9781</v>
      </c>
      <c r="F852" s="2">
        <f t="shared" ca="1" si="98"/>
        <v>24705</v>
      </c>
      <c r="G852" s="2">
        <f t="shared" ca="1" si="99"/>
        <v>942</v>
      </c>
    </row>
    <row r="853" spans="1:7" x14ac:dyDescent="0.3">
      <c r="A853" s="5" t="str">
        <f t="shared" si="93"/>
        <v>Puma</v>
      </c>
      <c r="B853" s="5" t="str">
        <f t="shared" si="95"/>
        <v>Suede Classic</v>
      </c>
      <c r="C853" s="3">
        <f t="shared" si="94"/>
        <v>45714</v>
      </c>
      <c r="D853" s="4">
        <f t="shared" ca="1" si="96"/>
        <v>74</v>
      </c>
      <c r="E853" s="2">
        <f t="shared" ca="1" si="97"/>
        <v>4828</v>
      </c>
      <c r="F853" s="2">
        <f t="shared" ca="1" si="98"/>
        <v>6175</v>
      </c>
      <c r="G853" s="2">
        <f t="shared" ca="1" si="99"/>
        <v>136</v>
      </c>
    </row>
    <row r="854" spans="1:7" x14ac:dyDescent="0.3">
      <c r="A854" s="5" t="str">
        <f t="shared" si="93"/>
        <v>New Balance</v>
      </c>
      <c r="B854" s="5" t="str">
        <f t="shared" si="95"/>
        <v>990v6</v>
      </c>
      <c r="C854" s="3">
        <f t="shared" si="94"/>
        <v>45714</v>
      </c>
      <c r="D854" s="4">
        <f t="shared" ca="1" si="96"/>
        <v>34</v>
      </c>
      <c r="E854" s="2">
        <f t="shared" ca="1" si="97"/>
        <v>3223</v>
      </c>
      <c r="F854" s="2">
        <f t="shared" ca="1" si="98"/>
        <v>29355</v>
      </c>
      <c r="G854" s="2">
        <f t="shared" ca="1" si="99"/>
        <v>687</v>
      </c>
    </row>
    <row r="855" spans="1:7" x14ac:dyDescent="0.3">
      <c r="A855" s="5" t="str">
        <f t="shared" si="93"/>
        <v>Reebok</v>
      </c>
      <c r="B855" s="5" t="str">
        <f t="shared" si="95"/>
        <v>Nano X3</v>
      </c>
      <c r="C855" s="3">
        <f t="shared" si="94"/>
        <v>45714</v>
      </c>
      <c r="D855" s="4">
        <f t="shared" ca="1" si="96"/>
        <v>161</v>
      </c>
      <c r="E855" s="2">
        <f t="shared" ca="1" si="97"/>
        <v>10748</v>
      </c>
      <c r="F855" s="2">
        <f t="shared" ca="1" si="98"/>
        <v>19531</v>
      </c>
      <c r="G855" s="2">
        <f t="shared" ca="1" si="99"/>
        <v>442</v>
      </c>
    </row>
    <row r="856" spans="1:7" x14ac:dyDescent="0.3">
      <c r="A856" s="5" t="str">
        <f t="shared" si="93"/>
        <v>Nike</v>
      </c>
      <c r="B856" s="5" t="str">
        <f t="shared" si="95"/>
        <v>Vaporfly 3</v>
      </c>
      <c r="C856" s="3">
        <f t="shared" si="94"/>
        <v>45714</v>
      </c>
      <c r="D856" s="4">
        <f t="shared" ca="1" si="96"/>
        <v>67</v>
      </c>
      <c r="E856" s="2">
        <f t="shared" ca="1" si="97"/>
        <v>11151</v>
      </c>
      <c r="F856" s="2">
        <f t="shared" ca="1" si="98"/>
        <v>23605</v>
      </c>
      <c r="G856" s="2">
        <f t="shared" ca="1" si="99"/>
        <v>570</v>
      </c>
    </row>
    <row r="857" spans="1:7" x14ac:dyDescent="0.3">
      <c r="A857" s="5" t="str">
        <f t="shared" si="93"/>
        <v>Adidas</v>
      </c>
      <c r="B857" s="5" t="str">
        <f t="shared" si="95"/>
        <v>Samba</v>
      </c>
      <c r="C857" s="3">
        <f t="shared" si="94"/>
        <v>45715</v>
      </c>
      <c r="D857" s="4">
        <f t="shared" ca="1" si="96"/>
        <v>179</v>
      </c>
      <c r="E857" s="2">
        <f t="shared" ca="1" si="97"/>
        <v>3507</v>
      </c>
      <c r="F857" s="2">
        <f t="shared" ca="1" si="98"/>
        <v>27372</v>
      </c>
      <c r="G857" s="2">
        <f t="shared" ca="1" si="99"/>
        <v>1720</v>
      </c>
    </row>
    <row r="858" spans="1:7" x14ac:dyDescent="0.3">
      <c r="A858" s="5" t="str">
        <f t="shared" si="93"/>
        <v>Puma</v>
      </c>
      <c r="B858" s="5" t="str">
        <f t="shared" si="95"/>
        <v>Mayze</v>
      </c>
      <c r="C858" s="3">
        <f t="shared" si="94"/>
        <v>45715</v>
      </c>
      <c r="D858" s="4">
        <f t="shared" ca="1" si="96"/>
        <v>209</v>
      </c>
      <c r="E858" s="2">
        <f t="shared" ca="1" si="97"/>
        <v>9201</v>
      </c>
      <c r="F858" s="2">
        <f t="shared" ca="1" si="98"/>
        <v>8832</v>
      </c>
      <c r="G858" s="2">
        <f t="shared" ca="1" si="99"/>
        <v>203</v>
      </c>
    </row>
    <row r="859" spans="1:7" x14ac:dyDescent="0.3">
      <c r="A859" s="5" t="str">
        <f t="shared" si="93"/>
        <v>New Balance</v>
      </c>
      <c r="B859" s="5" t="str">
        <f t="shared" si="95"/>
        <v>574 Core</v>
      </c>
      <c r="C859" s="3">
        <f t="shared" si="94"/>
        <v>45715</v>
      </c>
      <c r="D859" s="4">
        <f t="shared" ca="1" si="96"/>
        <v>85</v>
      </c>
      <c r="E859" s="2">
        <f t="shared" ca="1" si="97"/>
        <v>7114</v>
      </c>
      <c r="F859" s="2">
        <f t="shared" ca="1" si="98"/>
        <v>11401</v>
      </c>
      <c r="G859" s="2">
        <f t="shared" ca="1" si="99"/>
        <v>826</v>
      </c>
    </row>
    <row r="860" spans="1:7" x14ac:dyDescent="0.3">
      <c r="A860" s="5" t="str">
        <f t="shared" si="93"/>
        <v>Reebok</v>
      </c>
      <c r="B860" s="5" t="str">
        <f t="shared" si="95"/>
        <v>Club C 85</v>
      </c>
      <c r="C860" s="3">
        <f t="shared" si="94"/>
        <v>45715</v>
      </c>
      <c r="D860" s="4">
        <f t="shared" ca="1" si="96"/>
        <v>204</v>
      </c>
      <c r="E860" s="2">
        <f t="shared" ca="1" si="97"/>
        <v>7902</v>
      </c>
      <c r="F860" s="2">
        <f t="shared" ca="1" si="98"/>
        <v>34350</v>
      </c>
      <c r="G860" s="2">
        <f t="shared" ca="1" si="99"/>
        <v>1443</v>
      </c>
    </row>
    <row r="861" spans="1:7" x14ac:dyDescent="0.3">
      <c r="A861" s="5" t="str">
        <f t="shared" si="93"/>
        <v>Nike</v>
      </c>
      <c r="B861" s="5" t="str">
        <f t="shared" si="95"/>
        <v>Pegasus 40</v>
      </c>
      <c r="C861" s="3">
        <f t="shared" si="94"/>
        <v>45715</v>
      </c>
      <c r="D861" s="4">
        <f t="shared" ca="1" si="96"/>
        <v>120</v>
      </c>
      <c r="E861" s="2">
        <f t="shared" ca="1" si="97"/>
        <v>3268</v>
      </c>
      <c r="F861" s="2">
        <f t="shared" ca="1" si="98"/>
        <v>31278</v>
      </c>
      <c r="G861" s="2">
        <f t="shared" ca="1" si="99"/>
        <v>2058</v>
      </c>
    </row>
    <row r="862" spans="1:7" x14ac:dyDescent="0.3">
      <c r="A862" s="5" t="str">
        <f t="shared" si="93"/>
        <v>Adidas</v>
      </c>
      <c r="B862" s="5" t="str">
        <f t="shared" si="95"/>
        <v>Gazelle</v>
      </c>
      <c r="C862" s="3">
        <f t="shared" si="94"/>
        <v>45715</v>
      </c>
      <c r="D862" s="4">
        <f t="shared" ca="1" si="96"/>
        <v>52</v>
      </c>
      <c r="E862" s="2">
        <f t="shared" ca="1" si="97"/>
        <v>5637</v>
      </c>
      <c r="F862" s="2">
        <f t="shared" ca="1" si="98"/>
        <v>10475</v>
      </c>
      <c r="G862" s="2">
        <f t="shared" ca="1" si="99"/>
        <v>454</v>
      </c>
    </row>
    <row r="863" spans="1:7" x14ac:dyDescent="0.3">
      <c r="A863" s="5" t="str">
        <f t="shared" si="93"/>
        <v>Puma</v>
      </c>
      <c r="B863" s="5" t="str">
        <f t="shared" si="95"/>
        <v>Slipstream</v>
      </c>
      <c r="C863" s="3">
        <f t="shared" si="94"/>
        <v>45715</v>
      </c>
      <c r="D863" s="4">
        <f t="shared" ca="1" si="96"/>
        <v>223</v>
      </c>
      <c r="E863" s="2">
        <f t="shared" ca="1" si="97"/>
        <v>4153</v>
      </c>
      <c r="F863" s="2">
        <f t="shared" ca="1" si="98"/>
        <v>22048</v>
      </c>
      <c r="G863" s="2">
        <f t="shared" ca="1" si="99"/>
        <v>583</v>
      </c>
    </row>
    <row r="864" spans="1:7" x14ac:dyDescent="0.3">
      <c r="A864" s="5" t="str">
        <f t="shared" si="93"/>
        <v>New Balance</v>
      </c>
      <c r="B864" s="5" t="str">
        <f t="shared" si="95"/>
        <v>550</v>
      </c>
      <c r="C864" s="3">
        <f t="shared" si="94"/>
        <v>45715</v>
      </c>
      <c r="D864" s="4">
        <f t="shared" ca="1" si="96"/>
        <v>177</v>
      </c>
      <c r="E864" s="2">
        <f t="shared" ca="1" si="97"/>
        <v>3825</v>
      </c>
      <c r="F864" s="2">
        <f t="shared" ca="1" si="98"/>
        <v>22926</v>
      </c>
      <c r="G864" s="2">
        <f t="shared" ca="1" si="99"/>
        <v>576</v>
      </c>
    </row>
    <row r="865" spans="1:7" x14ac:dyDescent="0.3">
      <c r="A865" s="5" t="str">
        <f t="shared" si="93"/>
        <v>Reebok</v>
      </c>
      <c r="B865" s="5" t="str">
        <f t="shared" si="95"/>
        <v>Classic Leather</v>
      </c>
      <c r="C865" s="3">
        <f t="shared" si="94"/>
        <v>45715</v>
      </c>
      <c r="D865" s="4">
        <f t="shared" ca="1" si="96"/>
        <v>179</v>
      </c>
      <c r="E865" s="2">
        <f t="shared" ca="1" si="97"/>
        <v>8787</v>
      </c>
      <c r="F865" s="2">
        <f t="shared" ca="1" si="98"/>
        <v>7203</v>
      </c>
      <c r="G865" s="2">
        <f t="shared" ca="1" si="99"/>
        <v>498</v>
      </c>
    </row>
    <row r="866" spans="1:7" x14ac:dyDescent="0.3">
      <c r="A866" s="5" t="str">
        <f t="shared" si="93"/>
        <v>Nike</v>
      </c>
      <c r="B866" s="5" t="str">
        <f t="shared" si="95"/>
        <v>Air Force 1</v>
      </c>
      <c r="C866" s="3">
        <f t="shared" si="94"/>
        <v>45715</v>
      </c>
      <c r="D866" s="4">
        <f t="shared" ca="1" si="96"/>
        <v>77</v>
      </c>
      <c r="E866" s="2">
        <f t="shared" ca="1" si="97"/>
        <v>7375</v>
      </c>
      <c r="F866" s="2">
        <f t="shared" ca="1" si="98"/>
        <v>23680</v>
      </c>
      <c r="G866" s="2">
        <f t="shared" ca="1" si="99"/>
        <v>1378</v>
      </c>
    </row>
    <row r="867" spans="1:7" x14ac:dyDescent="0.3">
      <c r="A867" s="5" t="str">
        <f t="shared" si="93"/>
        <v>Adidas</v>
      </c>
      <c r="B867" s="5" t="str">
        <f t="shared" si="95"/>
        <v>Superstar</v>
      </c>
      <c r="C867" s="3">
        <f t="shared" si="94"/>
        <v>45715</v>
      </c>
      <c r="D867" s="4">
        <f t="shared" ca="1" si="96"/>
        <v>237</v>
      </c>
      <c r="E867" s="2">
        <f t="shared" ca="1" si="97"/>
        <v>2736</v>
      </c>
      <c r="F867" s="2">
        <f t="shared" ca="1" si="98"/>
        <v>31826</v>
      </c>
      <c r="G867" s="2">
        <f t="shared" ca="1" si="99"/>
        <v>2074</v>
      </c>
    </row>
    <row r="868" spans="1:7" x14ac:dyDescent="0.3">
      <c r="A868" s="5" t="str">
        <f t="shared" si="93"/>
        <v>Puma</v>
      </c>
      <c r="B868" s="5" t="str">
        <f t="shared" si="95"/>
        <v>Rider Vintage</v>
      </c>
      <c r="C868" s="3">
        <f t="shared" si="94"/>
        <v>45715</v>
      </c>
      <c r="D868" s="4">
        <f t="shared" ca="1" si="96"/>
        <v>68</v>
      </c>
      <c r="E868" s="2">
        <f t="shared" ca="1" si="97"/>
        <v>1379</v>
      </c>
      <c r="F868" s="2">
        <f t="shared" ca="1" si="98"/>
        <v>27993</v>
      </c>
      <c r="G868" s="2">
        <f t="shared" ca="1" si="99"/>
        <v>1403</v>
      </c>
    </row>
    <row r="869" spans="1:7" x14ac:dyDescent="0.3">
      <c r="A869" s="5" t="str">
        <f t="shared" si="93"/>
        <v>New Balance</v>
      </c>
      <c r="B869" s="5" t="str">
        <f t="shared" si="95"/>
        <v>327</v>
      </c>
      <c r="C869" s="3">
        <f t="shared" si="94"/>
        <v>45715</v>
      </c>
      <c r="D869" s="4">
        <f t="shared" ca="1" si="96"/>
        <v>198</v>
      </c>
      <c r="E869" s="2">
        <f t="shared" ca="1" si="97"/>
        <v>2426</v>
      </c>
      <c r="F869" s="2">
        <f t="shared" ca="1" si="98"/>
        <v>34072</v>
      </c>
      <c r="G869" s="2">
        <f t="shared" ca="1" si="99"/>
        <v>689</v>
      </c>
    </row>
    <row r="870" spans="1:7" x14ac:dyDescent="0.3">
      <c r="A870" s="5" t="str">
        <f t="shared" si="93"/>
        <v>Reebok</v>
      </c>
      <c r="B870" s="5" t="str">
        <f t="shared" si="95"/>
        <v>Question Mid</v>
      </c>
      <c r="C870" s="3">
        <f t="shared" si="94"/>
        <v>45715</v>
      </c>
      <c r="D870" s="4">
        <f t="shared" ca="1" si="96"/>
        <v>238</v>
      </c>
      <c r="E870" s="2">
        <f t="shared" ca="1" si="97"/>
        <v>11670</v>
      </c>
      <c r="F870" s="2">
        <f t="shared" ca="1" si="98"/>
        <v>18196</v>
      </c>
      <c r="G870" s="2">
        <f t="shared" ca="1" si="99"/>
        <v>556</v>
      </c>
    </row>
    <row r="871" spans="1:7" x14ac:dyDescent="0.3">
      <c r="A871" s="5" t="str">
        <f t="shared" si="93"/>
        <v>Nike</v>
      </c>
      <c r="B871" s="5" t="str">
        <f t="shared" si="95"/>
        <v>Air Max 270</v>
      </c>
      <c r="C871" s="3">
        <f t="shared" si="94"/>
        <v>45715</v>
      </c>
      <c r="D871" s="4">
        <f t="shared" ca="1" si="96"/>
        <v>220</v>
      </c>
      <c r="E871" s="2">
        <f t="shared" ca="1" si="97"/>
        <v>5727</v>
      </c>
      <c r="F871" s="2">
        <f t="shared" ca="1" si="98"/>
        <v>11355</v>
      </c>
      <c r="G871" s="2">
        <f t="shared" ca="1" si="99"/>
        <v>663</v>
      </c>
    </row>
    <row r="872" spans="1:7" x14ac:dyDescent="0.3">
      <c r="A872" s="5" t="str">
        <f t="shared" si="93"/>
        <v>Adidas</v>
      </c>
      <c r="B872" s="5" t="str">
        <f t="shared" si="95"/>
        <v>Stan Smith</v>
      </c>
      <c r="C872" s="3">
        <f t="shared" si="94"/>
        <v>45716</v>
      </c>
      <c r="D872" s="4">
        <f t="shared" ca="1" si="96"/>
        <v>218</v>
      </c>
      <c r="E872" s="2">
        <f t="shared" ca="1" si="97"/>
        <v>5923</v>
      </c>
      <c r="F872" s="2">
        <f t="shared" ca="1" si="98"/>
        <v>12856</v>
      </c>
      <c r="G872" s="2">
        <f t="shared" ca="1" si="99"/>
        <v>809</v>
      </c>
    </row>
    <row r="873" spans="1:7" x14ac:dyDescent="0.3">
      <c r="A873" s="5" t="str">
        <f t="shared" si="93"/>
        <v>Puma</v>
      </c>
      <c r="B873" s="5" t="str">
        <f t="shared" si="95"/>
        <v>Cali Dream</v>
      </c>
      <c r="C873" s="3">
        <f t="shared" si="94"/>
        <v>45716</v>
      </c>
      <c r="D873" s="4">
        <f t="shared" ca="1" si="96"/>
        <v>54</v>
      </c>
      <c r="E873" s="2">
        <f t="shared" ca="1" si="97"/>
        <v>6097</v>
      </c>
      <c r="F873" s="2">
        <f t="shared" ca="1" si="98"/>
        <v>30047</v>
      </c>
      <c r="G873" s="2">
        <f t="shared" ca="1" si="99"/>
        <v>1892</v>
      </c>
    </row>
    <row r="874" spans="1:7" x14ac:dyDescent="0.3">
      <c r="A874" s="5" t="str">
        <f t="shared" si="93"/>
        <v>New Balance</v>
      </c>
      <c r="B874" s="5" t="str">
        <f t="shared" si="95"/>
        <v>9060</v>
      </c>
      <c r="C874" s="3">
        <f t="shared" si="94"/>
        <v>45716</v>
      </c>
      <c r="D874" s="4">
        <f t="shared" ca="1" si="96"/>
        <v>72</v>
      </c>
      <c r="E874" s="2">
        <f t="shared" ca="1" si="97"/>
        <v>9400</v>
      </c>
      <c r="F874" s="2">
        <f t="shared" ca="1" si="98"/>
        <v>17054</v>
      </c>
      <c r="G874" s="2">
        <f t="shared" ca="1" si="99"/>
        <v>1208</v>
      </c>
    </row>
    <row r="875" spans="1:7" x14ac:dyDescent="0.3">
      <c r="A875" s="5" t="str">
        <f t="shared" ref="A875:A938" si="100">CHOOSE(MOD(ROW(A874),5)+1,"Nike","Adidas","Puma","New Balance","Reebok")</f>
        <v>Reebok</v>
      </c>
      <c r="B875" s="5" t="str">
        <f t="shared" si="95"/>
        <v>Zig Kinetica</v>
      </c>
      <c r="C875" s="3">
        <f t="shared" ref="C875:C938" si="101">DATE(2025,1,1)+INT((ROW(A875)-2)/15)</f>
        <v>45716</v>
      </c>
      <c r="D875" s="4">
        <f t="shared" ca="1" si="96"/>
        <v>24</v>
      </c>
      <c r="E875" s="2">
        <f t="shared" ca="1" si="97"/>
        <v>8756</v>
      </c>
      <c r="F875" s="2">
        <f t="shared" ca="1" si="98"/>
        <v>9050</v>
      </c>
      <c r="G875" s="2">
        <f t="shared" ca="1" si="99"/>
        <v>519</v>
      </c>
    </row>
    <row r="876" spans="1:7" x14ac:dyDescent="0.3">
      <c r="A876" s="5" t="str">
        <f t="shared" si="100"/>
        <v>Nike</v>
      </c>
      <c r="B876" s="5" t="str">
        <f t="shared" si="95"/>
        <v>Jordan 1</v>
      </c>
      <c r="C876" s="3">
        <f t="shared" si="101"/>
        <v>45716</v>
      </c>
      <c r="D876" s="4">
        <f t="shared" ca="1" si="96"/>
        <v>149</v>
      </c>
      <c r="E876" s="2">
        <f t="shared" ca="1" si="97"/>
        <v>4345</v>
      </c>
      <c r="F876" s="2">
        <f t="shared" ca="1" si="98"/>
        <v>34280</v>
      </c>
      <c r="G876" s="2">
        <f t="shared" ca="1" si="99"/>
        <v>1452</v>
      </c>
    </row>
    <row r="877" spans="1:7" x14ac:dyDescent="0.3">
      <c r="A877" s="5" t="str">
        <f t="shared" si="100"/>
        <v>Adidas</v>
      </c>
      <c r="B877" s="5" t="str">
        <f t="shared" si="95"/>
        <v>Ultraboost 23</v>
      </c>
      <c r="C877" s="3">
        <f t="shared" si="101"/>
        <v>45716</v>
      </c>
      <c r="D877" s="4">
        <f t="shared" ca="1" si="96"/>
        <v>101</v>
      </c>
      <c r="E877" s="2">
        <f t="shared" ca="1" si="97"/>
        <v>3309</v>
      </c>
      <c r="F877" s="2">
        <f t="shared" ca="1" si="98"/>
        <v>21780</v>
      </c>
      <c r="G877" s="2">
        <f t="shared" ca="1" si="99"/>
        <v>656</v>
      </c>
    </row>
    <row r="878" spans="1:7" x14ac:dyDescent="0.3">
      <c r="A878" s="5" t="str">
        <f t="shared" si="100"/>
        <v>Puma</v>
      </c>
      <c r="B878" s="5" t="str">
        <f t="shared" si="95"/>
        <v>RS-X</v>
      </c>
      <c r="C878" s="3">
        <f t="shared" si="101"/>
        <v>45716</v>
      </c>
      <c r="D878" s="4">
        <f t="shared" ca="1" si="96"/>
        <v>76</v>
      </c>
      <c r="E878" s="2">
        <f t="shared" ca="1" si="97"/>
        <v>10879</v>
      </c>
      <c r="F878" s="2">
        <f t="shared" ca="1" si="98"/>
        <v>25139</v>
      </c>
      <c r="G878" s="2">
        <f t="shared" ca="1" si="99"/>
        <v>1007</v>
      </c>
    </row>
    <row r="879" spans="1:7" x14ac:dyDescent="0.3">
      <c r="A879" s="5" t="str">
        <f t="shared" si="100"/>
        <v>New Balance</v>
      </c>
      <c r="B879" s="5" t="str">
        <f t="shared" si="95"/>
        <v>2002R</v>
      </c>
      <c r="C879" s="3">
        <f t="shared" si="101"/>
        <v>45716</v>
      </c>
      <c r="D879" s="4">
        <f t="shared" ca="1" si="96"/>
        <v>77</v>
      </c>
      <c r="E879" s="2">
        <f t="shared" ca="1" si="97"/>
        <v>10886</v>
      </c>
      <c r="F879" s="2">
        <f t="shared" ca="1" si="98"/>
        <v>32414</v>
      </c>
      <c r="G879" s="2">
        <f t="shared" ca="1" si="99"/>
        <v>2322</v>
      </c>
    </row>
    <row r="880" spans="1:7" x14ac:dyDescent="0.3">
      <c r="A880" s="5" t="str">
        <f t="shared" si="100"/>
        <v>Reebok</v>
      </c>
      <c r="B880" s="5" t="str">
        <f t="shared" si="95"/>
        <v>Instapump Fury</v>
      </c>
      <c r="C880" s="3">
        <f t="shared" si="101"/>
        <v>45716</v>
      </c>
      <c r="D880" s="4">
        <f t="shared" ca="1" si="96"/>
        <v>39</v>
      </c>
      <c r="E880" s="2">
        <f t="shared" ca="1" si="97"/>
        <v>6190</v>
      </c>
      <c r="F880" s="2">
        <f t="shared" ca="1" si="98"/>
        <v>31856</v>
      </c>
      <c r="G880" s="2">
        <f t="shared" ca="1" si="99"/>
        <v>1414</v>
      </c>
    </row>
    <row r="881" spans="1:7" x14ac:dyDescent="0.3">
      <c r="A881" s="5" t="str">
        <f t="shared" si="100"/>
        <v>Nike</v>
      </c>
      <c r="B881" s="5" t="str">
        <f t="shared" si="95"/>
        <v>Cortez</v>
      </c>
      <c r="C881" s="3">
        <f t="shared" si="101"/>
        <v>45716</v>
      </c>
      <c r="D881" s="4">
        <f t="shared" ca="1" si="96"/>
        <v>197</v>
      </c>
      <c r="E881" s="2">
        <f t="shared" ca="1" si="97"/>
        <v>11090</v>
      </c>
      <c r="F881" s="2">
        <f t="shared" ca="1" si="98"/>
        <v>7185</v>
      </c>
      <c r="G881" s="2">
        <f t="shared" ca="1" si="99"/>
        <v>365</v>
      </c>
    </row>
    <row r="882" spans="1:7" x14ac:dyDescent="0.3">
      <c r="A882" s="5" t="str">
        <f t="shared" si="100"/>
        <v>Adidas</v>
      </c>
      <c r="B882" s="5" t="str">
        <f t="shared" si="95"/>
        <v>NMD S1</v>
      </c>
      <c r="C882" s="3">
        <f t="shared" si="101"/>
        <v>45716</v>
      </c>
      <c r="D882" s="4">
        <f t="shared" ca="1" si="96"/>
        <v>103</v>
      </c>
      <c r="E882" s="2">
        <f t="shared" ca="1" si="97"/>
        <v>7315</v>
      </c>
      <c r="F882" s="2">
        <f t="shared" ca="1" si="98"/>
        <v>16724</v>
      </c>
      <c r="G882" s="2">
        <f t="shared" ca="1" si="99"/>
        <v>839</v>
      </c>
    </row>
    <row r="883" spans="1:7" x14ac:dyDescent="0.3">
      <c r="A883" s="5" t="str">
        <f t="shared" si="100"/>
        <v>Puma</v>
      </c>
      <c r="B883" s="5" t="str">
        <f t="shared" si="95"/>
        <v>Suede Classic</v>
      </c>
      <c r="C883" s="3">
        <f t="shared" si="101"/>
        <v>45716</v>
      </c>
      <c r="D883" s="4">
        <f t="shared" ca="1" si="96"/>
        <v>100</v>
      </c>
      <c r="E883" s="2">
        <f t="shared" ca="1" si="97"/>
        <v>6993</v>
      </c>
      <c r="F883" s="2">
        <f t="shared" ca="1" si="98"/>
        <v>29680</v>
      </c>
      <c r="G883" s="2">
        <f t="shared" ca="1" si="99"/>
        <v>2202</v>
      </c>
    </row>
    <row r="884" spans="1:7" x14ac:dyDescent="0.3">
      <c r="A884" s="5" t="str">
        <f t="shared" si="100"/>
        <v>New Balance</v>
      </c>
      <c r="B884" s="5" t="str">
        <f t="shared" si="95"/>
        <v>990v6</v>
      </c>
      <c r="C884" s="3">
        <f t="shared" si="101"/>
        <v>45716</v>
      </c>
      <c r="D884" s="4">
        <f t="shared" ca="1" si="96"/>
        <v>80</v>
      </c>
      <c r="E884" s="2">
        <f t="shared" ca="1" si="97"/>
        <v>4808</v>
      </c>
      <c r="F884" s="2">
        <f t="shared" ca="1" si="98"/>
        <v>15368</v>
      </c>
      <c r="G884" s="2">
        <f t="shared" ca="1" si="99"/>
        <v>1034</v>
      </c>
    </row>
    <row r="885" spans="1:7" x14ac:dyDescent="0.3">
      <c r="A885" s="5" t="str">
        <f t="shared" si="100"/>
        <v>Reebok</v>
      </c>
      <c r="B885" s="5" t="str">
        <f t="shared" si="95"/>
        <v>Nano X3</v>
      </c>
      <c r="C885" s="3">
        <f t="shared" si="101"/>
        <v>45716</v>
      </c>
      <c r="D885" s="4">
        <f t="shared" ca="1" si="96"/>
        <v>41</v>
      </c>
      <c r="E885" s="2">
        <f t="shared" ca="1" si="97"/>
        <v>2263</v>
      </c>
      <c r="F885" s="2">
        <f t="shared" ca="1" si="98"/>
        <v>31957</v>
      </c>
      <c r="G885" s="2">
        <f t="shared" ca="1" si="99"/>
        <v>995</v>
      </c>
    </row>
    <row r="886" spans="1:7" x14ac:dyDescent="0.3">
      <c r="A886" s="5" t="str">
        <f t="shared" si="100"/>
        <v>Nike</v>
      </c>
      <c r="B886" s="5" t="str">
        <f t="shared" si="95"/>
        <v>Vaporfly 3</v>
      </c>
      <c r="C886" s="3">
        <f t="shared" si="101"/>
        <v>45716</v>
      </c>
      <c r="D886" s="4">
        <f t="shared" ca="1" si="96"/>
        <v>62</v>
      </c>
      <c r="E886" s="2">
        <f t="shared" ca="1" si="97"/>
        <v>2628</v>
      </c>
      <c r="F886" s="2">
        <f t="shared" ca="1" si="98"/>
        <v>26680</v>
      </c>
      <c r="G886" s="2">
        <f t="shared" ca="1" si="99"/>
        <v>1528</v>
      </c>
    </row>
    <row r="887" spans="1:7" x14ac:dyDescent="0.3">
      <c r="A887" s="5" t="str">
        <f t="shared" si="100"/>
        <v>Adidas</v>
      </c>
      <c r="B887" s="5" t="str">
        <f t="shared" si="95"/>
        <v>Samba</v>
      </c>
      <c r="C887" s="3">
        <f t="shared" si="101"/>
        <v>45717</v>
      </c>
      <c r="D887" s="4">
        <f t="shared" ca="1" si="96"/>
        <v>109</v>
      </c>
      <c r="E887" s="2">
        <f t="shared" ca="1" si="97"/>
        <v>4570</v>
      </c>
      <c r="F887" s="2">
        <f t="shared" ca="1" si="98"/>
        <v>13332</v>
      </c>
      <c r="G887" s="2">
        <f t="shared" ca="1" si="99"/>
        <v>363</v>
      </c>
    </row>
    <row r="888" spans="1:7" x14ac:dyDescent="0.3">
      <c r="A888" s="5" t="str">
        <f t="shared" si="100"/>
        <v>Puma</v>
      </c>
      <c r="B888" s="5" t="str">
        <f t="shared" si="95"/>
        <v>Mayze</v>
      </c>
      <c r="C888" s="3">
        <f t="shared" si="101"/>
        <v>45717</v>
      </c>
      <c r="D888" s="4">
        <f t="shared" ca="1" si="96"/>
        <v>203</v>
      </c>
      <c r="E888" s="2">
        <f t="shared" ca="1" si="97"/>
        <v>8048</v>
      </c>
      <c r="F888" s="2">
        <f t="shared" ca="1" si="98"/>
        <v>29867</v>
      </c>
      <c r="G888" s="2">
        <f t="shared" ca="1" si="99"/>
        <v>2052</v>
      </c>
    </row>
    <row r="889" spans="1:7" x14ac:dyDescent="0.3">
      <c r="A889" s="5" t="str">
        <f t="shared" si="100"/>
        <v>New Balance</v>
      </c>
      <c r="B889" s="5" t="str">
        <f t="shared" si="95"/>
        <v>574 Core</v>
      </c>
      <c r="C889" s="3">
        <f t="shared" si="101"/>
        <v>45717</v>
      </c>
      <c r="D889" s="4">
        <f t="shared" ca="1" si="96"/>
        <v>187</v>
      </c>
      <c r="E889" s="2">
        <f t="shared" ca="1" si="97"/>
        <v>7191</v>
      </c>
      <c r="F889" s="2">
        <f t="shared" ca="1" si="98"/>
        <v>34909</v>
      </c>
      <c r="G889" s="2">
        <f t="shared" ca="1" si="99"/>
        <v>1679</v>
      </c>
    </row>
    <row r="890" spans="1:7" x14ac:dyDescent="0.3">
      <c r="A890" s="5" t="str">
        <f t="shared" si="100"/>
        <v>Reebok</v>
      </c>
      <c r="B890" s="5" t="str">
        <f t="shared" si="95"/>
        <v>Club C 85</v>
      </c>
      <c r="C890" s="3">
        <f t="shared" si="101"/>
        <v>45717</v>
      </c>
      <c r="D890" s="4">
        <f t="shared" ca="1" si="96"/>
        <v>216</v>
      </c>
      <c r="E890" s="2">
        <f t="shared" ca="1" si="97"/>
        <v>5118</v>
      </c>
      <c r="F890" s="2">
        <f t="shared" ca="1" si="98"/>
        <v>5633</v>
      </c>
      <c r="G890" s="2">
        <f t="shared" ca="1" si="99"/>
        <v>445</v>
      </c>
    </row>
    <row r="891" spans="1:7" x14ac:dyDescent="0.3">
      <c r="A891" s="5" t="str">
        <f t="shared" si="100"/>
        <v>Nike</v>
      </c>
      <c r="B891" s="5" t="str">
        <f t="shared" si="95"/>
        <v>Pegasus 40</v>
      </c>
      <c r="C891" s="3">
        <f t="shared" si="101"/>
        <v>45717</v>
      </c>
      <c r="D891" s="4">
        <f t="shared" ca="1" si="96"/>
        <v>240</v>
      </c>
      <c r="E891" s="2">
        <f t="shared" ca="1" si="97"/>
        <v>6203</v>
      </c>
      <c r="F891" s="2">
        <f t="shared" ca="1" si="98"/>
        <v>8882</v>
      </c>
      <c r="G891" s="2">
        <f t="shared" ca="1" si="99"/>
        <v>588</v>
      </c>
    </row>
    <row r="892" spans="1:7" x14ac:dyDescent="0.3">
      <c r="A892" s="5" t="str">
        <f t="shared" si="100"/>
        <v>Adidas</v>
      </c>
      <c r="B892" s="5" t="str">
        <f t="shared" si="95"/>
        <v>Gazelle</v>
      </c>
      <c r="C892" s="3">
        <f t="shared" si="101"/>
        <v>45717</v>
      </c>
      <c r="D892" s="4">
        <f t="shared" ca="1" si="96"/>
        <v>24</v>
      </c>
      <c r="E892" s="2">
        <f t="shared" ca="1" si="97"/>
        <v>2427</v>
      </c>
      <c r="F892" s="2">
        <f t="shared" ca="1" si="98"/>
        <v>29744</v>
      </c>
      <c r="G892" s="2">
        <f t="shared" ca="1" si="99"/>
        <v>1567</v>
      </c>
    </row>
    <row r="893" spans="1:7" x14ac:dyDescent="0.3">
      <c r="A893" s="5" t="str">
        <f t="shared" si="100"/>
        <v>Puma</v>
      </c>
      <c r="B893" s="5" t="str">
        <f t="shared" si="95"/>
        <v>Slipstream</v>
      </c>
      <c r="C893" s="3">
        <f t="shared" si="101"/>
        <v>45717</v>
      </c>
      <c r="D893" s="4">
        <f t="shared" ca="1" si="96"/>
        <v>192</v>
      </c>
      <c r="E893" s="2">
        <f t="shared" ca="1" si="97"/>
        <v>1849</v>
      </c>
      <c r="F893" s="2">
        <f t="shared" ca="1" si="98"/>
        <v>20742</v>
      </c>
      <c r="G893" s="2">
        <f t="shared" ca="1" si="99"/>
        <v>619</v>
      </c>
    </row>
    <row r="894" spans="1:7" x14ac:dyDescent="0.3">
      <c r="A894" s="5" t="str">
        <f t="shared" si="100"/>
        <v>New Balance</v>
      </c>
      <c r="B894" s="5" t="str">
        <f t="shared" si="95"/>
        <v>550</v>
      </c>
      <c r="C894" s="3">
        <f t="shared" si="101"/>
        <v>45717</v>
      </c>
      <c r="D894" s="4">
        <f t="shared" ca="1" si="96"/>
        <v>52</v>
      </c>
      <c r="E894" s="2">
        <f t="shared" ca="1" si="97"/>
        <v>8175</v>
      </c>
      <c r="F894" s="2">
        <f t="shared" ca="1" si="98"/>
        <v>12250</v>
      </c>
      <c r="G894" s="2">
        <f t="shared" ca="1" si="99"/>
        <v>971</v>
      </c>
    </row>
    <row r="895" spans="1:7" x14ac:dyDescent="0.3">
      <c r="A895" s="5" t="str">
        <f t="shared" si="100"/>
        <v>Reebok</v>
      </c>
      <c r="B895" s="5" t="str">
        <f t="shared" si="95"/>
        <v>Classic Leather</v>
      </c>
      <c r="C895" s="3">
        <f t="shared" si="101"/>
        <v>45717</v>
      </c>
      <c r="D895" s="4">
        <f t="shared" ca="1" si="96"/>
        <v>199</v>
      </c>
      <c r="E895" s="2">
        <f t="shared" ca="1" si="97"/>
        <v>10223</v>
      </c>
      <c r="F895" s="2">
        <f t="shared" ca="1" si="98"/>
        <v>21523</v>
      </c>
      <c r="G895" s="2">
        <f t="shared" ca="1" si="99"/>
        <v>924</v>
      </c>
    </row>
    <row r="896" spans="1:7" x14ac:dyDescent="0.3">
      <c r="A896" s="5" t="str">
        <f t="shared" si="100"/>
        <v>Nike</v>
      </c>
      <c r="B896" s="5" t="str">
        <f t="shared" si="95"/>
        <v>Air Force 1</v>
      </c>
      <c r="C896" s="3">
        <f t="shared" si="101"/>
        <v>45717</v>
      </c>
      <c r="D896" s="4">
        <f t="shared" ca="1" si="96"/>
        <v>100</v>
      </c>
      <c r="E896" s="2">
        <f t="shared" ca="1" si="97"/>
        <v>4315</v>
      </c>
      <c r="F896" s="2">
        <f t="shared" ca="1" si="98"/>
        <v>6317</v>
      </c>
      <c r="G896" s="2">
        <f t="shared" ca="1" si="99"/>
        <v>182</v>
      </c>
    </row>
    <row r="897" spans="1:7" x14ac:dyDescent="0.3">
      <c r="A897" s="5" t="str">
        <f t="shared" si="100"/>
        <v>Adidas</v>
      </c>
      <c r="B897" s="5" t="str">
        <f t="shared" si="95"/>
        <v>Superstar</v>
      </c>
      <c r="C897" s="3">
        <f t="shared" si="101"/>
        <v>45717</v>
      </c>
      <c r="D897" s="4">
        <f t="shared" ca="1" si="96"/>
        <v>231</v>
      </c>
      <c r="E897" s="2">
        <f t="shared" ca="1" si="97"/>
        <v>3237</v>
      </c>
      <c r="F897" s="2">
        <f t="shared" ca="1" si="98"/>
        <v>16225</v>
      </c>
      <c r="G897" s="2">
        <f t="shared" ca="1" si="99"/>
        <v>849</v>
      </c>
    </row>
    <row r="898" spans="1:7" x14ac:dyDescent="0.3">
      <c r="A898" s="5" t="str">
        <f t="shared" si="100"/>
        <v>Puma</v>
      </c>
      <c r="B898" s="5" t="str">
        <f t="shared" si="95"/>
        <v>Rider Vintage</v>
      </c>
      <c r="C898" s="3">
        <f t="shared" si="101"/>
        <v>45717</v>
      </c>
      <c r="D898" s="4">
        <f t="shared" ca="1" si="96"/>
        <v>156</v>
      </c>
      <c r="E898" s="2">
        <f t="shared" ca="1" si="97"/>
        <v>4052</v>
      </c>
      <c r="F898" s="2">
        <f t="shared" ca="1" si="98"/>
        <v>20895</v>
      </c>
      <c r="G898" s="2">
        <f t="shared" ca="1" si="99"/>
        <v>1008</v>
      </c>
    </row>
    <row r="899" spans="1:7" x14ac:dyDescent="0.3">
      <c r="A899" s="5" t="str">
        <f t="shared" si="100"/>
        <v>New Balance</v>
      </c>
      <c r="B899" s="5" t="str">
        <f t="shared" ref="B899:B962" si="102">IF(A899="Nike",CHOOSE(MOD(ROW(A898),6)+1,"Air Max 270","Air Force 1","Pegasus 40","Vaporfly 3","Cortez","Jordan 1"),
 IF(A899="Adidas",CHOOSE(MOD(ROW(A898),6)+1,"Ultraboost 23","Stan Smith","Superstar","Gazelle","Samba","NMD S1"),
 IF(A899="Puma",CHOOSE(MOD(ROW(A898),6)+1,"Suede Classic","RS-X","Cali Dream","Rider Vintage","Slipstream","Mayze"),
 IF(A899="New Balance",CHOOSE(MOD(ROW(A898),6)+1,"574 Core","990v6","2002R","9060","327","550"),
 IF(A899="Reebok",CHOOSE(MOD(ROW(A898),6)+1,"Classic Leather","Club C 85","Nano X3","Instapump Fury","Zig Kinetica","Question Mid"),"")))))</f>
        <v>327</v>
      </c>
      <c r="C899" s="3">
        <f t="shared" si="101"/>
        <v>45717</v>
      </c>
      <c r="D899" s="4">
        <f t="shared" ref="D899:D962" ca="1" si="103">RANDBETWEEN(20,250)</f>
        <v>210</v>
      </c>
      <c r="E899" s="2">
        <f t="shared" ref="E899:E962" ca="1" si="104">ROUND(RANDBETWEEN(1500,12000)+(RANDBETWEEN(-200,200)),2)</f>
        <v>10436</v>
      </c>
      <c r="F899" s="2">
        <f t="shared" ref="F899:F962" ca="1" si="105">RANDBETWEEN(5000,35000)</f>
        <v>12865</v>
      </c>
      <c r="G899" s="2">
        <f t="shared" ref="G899:G962" ca="1" si="106">RANDBETWEEN(ROUND(F899*0.02,0),ROUND(F899*0.08,0))</f>
        <v>633</v>
      </c>
    </row>
    <row r="900" spans="1:7" x14ac:dyDescent="0.3">
      <c r="A900" s="5" t="str">
        <f t="shared" si="100"/>
        <v>Reebok</v>
      </c>
      <c r="B900" s="5" t="str">
        <f t="shared" si="102"/>
        <v>Question Mid</v>
      </c>
      <c r="C900" s="3">
        <f t="shared" si="101"/>
        <v>45717</v>
      </c>
      <c r="D900" s="4">
        <f t="shared" ca="1" si="103"/>
        <v>45</v>
      </c>
      <c r="E900" s="2">
        <f t="shared" ca="1" si="104"/>
        <v>3383</v>
      </c>
      <c r="F900" s="2">
        <f t="shared" ca="1" si="105"/>
        <v>30037</v>
      </c>
      <c r="G900" s="2">
        <f t="shared" ca="1" si="106"/>
        <v>1283</v>
      </c>
    </row>
    <row r="901" spans="1:7" x14ac:dyDescent="0.3">
      <c r="A901" s="5" t="str">
        <f t="shared" si="100"/>
        <v>Nike</v>
      </c>
      <c r="B901" s="5" t="str">
        <f t="shared" si="102"/>
        <v>Air Max 270</v>
      </c>
      <c r="C901" s="3">
        <f t="shared" si="101"/>
        <v>45717</v>
      </c>
      <c r="D901" s="4">
        <f t="shared" ca="1" si="103"/>
        <v>163</v>
      </c>
      <c r="E901" s="2">
        <f t="shared" ca="1" si="104"/>
        <v>8818</v>
      </c>
      <c r="F901" s="2">
        <f t="shared" ca="1" si="105"/>
        <v>10803</v>
      </c>
      <c r="G901" s="2">
        <f t="shared" ca="1" si="106"/>
        <v>347</v>
      </c>
    </row>
    <row r="902" spans="1:7" x14ac:dyDescent="0.3">
      <c r="A902" s="5" t="str">
        <f t="shared" si="100"/>
        <v>Adidas</v>
      </c>
      <c r="B902" s="5" t="str">
        <f t="shared" si="102"/>
        <v>Stan Smith</v>
      </c>
      <c r="C902" s="3">
        <f t="shared" si="101"/>
        <v>45718</v>
      </c>
      <c r="D902" s="4">
        <f t="shared" ca="1" si="103"/>
        <v>107</v>
      </c>
      <c r="E902" s="2">
        <f t="shared" ca="1" si="104"/>
        <v>11230</v>
      </c>
      <c r="F902" s="2">
        <f t="shared" ca="1" si="105"/>
        <v>6156</v>
      </c>
      <c r="G902" s="2">
        <f t="shared" ca="1" si="106"/>
        <v>296</v>
      </c>
    </row>
    <row r="903" spans="1:7" x14ac:dyDescent="0.3">
      <c r="A903" s="5" t="str">
        <f t="shared" si="100"/>
        <v>Puma</v>
      </c>
      <c r="B903" s="5" t="str">
        <f t="shared" si="102"/>
        <v>Cali Dream</v>
      </c>
      <c r="C903" s="3">
        <f t="shared" si="101"/>
        <v>45718</v>
      </c>
      <c r="D903" s="4">
        <f t="shared" ca="1" si="103"/>
        <v>99</v>
      </c>
      <c r="E903" s="2">
        <f t="shared" ca="1" si="104"/>
        <v>8583</v>
      </c>
      <c r="F903" s="2">
        <f t="shared" ca="1" si="105"/>
        <v>18194</v>
      </c>
      <c r="G903" s="2">
        <f t="shared" ca="1" si="106"/>
        <v>1394</v>
      </c>
    </row>
    <row r="904" spans="1:7" x14ac:dyDescent="0.3">
      <c r="A904" s="5" t="str">
        <f t="shared" si="100"/>
        <v>New Balance</v>
      </c>
      <c r="B904" s="5" t="str">
        <f t="shared" si="102"/>
        <v>9060</v>
      </c>
      <c r="C904" s="3">
        <f t="shared" si="101"/>
        <v>45718</v>
      </c>
      <c r="D904" s="4">
        <f t="shared" ca="1" si="103"/>
        <v>147</v>
      </c>
      <c r="E904" s="2">
        <f t="shared" ca="1" si="104"/>
        <v>5266</v>
      </c>
      <c r="F904" s="2">
        <f t="shared" ca="1" si="105"/>
        <v>29674</v>
      </c>
      <c r="G904" s="2">
        <f t="shared" ca="1" si="106"/>
        <v>2341</v>
      </c>
    </row>
    <row r="905" spans="1:7" x14ac:dyDescent="0.3">
      <c r="A905" s="5" t="str">
        <f t="shared" si="100"/>
        <v>Reebok</v>
      </c>
      <c r="B905" s="5" t="str">
        <f t="shared" si="102"/>
        <v>Zig Kinetica</v>
      </c>
      <c r="C905" s="3">
        <f t="shared" si="101"/>
        <v>45718</v>
      </c>
      <c r="D905" s="4">
        <f t="shared" ca="1" si="103"/>
        <v>123</v>
      </c>
      <c r="E905" s="2">
        <f t="shared" ca="1" si="104"/>
        <v>9509</v>
      </c>
      <c r="F905" s="2">
        <f t="shared" ca="1" si="105"/>
        <v>20587</v>
      </c>
      <c r="G905" s="2">
        <f t="shared" ca="1" si="106"/>
        <v>1309</v>
      </c>
    </row>
    <row r="906" spans="1:7" x14ac:dyDescent="0.3">
      <c r="A906" s="5" t="str">
        <f t="shared" si="100"/>
        <v>Nike</v>
      </c>
      <c r="B906" s="5" t="str">
        <f t="shared" si="102"/>
        <v>Jordan 1</v>
      </c>
      <c r="C906" s="3">
        <f t="shared" si="101"/>
        <v>45718</v>
      </c>
      <c r="D906" s="4">
        <f t="shared" ca="1" si="103"/>
        <v>119</v>
      </c>
      <c r="E906" s="2">
        <f t="shared" ca="1" si="104"/>
        <v>11391</v>
      </c>
      <c r="F906" s="2">
        <f t="shared" ca="1" si="105"/>
        <v>29428</v>
      </c>
      <c r="G906" s="2">
        <f t="shared" ca="1" si="106"/>
        <v>1602</v>
      </c>
    </row>
    <row r="907" spans="1:7" x14ac:dyDescent="0.3">
      <c r="A907" s="5" t="str">
        <f t="shared" si="100"/>
        <v>Adidas</v>
      </c>
      <c r="B907" s="5" t="str">
        <f t="shared" si="102"/>
        <v>Ultraboost 23</v>
      </c>
      <c r="C907" s="3">
        <f t="shared" si="101"/>
        <v>45718</v>
      </c>
      <c r="D907" s="4">
        <f t="shared" ca="1" si="103"/>
        <v>91</v>
      </c>
      <c r="E907" s="2">
        <f t="shared" ca="1" si="104"/>
        <v>8274</v>
      </c>
      <c r="F907" s="2">
        <f t="shared" ca="1" si="105"/>
        <v>22305</v>
      </c>
      <c r="G907" s="2">
        <f t="shared" ca="1" si="106"/>
        <v>1658</v>
      </c>
    </row>
    <row r="908" spans="1:7" x14ac:dyDescent="0.3">
      <c r="A908" s="5" t="str">
        <f t="shared" si="100"/>
        <v>Puma</v>
      </c>
      <c r="B908" s="5" t="str">
        <f t="shared" si="102"/>
        <v>RS-X</v>
      </c>
      <c r="C908" s="3">
        <f t="shared" si="101"/>
        <v>45718</v>
      </c>
      <c r="D908" s="4">
        <f t="shared" ca="1" si="103"/>
        <v>63</v>
      </c>
      <c r="E908" s="2">
        <f t="shared" ca="1" si="104"/>
        <v>3982</v>
      </c>
      <c r="F908" s="2">
        <f t="shared" ca="1" si="105"/>
        <v>6956</v>
      </c>
      <c r="G908" s="2">
        <f t="shared" ca="1" si="106"/>
        <v>464</v>
      </c>
    </row>
    <row r="909" spans="1:7" x14ac:dyDescent="0.3">
      <c r="A909" s="5" t="str">
        <f t="shared" si="100"/>
        <v>New Balance</v>
      </c>
      <c r="B909" s="5" t="str">
        <f t="shared" si="102"/>
        <v>2002R</v>
      </c>
      <c r="C909" s="3">
        <f t="shared" si="101"/>
        <v>45718</v>
      </c>
      <c r="D909" s="4">
        <f t="shared" ca="1" si="103"/>
        <v>216</v>
      </c>
      <c r="E909" s="2">
        <f t="shared" ca="1" si="104"/>
        <v>11595</v>
      </c>
      <c r="F909" s="2">
        <f t="shared" ca="1" si="105"/>
        <v>15954</v>
      </c>
      <c r="G909" s="2">
        <f t="shared" ca="1" si="106"/>
        <v>686</v>
      </c>
    </row>
    <row r="910" spans="1:7" x14ac:dyDescent="0.3">
      <c r="A910" s="5" t="str">
        <f t="shared" si="100"/>
        <v>Reebok</v>
      </c>
      <c r="B910" s="5" t="str">
        <f t="shared" si="102"/>
        <v>Instapump Fury</v>
      </c>
      <c r="C910" s="3">
        <f t="shared" si="101"/>
        <v>45718</v>
      </c>
      <c r="D910" s="4">
        <f t="shared" ca="1" si="103"/>
        <v>158</v>
      </c>
      <c r="E910" s="2">
        <f t="shared" ca="1" si="104"/>
        <v>4879</v>
      </c>
      <c r="F910" s="2">
        <f t="shared" ca="1" si="105"/>
        <v>25404</v>
      </c>
      <c r="G910" s="2">
        <f t="shared" ca="1" si="106"/>
        <v>650</v>
      </c>
    </row>
    <row r="911" spans="1:7" x14ac:dyDescent="0.3">
      <c r="A911" s="5" t="str">
        <f t="shared" si="100"/>
        <v>Nike</v>
      </c>
      <c r="B911" s="5" t="str">
        <f t="shared" si="102"/>
        <v>Cortez</v>
      </c>
      <c r="C911" s="3">
        <f t="shared" si="101"/>
        <v>45718</v>
      </c>
      <c r="D911" s="4">
        <f t="shared" ca="1" si="103"/>
        <v>174</v>
      </c>
      <c r="E911" s="2">
        <f t="shared" ca="1" si="104"/>
        <v>9547</v>
      </c>
      <c r="F911" s="2">
        <f t="shared" ca="1" si="105"/>
        <v>10260</v>
      </c>
      <c r="G911" s="2">
        <f t="shared" ca="1" si="106"/>
        <v>236</v>
      </c>
    </row>
    <row r="912" spans="1:7" x14ac:dyDescent="0.3">
      <c r="A912" s="5" t="str">
        <f t="shared" si="100"/>
        <v>Adidas</v>
      </c>
      <c r="B912" s="5" t="str">
        <f t="shared" si="102"/>
        <v>NMD S1</v>
      </c>
      <c r="C912" s="3">
        <f t="shared" si="101"/>
        <v>45718</v>
      </c>
      <c r="D912" s="4">
        <f t="shared" ca="1" si="103"/>
        <v>156</v>
      </c>
      <c r="E912" s="2">
        <f t="shared" ca="1" si="104"/>
        <v>3441</v>
      </c>
      <c r="F912" s="2">
        <f t="shared" ca="1" si="105"/>
        <v>5629</v>
      </c>
      <c r="G912" s="2">
        <f t="shared" ca="1" si="106"/>
        <v>223</v>
      </c>
    </row>
    <row r="913" spans="1:7" x14ac:dyDescent="0.3">
      <c r="A913" s="5" t="str">
        <f t="shared" si="100"/>
        <v>Puma</v>
      </c>
      <c r="B913" s="5" t="str">
        <f t="shared" si="102"/>
        <v>Suede Classic</v>
      </c>
      <c r="C913" s="3">
        <f t="shared" si="101"/>
        <v>45718</v>
      </c>
      <c r="D913" s="4">
        <f t="shared" ca="1" si="103"/>
        <v>114</v>
      </c>
      <c r="E913" s="2">
        <f t="shared" ca="1" si="104"/>
        <v>3807</v>
      </c>
      <c r="F913" s="2">
        <f t="shared" ca="1" si="105"/>
        <v>32105</v>
      </c>
      <c r="G913" s="2">
        <f t="shared" ca="1" si="106"/>
        <v>694</v>
      </c>
    </row>
    <row r="914" spans="1:7" x14ac:dyDescent="0.3">
      <c r="A914" s="5" t="str">
        <f t="shared" si="100"/>
        <v>New Balance</v>
      </c>
      <c r="B914" s="5" t="str">
        <f t="shared" si="102"/>
        <v>990v6</v>
      </c>
      <c r="C914" s="3">
        <f t="shared" si="101"/>
        <v>45718</v>
      </c>
      <c r="D914" s="4">
        <f t="shared" ca="1" si="103"/>
        <v>236</v>
      </c>
      <c r="E914" s="2">
        <f t="shared" ca="1" si="104"/>
        <v>8329</v>
      </c>
      <c r="F914" s="2">
        <f t="shared" ca="1" si="105"/>
        <v>8209</v>
      </c>
      <c r="G914" s="2">
        <f t="shared" ca="1" si="106"/>
        <v>166</v>
      </c>
    </row>
    <row r="915" spans="1:7" x14ac:dyDescent="0.3">
      <c r="A915" s="5" t="str">
        <f t="shared" si="100"/>
        <v>Reebok</v>
      </c>
      <c r="B915" s="5" t="str">
        <f t="shared" si="102"/>
        <v>Nano X3</v>
      </c>
      <c r="C915" s="3">
        <f t="shared" si="101"/>
        <v>45718</v>
      </c>
      <c r="D915" s="4">
        <f t="shared" ca="1" si="103"/>
        <v>85</v>
      </c>
      <c r="E915" s="2">
        <f t="shared" ca="1" si="104"/>
        <v>6072</v>
      </c>
      <c r="F915" s="2">
        <f t="shared" ca="1" si="105"/>
        <v>34250</v>
      </c>
      <c r="G915" s="2">
        <f t="shared" ca="1" si="106"/>
        <v>1763</v>
      </c>
    </row>
    <row r="916" spans="1:7" x14ac:dyDescent="0.3">
      <c r="A916" s="5" t="str">
        <f t="shared" si="100"/>
        <v>Nike</v>
      </c>
      <c r="B916" s="5" t="str">
        <f t="shared" si="102"/>
        <v>Vaporfly 3</v>
      </c>
      <c r="C916" s="3">
        <f t="shared" si="101"/>
        <v>45718</v>
      </c>
      <c r="D916" s="4">
        <f t="shared" ca="1" si="103"/>
        <v>87</v>
      </c>
      <c r="E916" s="2">
        <f t="shared" ca="1" si="104"/>
        <v>9840</v>
      </c>
      <c r="F916" s="2">
        <f t="shared" ca="1" si="105"/>
        <v>28813</v>
      </c>
      <c r="G916" s="2">
        <f t="shared" ca="1" si="106"/>
        <v>994</v>
      </c>
    </row>
    <row r="917" spans="1:7" x14ac:dyDescent="0.3">
      <c r="A917" s="5" t="str">
        <f t="shared" si="100"/>
        <v>Adidas</v>
      </c>
      <c r="B917" s="5" t="str">
        <f t="shared" si="102"/>
        <v>Samba</v>
      </c>
      <c r="C917" s="3">
        <f t="shared" si="101"/>
        <v>45719</v>
      </c>
      <c r="D917" s="4">
        <f t="shared" ca="1" si="103"/>
        <v>127</v>
      </c>
      <c r="E917" s="2">
        <f t="shared" ca="1" si="104"/>
        <v>3505</v>
      </c>
      <c r="F917" s="2">
        <f t="shared" ca="1" si="105"/>
        <v>34482</v>
      </c>
      <c r="G917" s="2">
        <f t="shared" ca="1" si="106"/>
        <v>1730</v>
      </c>
    </row>
    <row r="918" spans="1:7" x14ac:dyDescent="0.3">
      <c r="A918" s="5" t="str">
        <f t="shared" si="100"/>
        <v>Puma</v>
      </c>
      <c r="B918" s="5" t="str">
        <f t="shared" si="102"/>
        <v>Mayze</v>
      </c>
      <c r="C918" s="3">
        <f t="shared" si="101"/>
        <v>45719</v>
      </c>
      <c r="D918" s="4">
        <f t="shared" ca="1" si="103"/>
        <v>232</v>
      </c>
      <c r="E918" s="2">
        <f t="shared" ca="1" si="104"/>
        <v>6898</v>
      </c>
      <c r="F918" s="2">
        <f t="shared" ca="1" si="105"/>
        <v>11231</v>
      </c>
      <c r="G918" s="2">
        <f t="shared" ca="1" si="106"/>
        <v>388</v>
      </c>
    </row>
    <row r="919" spans="1:7" x14ac:dyDescent="0.3">
      <c r="A919" s="5" t="str">
        <f t="shared" si="100"/>
        <v>New Balance</v>
      </c>
      <c r="B919" s="5" t="str">
        <f t="shared" si="102"/>
        <v>574 Core</v>
      </c>
      <c r="C919" s="3">
        <f t="shared" si="101"/>
        <v>45719</v>
      </c>
      <c r="D919" s="4">
        <f t="shared" ca="1" si="103"/>
        <v>105</v>
      </c>
      <c r="E919" s="2">
        <f t="shared" ca="1" si="104"/>
        <v>10768</v>
      </c>
      <c r="F919" s="2">
        <f t="shared" ca="1" si="105"/>
        <v>17812</v>
      </c>
      <c r="G919" s="2">
        <f t="shared" ca="1" si="106"/>
        <v>972</v>
      </c>
    </row>
    <row r="920" spans="1:7" x14ac:dyDescent="0.3">
      <c r="A920" s="5" t="str">
        <f t="shared" si="100"/>
        <v>Reebok</v>
      </c>
      <c r="B920" s="5" t="str">
        <f t="shared" si="102"/>
        <v>Club C 85</v>
      </c>
      <c r="C920" s="3">
        <f t="shared" si="101"/>
        <v>45719</v>
      </c>
      <c r="D920" s="4">
        <f t="shared" ca="1" si="103"/>
        <v>60</v>
      </c>
      <c r="E920" s="2">
        <f t="shared" ca="1" si="104"/>
        <v>7829</v>
      </c>
      <c r="F920" s="2">
        <f t="shared" ca="1" si="105"/>
        <v>31186</v>
      </c>
      <c r="G920" s="2">
        <f t="shared" ca="1" si="106"/>
        <v>1220</v>
      </c>
    </row>
    <row r="921" spans="1:7" x14ac:dyDescent="0.3">
      <c r="A921" s="5" t="str">
        <f t="shared" si="100"/>
        <v>Nike</v>
      </c>
      <c r="B921" s="5" t="str">
        <f t="shared" si="102"/>
        <v>Pegasus 40</v>
      </c>
      <c r="C921" s="3">
        <f t="shared" si="101"/>
        <v>45719</v>
      </c>
      <c r="D921" s="4">
        <f t="shared" ca="1" si="103"/>
        <v>72</v>
      </c>
      <c r="E921" s="2">
        <f t="shared" ca="1" si="104"/>
        <v>1874</v>
      </c>
      <c r="F921" s="2">
        <f t="shared" ca="1" si="105"/>
        <v>17814</v>
      </c>
      <c r="G921" s="2">
        <f t="shared" ca="1" si="106"/>
        <v>874</v>
      </c>
    </row>
    <row r="922" spans="1:7" x14ac:dyDescent="0.3">
      <c r="A922" s="5" t="str">
        <f t="shared" si="100"/>
        <v>Adidas</v>
      </c>
      <c r="B922" s="5" t="str">
        <f t="shared" si="102"/>
        <v>Gazelle</v>
      </c>
      <c r="C922" s="3">
        <f t="shared" si="101"/>
        <v>45719</v>
      </c>
      <c r="D922" s="4">
        <f t="shared" ca="1" si="103"/>
        <v>92</v>
      </c>
      <c r="E922" s="2">
        <f t="shared" ca="1" si="104"/>
        <v>7391</v>
      </c>
      <c r="F922" s="2">
        <f t="shared" ca="1" si="105"/>
        <v>24926</v>
      </c>
      <c r="G922" s="2">
        <f t="shared" ca="1" si="106"/>
        <v>1239</v>
      </c>
    </row>
    <row r="923" spans="1:7" x14ac:dyDescent="0.3">
      <c r="A923" s="5" t="str">
        <f t="shared" si="100"/>
        <v>Puma</v>
      </c>
      <c r="B923" s="5" t="str">
        <f t="shared" si="102"/>
        <v>Slipstream</v>
      </c>
      <c r="C923" s="3">
        <f t="shared" si="101"/>
        <v>45719</v>
      </c>
      <c r="D923" s="4">
        <f t="shared" ca="1" si="103"/>
        <v>160</v>
      </c>
      <c r="E923" s="2">
        <f t="shared" ca="1" si="104"/>
        <v>2542</v>
      </c>
      <c r="F923" s="2">
        <f t="shared" ca="1" si="105"/>
        <v>23437</v>
      </c>
      <c r="G923" s="2">
        <f t="shared" ca="1" si="106"/>
        <v>1402</v>
      </c>
    </row>
    <row r="924" spans="1:7" x14ac:dyDescent="0.3">
      <c r="A924" s="5" t="str">
        <f t="shared" si="100"/>
        <v>New Balance</v>
      </c>
      <c r="B924" s="5" t="str">
        <f t="shared" si="102"/>
        <v>550</v>
      </c>
      <c r="C924" s="3">
        <f t="shared" si="101"/>
        <v>45719</v>
      </c>
      <c r="D924" s="4">
        <f t="shared" ca="1" si="103"/>
        <v>102</v>
      </c>
      <c r="E924" s="2">
        <f t="shared" ca="1" si="104"/>
        <v>11889</v>
      </c>
      <c r="F924" s="2">
        <f t="shared" ca="1" si="105"/>
        <v>24303</v>
      </c>
      <c r="G924" s="2">
        <f t="shared" ca="1" si="106"/>
        <v>988</v>
      </c>
    </row>
    <row r="925" spans="1:7" x14ac:dyDescent="0.3">
      <c r="A925" s="5" t="str">
        <f t="shared" si="100"/>
        <v>Reebok</v>
      </c>
      <c r="B925" s="5" t="str">
        <f t="shared" si="102"/>
        <v>Classic Leather</v>
      </c>
      <c r="C925" s="3">
        <f t="shared" si="101"/>
        <v>45719</v>
      </c>
      <c r="D925" s="4">
        <f t="shared" ca="1" si="103"/>
        <v>76</v>
      </c>
      <c r="E925" s="2">
        <f t="shared" ca="1" si="104"/>
        <v>4251</v>
      </c>
      <c r="F925" s="2">
        <f t="shared" ca="1" si="105"/>
        <v>15844</v>
      </c>
      <c r="G925" s="2">
        <f t="shared" ca="1" si="106"/>
        <v>1232</v>
      </c>
    </row>
    <row r="926" spans="1:7" x14ac:dyDescent="0.3">
      <c r="A926" s="5" t="str">
        <f t="shared" si="100"/>
        <v>Nike</v>
      </c>
      <c r="B926" s="5" t="str">
        <f t="shared" si="102"/>
        <v>Air Force 1</v>
      </c>
      <c r="C926" s="3">
        <f t="shared" si="101"/>
        <v>45719</v>
      </c>
      <c r="D926" s="4">
        <f t="shared" ca="1" si="103"/>
        <v>76</v>
      </c>
      <c r="E926" s="2">
        <f t="shared" ca="1" si="104"/>
        <v>4463</v>
      </c>
      <c r="F926" s="2">
        <f t="shared" ca="1" si="105"/>
        <v>21474</v>
      </c>
      <c r="G926" s="2">
        <f t="shared" ca="1" si="106"/>
        <v>636</v>
      </c>
    </row>
    <row r="927" spans="1:7" x14ac:dyDescent="0.3">
      <c r="A927" s="5" t="str">
        <f t="shared" si="100"/>
        <v>Adidas</v>
      </c>
      <c r="B927" s="5" t="str">
        <f t="shared" si="102"/>
        <v>Superstar</v>
      </c>
      <c r="C927" s="3">
        <f t="shared" si="101"/>
        <v>45719</v>
      </c>
      <c r="D927" s="4">
        <f t="shared" ca="1" si="103"/>
        <v>101</v>
      </c>
      <c r="E927" s="2">
        <f t="shared" ca="1" si="104"/>
        <v>7218</v>
      </c>
      <c r="F927" s="2">
        <f t="shared" ca="1" si="105"/>
        <v>10599</v>
      </c>
      <c r="G927" s="2">
        <f t="shared" ca="1" si="106"/>
        <v>523</v>
      </c>
    </row>
    <row r="928" spans="1:7" x14ac:dyDescent="0.3">
      <c r="A928" s="5" t="str">
        <f t="shared" si="100"/>
        <v>Puma</v>
      </c>
      <c r="B928" s="5" t="str">
        <f t="shared" si="102"/>
        <v>Rider Vintage</v>
      </c>
      <c r="C928" s="3">
        <f t="shared" si="101"/>
        <v>45719</v>
      </c>
      <c r="D928" s="4">
        <f t="shared" ca="1" si="103"/>
        <v>148</v>
      </c>
      <c r="E928" s="2">
        <f t="shared" ca="1" si="104"/>
        <v>10030</v>
      </c>
      <c r="F928" s="2">
        <f t="shared" ca="1" si="105"/>
        <v>8054</v>
      </c>
      <c r="G928" s="2">
        <f t="shared" ca="1" si="106"/>
        <v>170</v>
      </c>
    </row>
    <row r="929" spans="1:7" x14ac:dyDescent="0.3">
      <c r="A929" s="5" t="str">
        <f t="shared" si="100"/>
        <v>New Balance</v>
      </c>
      <c r="B929" s="5" t="str">
        <f t="shared" si="102"/>
        <v>327</v>
      </c>
      <c r="C929" s="3">
        <f t="shared" si="101"/>
        <v>45719</v>
      </c>
      <c r="D929" s="4">
        <f t="shared" ca="1" si="103"/>
        <v>105</v>
      </c>
      <c r="E929" s="2">
        <f t="shared" ca="1" si="104"/>
        <v>1615</v>
      </c>
      <c r="F929" s="2">
        <f t="shared" ca="1" si="105"/>
        <v>30241</v>
      </c>
      <c r="G929" s="2">
        <f t="shared" ca="1" si="106"/>
        <v>1733</v>
      </c>
    </row>
    <row r="930" spans="1:7" x14ac:dyDescent="0.3">
      <c r="A930" s="5" t="str">
        <f t="shared" si="100"/>
        <v>Reebok</v>
      </c>
      <c r="B930" s="5" t="str">
        <f t="shared" si="102"/>
        <v>Question Mid</v>
      </c>
      <c r="C930" s="3">
        <f t="shared" si="101"/>
        <v>45719</v>
      </c>
      <c r="D930" s="4">
        <f t="shared" ca="1" si="103"/>
        <v>158</v>
      </c>
      <c r="E930" s="2">
        <f t="shared" ca="1" si="104"/>
        <v>7022</v>
      </c>
      <c r="F930" s="2">
        <f t="shared" ca="1" si="105"/>
        <v>19442</v>
      </c>
      <c r="G930" s="2">
        <f t="shared" ca="1" si="106"/>
        <v>908</v>
      </c>
    </row>
    <row r="931" spans="1:7" x14ac:dyDescent="0.3">
      <c r="A931" s="5" t="str">
        <f t="shared" si="100"/>
        <v>Nike</v>
      </c>
      <c r="B931" s="5" t="str">
        <f t="shared" si="102"/>
        <v>Air Max 270</v>
      </c>
      <c r="C931" s="3">
        <f t="shared" si="101"/>
        <v>45719</v>
      </c>
      <c r="D931" s="4">
        <f t="shared" ca="1" si="103"/>
        <v>55</v>
      </c>
      <c r="E931" s="2">
        <f t="shared" ca="1" si="104"/>
        <v>5295</v>
      </c>
      <c r="F931" s="2">
        <f t="shared" ca="1" si="105"/>
        <v>22414</v>
      </c>
      <c r="G931" s="2">
        <f t="shared" ca="1" si="106"/>
        <v>580</v>
      </c>
    </row>
    <row r="932" spans="1:7" x14ac:dyDescent="0.3">
      <c r="A932" s="5" t="str">
        <f t="shared" si="100"/>
        <v>Adidas</v>
      </c>
      <c r="B932" s="5" t="str">
        <f t="shared" si="102"/>
        <v>Stan Smith</v>
      </c>
      <c r="C932" s="3">
        <f t="shared" si="101"/>
        <v>45720</v>
      </c>
      <c r="D932" s="4">
        <f t="shared" ca="1" si="103"/>
        <v>141</v>
      </c>
      <c r="E932" s="2">
        <f t="shared" ca="1" si="104"/>
        <v>9968</v>
      </c>
      <c r="F932" s="2">
        <f t="shared" ca="1" si="105"/>
        <v>30664</v>
      </c>
      <c r="G932" s="2">
        <f t="shared" ca="1" si="106"/>
        <v>1175</v>
      </c>
    </row>
    <row r="933" spans="1:7" x14ac:dyDescent="0.3">
      <c r="A933" s="5" t="str">
        <f t="shared" si="100"/>
        <v>Puma</v>
      </c>
      <c r="B933" s="5" t="str">
        <f t="shared" si="102"/>
        <v>Cali Dream</v>
      </c>
      <c r="C933" s="3">
        <f t="shared" si="101"/>
        <v>45720</v>
      </c>
      <c r="D933" s="4">
        <f t="shared" ca="1" si="103"/>
        <v>205</v>
      </c>
      <c r="E933" s="2">
        <f t="shared" ca="1" si="104"/>
        <v>8806</v>
      </c>
      <c r="F933" s="2">
        <f t="shared" ca="1" si="105"/>
        <v>13944</v>
      </c>
      <c r="G933" s="2">
        <f t="shared" ca="1" si="106"/>
        <v>1033</v>
      </c>
    </row>
    <row r="934" spans="1:7" x14ac:dyDescent="0.3">
      <c r="A934" s="5" t="str">
        <f t="shared" si="100"/>
        <v>New Balance</v>
      </c>
      <c r="B934" s="5" t="str">
        <f t="shared" si="102"/>
        <v>9060</v>
      </c>
      <c r="C934" s="3">
        <f t="shared" si="101"/>
        <v>45720</v>
      </c>
      <c r="D934" s="4">
        <f t="shared" ca="1" si="103"/>
        <v>27</v>
      </c>
      <c r="E934" s="2">
        <f t="shared" ca="1" si="104"/>
        <v>10948</v>
      </c>
      <c r="F934" s="2">
        <f t="shared" ca="1" si="105"/>
        <v>14154</v>
      </c>
      <c r="G934" s="2">
        <f t="shared" ca="1" si="106"/>
        <v>884</v>
      </c>
    </row>
    <row r="935" spans="1:7" x14ac:dyDescent="0.3">
      <c r="A935" s="5" t="str">
        <f t="shared" si="100"/>
        <v>Reebok</v>
      </c>
      <c r="B935" s="5" t="str">
        <f t="shared" si="102"/>
        <v>Zig Kinetica</v>
      </c>
      <c r="C935" s="3">
        <f t="shared" si="101"/>
        <v>45720</v>
      </c>
      <c r="D935" s="4">
        <f t="shared" ca="1" si="103"/>
        <v>63</v>
      </c>
      <c r="E935" s="2">
        <f t="shared" ca="1" si="104"/>
        <v>9689</v>
      </c>
      <c r="F935" s="2">
        <f t="shared" ca="1" si="105"/>
        <v>14613</v>
      </c>
      <c r="G935" s="2">
        <f t="shared" ca="1" si="106"/>
        <v>724</v>
      </c>
    </row>
    <row r="936" spans="1:7" x14ac:dyDescent="0.3">
      <c r="A936" s="5" t="str">
        <f t="shared" si="100"/>
        <v>Nike</v>
      </c>
      <c r="B936" s="5" t="str">
        <f t="shared" si="102"/>
        <v>Jordan 1</v>
      </c>
      <c r="C936" s="3">
        <f t="shared" si="101"/>
        <v>45720</v>
      </c>
      <c r="D936" s="4">
        <f t="shared" ca="1" si="103"/>
        <v>212</v>
      </c>
      <c r="E936" s="2">
        <f t="shared" ca="1" si="104"/>
        <v>11517</v>
      </c>
      <c r="F936" s="2">
        <f t="shared" ca="1" si="105"/>
        <v>8298</v>
      </c>
      <c r="G936" s="2">
        <f t="shared" ca="1" si="106"/>
        <v>506</v>
      </c>
    </row>
    <row r="937" spans="1:7" x14ac:dyDescent="0.3">
      <c r="A937" s="5" t="str">
        <f t="shared" si="100"/>
        <v>Adidas</v>
      </c>
      <c r="B937" s="5" t="str">
        <f t="shared" si="102"/>
        <v>Ultraboost 23</v>
      </c>
      <c r="C937" s="3">
        <f t="shared" si="101"/>
        <v>45720</v>
      </c>
      <c r="D937" s="4">
        <f t="shared" ca="1" si="103"/>
        <v>69</v>
      </c>
      <c r="E937" s="2">
        <f t="shared" ca="1" si="104"/>
        <v>11695</v>
      </c>
      <c r="F937" s="2">
        <f t="shared" ca="1" si="105"/>
        <v>34258</v>
      </c>
      <c r="G937" s="2">
        <f t="shared" ca="1" si="106"/>
        <v>2238</v>
      </c>
    </row>
    <row r="938" spans="1:7" x14ac:dyDescent="0.3">
      <c r="A938" s="5" t="str">
        <f t="shared" si="100"/>
        <v>Puma</v>
      </c>
      <c r="B938" s="5" t="str">
        <f t="shared" si="102"/>
        <v>RS-X</v>
      </c>
      <c r="C938" s="3">
        <f t="shared" si="101"/>
        <v>45720</v>
      </c>
      <c r="D938" s="4">
        <f t="shared" ca="1" si="103"/>
        <v>30</v>
      </c>
      <c r="E938" s="2">
        <f t="shared" ca="1" si="104"/>
        <v>8825</v>
      </c>
      <c r="F938" s="2">
        <f t="shared" ca="1" si="105"/>
        <v>18294</v>
      </c>
      <c r="G938" s="2">
        <f t="shared" ca="1" si="106"/>
        <v>1199</v>
      </c>
    </row>
    <row r="939" spans="1:7" x14ac:dyDescent="0.3">
      <c r="A939" s="5" t="str">
        <f t="shared" ref="A939:A1002" si="107">CHOOSE(MOD(ROW(A938),5)+1,"Nike","Adidas","Puma","New Balance","Reebok")</f>
        <v>New Balance</v>
      </c>
      <c r="B939" s="5" t="str">
        <f t="shared" si="102"/>
        <v>2002R</v>
      </c>
      <c r="C939" s="3">
        <f t="shared" ref="C939:C1002" si="108">DATE(2025,1,1)+INT((ROW(A939)-2)/15)</f>
        <v>45720</v>
      </c>
      <c r="D939" s="4">
        <f t="shared" ca="1" si="103"/>
        <v>246</v>
      </c>
      <c r="E939" s="2">
        <f t="shared" ca="1" si="104"/>
        <v>7735</v>
      </c>
      <c r="F939" s="2">
        <f t="shared" ca="1" si="105"/>
        <v>34496</v>
      </c>
      <c r="G939" s="2">
        <f t="shared" ca="1" si="106"/>
        <v>1022</v>
      </c>
    </row>
    <row r="940" spans="1:7" x14ac:dyDescent="0.3">
      <c r="A940" s="5" t="str">
        <f t="shared" si="107"/>
        <v>Reebok</v>
      </c>
      <c r="B940" s="5" t="str">
        <f t="shared" si="102"/>
        <v>Instapump Fury</v>
      </c>
      <c r="C940" s="3">
        <f t="shared" si="108"/>
        <v>45720</v>
      </c>
      <c r="D940" s="4">
        <f t="shared" ca="1" si="103"/>
        <v>229</v>
      </c>
      <c r="E940" s="2">
        <f t="shared" ca="1" si="104"/>
        <v>6015</v>
      </c>
      <c r="F940" s="2">
        <f t="shared" ca="1" si="105"/>
        <v>8573</v>
      </c>
      <c r="G940" s="2">
        <f t="shared" ca="1" si="106"/>
        <v>293</v>
      </c>
    </row>
    <row r="941" spans="1:7" x14ac:dyDescent="0.3">
      <c r="A941" s="5" t="str">
        <f t="shared" si="107"/>
        <v>Nike</v>
      </c>
      <c r="B941" s="5" t="str">
        <f t="shared" si="102"/>
        <v>Cortez</v>
      </c>
      <c r="C941" s="3">
        <f t="shared" si="108"/>
        <v>45720</v>
      </c>
      <c r="D941" s="4">
        <f t="shared" ca="1" si="103"/>
        <v>219</v>
      </c>
      <c r="E941" s="2">
        <f t="shared" ca="1" si="104"/>
        <v>12149</v>
      </c>
      <c r="F941" s="2">
        <f t="shared" ca="1" si="105"/>
        <v>11011</v>
      </c>
      <c r="G941" s="2">
        <f t="shared" ca="1" si="106"/>
        <v>669</v>
      </c>
    </row>
    <row r="942" spans="1:7" x14ac:dyDescent="0.3">
      <c r="A942" s="5" t="str">
        <f t="shared" si="107"/>
        <v>Adidas</v>
      </c>
      <c r="B942" s="5" t="str">
        <f t="shared" si="102"/>
        <v>NMD S1</v>
      </c>
      <c r="C942" s="3">
        <f t="shared" si="108"/>
        <v>45720</v>
      </c>
      <c r="D942" s="4">
        <f t="shared" ca="1" si="103"/>
        <v>111</v>
      </c>
      <c r="E942" s="2">
        <f t="shared" ca="1" si="104"/>
        <v>8407</v>
      </c>
      <c r="F942" s="2">
        <f t="shared" ca="1" si="105"/>
        <v>32029</v>
      </c>
      <c r="G942" s="2">
        <f t="shared" ca="1" si="106"/>
        <v>1785</v>
      </c>
    </row>
    <row r="943" spans="1:7" x14ac:dyDescent="0.3">
      <c r="A943" s="5" t="str">
        <f t="shared" si="107"/>
        <v>Puma</v>
      </c>
      <c r="B943" s="5" t="str">
        <f t="shared" si="102"/>
        <v>Suede Classic</v>
      </c>
      <c r="C943" s="3">
        <f t="shared" si="108"/>
        <v>45720</v>
      </c>
      <c r="D943" s="4">
        <f t="shared" ca="1" si="103"/>
        <v>192</v>
      </c>
      <c r="E943" s="2">
        <f t="shared" ca="1" si="104"/>
        <v>2593</v>
      </c>
      <c r="F943" s="2">
        <f t="shared" ca="1" si="105"/>
        <v>14120</v>
      </c>
      <c r="G943" s="2">
        <f t="shared" ca="1" si="106"/>
        <v>837</v>
      </c>
    </row>
    <row r="944" spans="1:7" x14ac:dyDescent="0.3">
      <c r="A944" s="5" t="str">
        <f t="shared" si="107"/>
        <v>New Balance</v>
      </c>
      <c r="B944" s="5" t="str">
        <f t="shared" si="102"/>
        <v>990v6</v>
      </c>
      <c r="C944" s="3">
        <f t="shared" si="108"/>
        <v>45720</v>
      </c>
      <c r="D944" s="4">
        <f t="shared" ca="1" si="103"/>
        <v>187</v>
      </c>
      <c r="E944" s="2">
        <f t="shared" ca="1" si="104"/>
        <v>10086</v>
      </c>
      <c r="F944" s="2">
        <f t="shared" ca="1" si="105"/>
        <v>31007</v>
      </c>
      <c r="G944" s="2">
        <f t="shared" ca="1" si="106"/>
        <v>1029</v>
      </c>
    </row>
    <row r="945" spans="1:7" x14ac:dyDescent="0.3">
      <c r="A945" s="5" t="str">
        <f t="shared" si="107"/>
        <v>Reebok</v>
      </c>
      <c r="B945" s="5" t="str">
        <f t="shared" si="102"/>
        <v>Nano X3</v>
      </c>
      <c r="C945" s="3">
        <f t="shared" si="108"/>
        <v>45720</v>
      </c>
      <c r="D945" s="4">
        <f t="shared" ca="1" si="103"/>
        <v>97</v>
      </c>
      <c r="E945" s="2">
        <f t="shared" ca="1" si="104"/>
        <v>10876</v>
      </c>
      <c r="F945" s="2">
        <f t="shared" ca="1" si="105"/>
        <v>26671</v>
      </c>
      <c r="G945" s="2">
        <f t="shared" ca="1" si="106"/>
        <v>739</v>
      </c>
    </row>
    <row r="946" spans="1:7" x14ac:dyDescent="0.3">
      <c r="A946" s="5" t="str">
        <f t="shared" si="107"/>
        <v>Nike</v>
      </c>
      <c r="B946" s="5" t="str">
        <f t="shared" si="102"/>
        <v>Vaporfly 3</v>
      </c>
      <c r="C946" s="3">
        <f t="shared" si="108"/>
        <v>45720</v>
      </c>
      <c r="D946" s="4">
        <f t="shared" ca="1" si="103"/>
        <v>81</v>
      </c>
      <c r="E946" s="2">
        <f t="shared" ca="1" si="104"/>
        <v>2871</v>
      </c>
      <c r="F946" s="2">
        <f t="shared" ca="1" si="105"/>
        <v>26489</v>
      </c>
      <c r="G946" s="2">
        <f t="shared" ca="1" si="106"/>
        <v>1669</v>
      </c>
    </row>
    <row r="947" spans="1:7" x14ac:dyDescent="0.3">
      <c r="A947" s="5" t="str">
        <f t="shared" si="107"/>
        <v>Adidas</v>
      </c>
      <c r="B947" s="5" t="str">
        <f t="shared" si="102"/>
        <v>Samba</v>
      </c>
      <c r="C947" s="3">
        <f t="shared" si="108"/>
        <v>45721</v>
      </c>
      <c r="D947" s="4">
        <f t="shared" ca="1" si="103"/>
        <v>170</v>
      </c>
      <c r="E947" s="2">
        <f t="shared" ca="1" si="104"/>
        <v>2275</v>
      </c>
      <c r="F947" s="2">
        <f t="shared" ca="1" si="105"/>
        <v>17445</v>
      </c>
      <c r="G947" s="2">
        <f t="shared" ca="1" si="106"/>
        <v>981</v>
      </c>
    </row>
    <row r="948" spans="1:7" x14ac:dyDescent="0.3">
      <c r="A948" s="5" t="str">
        <f t="shared" si="107"/>
        <v>Puma</v>
      </c>
      <c r="B948" s="5" t="str">
        <f t="shared" si="102"/>
        <v>Mayze</v>
      </c>
      <c r="C948" s="3">
        <f t="shared" si="108"/>
        <v>45721</v>
      </c>
      <c r="D948" s="4">
        <f t="shared" ca="1" si="103"/>
        <v>168</v>
      </c>
      <c r="E948" s="2">
        <f t="shared" ca="1" si="104"/>
        <v>7535</v>
      </c>
      <c r="F948" s="2">
        <f t="shared" ca="1" si="105"/>
        <v>13555</v>
      </c>
      <c r="G948" s="2">
        <f t="shared" ca="1" si="106"/>
        <v>921</v>
      </c>
    </row>
    <row r="949" spans="1:7" x14ac:dyDescent="0.3">
      <c r="A949" s="5" t="str">
        <f t="shared" si="107"/>
        <v>New Balance</v>
      </c>
      <c r="B949" s="5" t="str">
        <f t="shared" si="102"/>
        <v>574 Core</v>
      </c>
      <c r="C949" s="3">
        <f t="shared" si="108"/>
        <v>45721</v>
      </c>
      <c r="D949" s="4">
        <f t="shared" ca="1" si="103"/>
        <v>50</v>
      </c>
      <c r="E949" s="2">
        <f t="shared" ca="1" si="104"/>
        <v>7993</v>
      </c>
      <c r="F949" s="2">
        <f t="shared" ca="1" si="105"/>
        <v>15755</v>
      </c>
      <c r="G949" s="2">
        <f t="shared" ca="1" si="106"/>
        <v>1114</v>
      </c>
    </row>
    <row r="950" spans="1:7" x14ac:dyDescent="0.3">
      <c r="A950" s="5" t="str">
        <f t="shared" si="107"/>
        <v>Reebok</v>
      </c>
      <c r="B950" s="5" t="str">
        <f t="shared" si="102"/>
        <v>Club C 85</v>
      </c>
      <c r="C950" s="3">
        <f t="shared" si="108"/>
        <v>45721</v>
      </c>
      <c r="D950" s="4">
        <f t="shared" ca="1" si="103"/>
        <v>204</v>
      </c>
      <c r="E950" s="2">
        <f t="shared" ca="1" si="104"/>
        <v>4054</v>
      </c>
      <c r="F950" s="2">
        <f t="shared" ca="1" si="105"/>
        <v>27706</v>
      </c>
      <c r="G950" s="2">
        <f t="shared" ca="1" si="106"/>
        <v>875</v>
      </c>
    </row>
    <row r="951" spans="1:7" x14ac:dyDescent="0.3">
      <c r="A951" s="5" t="str">
        <f t="shared" si="107"/>
        <v>Nike</v>
      </c>
      <c r="B951" s="5" t="str">
        <f t="shared" si="102"/>
        <v>Pegasus 40</v>
      </c>
      <c r="C951" s="3">
        <f t="shared" si="108"/>
        <v>45721</v>
      </c>
      <c r="D951" s="4">
        <f t="shared" ca="1" si="103"/>
        <v>51</v>
      </c>
      <c r="E951" s="2">
        <f t="shared" ca="1" si="104"/>
        <v>10550</v>
      </c>
      <c r="F951" s="2">
        <f t="shared" ca="1" si="105"/>
        <v>5452</v>
      </c>
      <c r="G951" s="2">
        <f t="shared" ca="1" si="106"/>
        <v>138</v>
      </c>
    </row>
    <row r="952" spans="1:7" x14ac:dyDescent="0.3">
      <c r="A952" s="5" t="str">
        <f t="shared" si="107"/>
        <v>Adidas</v>
      </c>
      <c r="B952" s="5" t="str">
        <f t="shared" si="102"/>
        <v>Gazelle</v>
      </c>
      <c r="C952" s="3">
        <f t="shared" si="108"/>
        <v>45721</v>
      </c>
      <c r="D952" s="4">
        <f t="shared" ca="1" si="103"/>
        <v>103</v>
      </c>
      <c r="E952" s="2">
        <f t="shared" ca="1" si="104"/>
        <v>4862</v>
      </c>
      <c r="F952" s="2">
        <f t="shared" ca="1" si="105"/>
        <v>24741</v>
      </c>
      <c r="G952" s="2">
        <f t="shared" ca="1" si="106"/>
        <v>545</v>
      </c>
    </row>
    <row r="953" spans="1:7" x14ac:dyDescent="0.3">
      <c r="A953" s="5" t="str">
        <f t="shared" si="107"/>
        <v>Puma</v>
      </c>
      <c r="B953" s="5" t="str">
        <f t="shared" si="102"/>
        <v>Slipstream</v>
      </c>
      <c r="C953" s="3">
        <f t="shared" si="108"/>
        <v>45721</v>
      </c>
      <c r="D953" s="4">
        <f t="shared" ca="1" si="103"/>
        <v>129</v>
      </c>
      <c r="E953" s="2">
        <f t="shared" ca="1" si="104"/>
        <v>2130</v>
      </c>
      <c r="F953" s="2">
        <f t="shared" ca="1" si="105"/>
        <v>20829</v>
      </c>
      <c r="G953" s="2">
        <f t="shared" ca="1" si="106"/>
        <v>547</v>
      </c>
    </row>
    <row r="954" spans="1:7" x14ac:dyDescent="0.3">
      <c r="A954" s="5" t="str">
        <f t="shared" si="107"/>
        <v>New Balance</v>
      </c>
      <c r="B954" s="5" t="str">
        <f t="shared" si="102"/>
        <v>550</v>
      </c>
      <c r="C954" s="3">
        <f t="shared" si="108"/>
        <v>45721</v>
      </c>
      <c r="D954" s="4">
        <f t="shared" ca="1" si="103"/>
        <v>117</v>
      </c>
      <c r="E954" s="2">
        <f t="shared" ca="1" si="104"/>
        <v>8463</v>
      </c>
      <c r="F954" s="2">
        <f t="shared" ca="1" si="105"/>
        <v>27187</v>
      </c>
      <c r="G954" s="2">
        <f t="shared" ca="1" si="106"/>
        <v>2107</v>
      </c>
    </row>
    <row r="955" spans="1:7" x14ac:dyDescent="0.3">
      <c r="A955" s="5" t="str">
        <f t="shared" si="107"/>
        <v>Reebok</v>
      </c>
      <c r="B955" s="5" t="str">
        <f t="shared" si="102"/>
        <v>Classic Leather</v>
      </c>
      <c r="C955" s="3">
        <f t="shared" si="108"/>
        <v>45721</v>
      </c>
      <c r="D955" s="4">
        <f t="shared" ca="1" si="103"/>
        <v>231</v>
      </c>
      <c r="E955" s="2">
        <f t="shared" ca="1" si="104"/>
        <v>9286</v>
      </c>
      <c r="F955" s="2">
        <f t="shared" ca="1" si="105"/>
        <v>7058</v>
      </c>
      <c r="G955" s="2">
        <f t="shared" ca="1" si="106"/>
        <v>207</v>
      </c>
    </row>
    <row r="956" spans="1:7" x14ac:dyDescent="0.3">
      <c r="A956" s="5" t="str">
        <f t="shared" si="107"/>
        <v>Nike</v>
      </c>
      <c r="B956" s="5" t="str">
        <f t="shared" si="102"/>
        <v>Air Force 1</v>
      </c>
      <c r="C956" s="3">
        <f t="shared" si="108"/>
        <v>45721</v>
      </c>
      <c r="D956" s="4">
        <f t="shared" ca="1" si="103"/>
        <v>148</v>
      </c>
      <c r="E956" s="2">
        <f t="shared" ca="1" si="104"/>
        <v>3268</v>
      </c>
      <c r="F956" s="2">
        <f t="shared" ca="1" si="105"/>
        <v>23095</v>
      </c>
      <c r="G956" s="2">
        <f t="shared" ca="1" si="106"/>
        <v>625</v>
      </c>
    </row>
    <row r="957" spans="1:7" x14ac:dyDescent="0.3">
      <c r="A957" s="5" t="str">
        <f t="shared" si="107"/>
        <v>Adidas</v>
      </c>
      <c r="B957" s="5" t="str">
        <f t="shared" si="102"/>
        <v>Superstar</v>
      </c>
      <c r="C957" s="3">
        <f t="shared" si="108"/>
        <v>45721</v>
      </c>
      <c r="D957" s="4">
        <f t="shared" ca="1" si="103"/>
        <v>166</v>
      </c>
      <c r="E957" s="2">
        <f t="shared" ca="1" si="104"/>
        <v>9905</v>
      </c>
      <c r="F957" s="2">
        <f t="shared" ca="1" si="105"/>
        <v>21646</v>
      </c>
      <c r="G957" s="2">
        <f t="shared" ca="1" si="106"/>
        <v>1503</v>
      </c>
    </row>
    <row r="958" spans="1:7" x14ac:dyDescent="0.3">
      <c r="A958" s="5" t="str">
        <f t="shared" si="107"/>
        <v>Puma</v>
      </c>
      <c r="B958" s="5" t="str">
        <f t="shared" si="102"/>
        <v>Rider Vintage</v>
      </c>
      <c r="C958" s="3">
        <f t="shared" si="108"/>
        <v>45721</v>
      </c>
      <c r="D958" s="4">
        <f t="shared" ca="1" si="103"/>
        <v>141</v>
      </c>
      <c r="E958" s="2">
        <f t="shared" ca="1" si="104"/>
        <v>2688</v>
      </c>
      <c r="F958" s="2">
        <f t="shared" ca="1" si="105"/>
        <v>34281</v>
      </c>
      <c r="G958" s="2">
        <f t="shared" ca="1" si="106"/>
        <v>1772</v>
      </c>
    </row>
    <row r="959" spans="1:7" x14ac:dyDescent="0.3">
      <c r="A959" s="5" t="str">
        <f t="shared" si="107"/>
        <v>New Balance</v>
      </c>
      <c r="B959" s="5" t="str">
        <f t="shared" si="102"/>
        <v>327</v>
      </c>
      <c r="C959" s="3">
        <f t="shared" si="108"/>
        <v>45721</v>
      </c>
      <c r="D959" s="4">
        <f t="shared" ca="1" si="103"/>
        <v>169</v>
      </c>
      <c r="E959" s="2">
        <f t="shared" ca="1" si="104"/>
        <v>8867</v>
      </c>
      <c r="F959" s="2">
        <f t="shared" ca="1" si="105"/>
        <v>31083</v>
      </c>
      <c r="G959" s="2">
        <f t="shared" ca="1" si="106"/>
        <v>1851</v>
      </c>
    </row>
    <row r="960" spans="1:7" x14ac:dyDescent="0.3">
      <c r="A960" s="5" t="str">
        <f t="shared" si="107"/>
        <v>Reebok</v>
      </c>
      <c r="B960" s="5" t="str">
        <f t="shared" si="102"/>
        <v>Question Mid</v>
      </c>
      <c r="C960" s="3">
        <f t="shared" si="108"/>
        <v>45721</v>
      </c>
      <c r="D960" s="4">
        <f t="shared" ca="1" si="103"/>
        <v>241</v>
      </c>
      <c r="E960" s="2">
        <f t="shared" ca="1" si="104"/>
        <v>5126</v>
      </c>
      <c r="F960" s="2">
        <f t="shared" ca="1" si="105"/>
        <v>26826</v>
      </c>
      <c r="G960" s="2">
        <f t="shared" ca="1" si="106"/>
        <v>551</v>
      </c>
    </row>
    <row r="961" spans="1:7" x14ac:dyDescent="0.3">
      <c r="A961" s="5" t="str">
        <f t="shared" si="107"/>
        <v>Nike</v>
      </c>
      <c r="B961" s="5" t="str">
        <f t="shared" si="102"/>
        <v>Air Max 270</v>
      </c>
      <c r="C961" s="3">
        <f t="shared" si="108"/>
        <v>45721</v>
      </c>
      <c r="D961" s="4">
        <f t="shared" ca="1" si="103"/>
        <v>59</v>
      </c>
      <c r="E961" s="2">
        <f t="shared" ca="1" si="104"/>
        <v>5010</v>
      </c>
      <c r="F961" s="2">
        <f t="shared" ca="1" si="105"/>
        <v>33048</v>
      </c>
      <c r="G961" s="2">
        <f t="shared" ca="1" si="106"/>
        <v>1245</v>
      </c>
    </row>
    <row r="962" spans="1:7" x14ac:dyDescent="0.3">
      <c r="A962" s="5" t="str">
        <f t="shared" si="107"/>
        <v>Adidas</v>
      </c>
      <c r="B962" s="5" t="str">
        <f t="shared" si="102"/>
        <v>Stan Smith</v>
      </c>
      <c r="C962" s="3">
        <f t="shared" si="108"/>
        <v>45722</v>
      </c>
      <c r="D962" s="4">
        <f t="shared" ca="1" si="103"/>
        <v>135</v>
      </c>
      <c r="E962" s="2">
        <f t="shared" ca="1" si="104"/>
        <v>8050</v>
      </c>
      <c r="F962" s="2">
        <f t="shared" ca="1" si="105"/>
        <v>15767</v>
      </c>
      <c r="G962" s="2">
        <f t="shared" ca="1" si="106"/>
        <v>952</v>
      </c>
    </row>
    <row r="963" spans="1:7" x14ac:dyDescent="0.3">
      <c r="A963" s="5" t="str">
        <f t="shared" si="107"/>
        <v>Puma</v>
      </c>
      <c r="B963" s="5" t="str">
        <f t="shared" ref="B963:B1026" si="109">IF(A963="Nike",CHOOSE(MOD(ROW(A962),6)+1,"Air Max 270","Air Force 1","Pegasus 40","Vaporfly 3","Cortez","Jordan 1"),
 IF(A963="Adidas",CHOOSE(MOD(ROW(A962),6)+1,"Ultraboost 23","Stan Smith","Superstar","Gazelle","Samba","NMD S1"),
 IF(A963="Puma",CHOOSE(MOD(ROW(A962),6)+1,"Suede Classic","RS-X","Cali Dream","Rider Vintage","Slipstream","Mayze"),
 IF(A963="New Balance",CHOOSE(MOD(ROW(A962),6)+1,"574 Core","990v6","2002R","9060","327","550"),
 IF(A963="Reebok",CHOOSE(MOD(ROW(A962),6)+1,"Classic Leather","Club C 85","Nano X3","Instapump Fury","Zig Kinetica","Question Mid"),"")))))</f>
        <v>Cali Dream</v>
      </c>
      <c r="C963" s="3">
        <f t="shared" si="108"/>
        <v>45722</v>
      </c>
      <c r="D963" s="4">
        <f t="shared" ref="D963:D1026" ca="1" si="110">RANDBETWEEN(20,250)</f>
        <v>102</v>
      </c>
      <c r="E963" s="2">
        <f t="shared" ref="E963:E1026" ca="1" si="111">ROUND(RANDBETWEEN(1500,12000)+(RANDBETWEEN(-200,200)),2)</f>
        <v>8154</v>
      </c>
      <c r="F963" s="2">
        <f t="shared" ref="F963:F1026" ca="1" si="112">RANDBETWEEN(5000,35000)</f>
        <v>23002</v>
      </c>
      <c r="G963" s="2">
        <f t="shared" ref="G963:G1026" ca="1" si="113">RANDBETWEEN(ROUND(F963*0.02,0),ROUND(F963*0.08,0))</f>
        <v>1263</v>
      </c>
    </row>
    <row r="964" spans="1:7" x14ac:dyDescent="0.3">
      <c r="A964" s="5" t="str">
        <f t="shared" si="107"/>
        <v>New Balance</v>
      </c>
      <c r="B964" s="5" t="str">
        <f t="shared" si="109"/>
        <v>9060</v>
      </c>
      <c r="C964" s="3">
        <f t="shared" si="108"/>
        <v>45722</v>
      </c>
      <c r="D964" s="4">
        <f t="shared" ca="1" si="110"/>
        <v>118</v>
      </c>
      <c r="E964" s="2">
        <f t="shared" ca="1" si="111"/>
        <v>2076</v>
      </c>
      <c r="F964" s="2">
        <f t="shared" ca="1" si="112"/>
        <v>25363</v>
      </c>
      <c r="G964" s="2">
        <f t="shared" ca="1" si="113"/>
        <v>1073</v>
      </c>
    </row>
    <row r="965" spans="1:7" x14ac:dyDescent="0.3">
      <c r="A965" s="5" t="str">
        <f t="shared" si="107"/>
        <v>Reebok</v>
      </c>
      <c r="B965" s="5" t="str">
        <f t="shared" si="109"/>
        <v>Zig Kinetica</v>
      </c>
      <c r="C965" s="3">
        <f t="shared" si="108"/>
        <v>45722</v>
      </c>
      <c r="D965" s="4">
        <f t="shared" ca="1" si="110"/>
        <v>69</v>
      </c>
      <c r="E965" s="2">
        <f t="shared" ca="1" si="111"/>
        <v>8256</v>
      </c>
      <c r="F965" s="2">
        <f t="shared" ca="1" si="112"/>
        <v>10130</v>
      </c>
      <c r="G965" s="2">
        <f t="shared" ca="1" si="113"/>
        <v>727</v>
      </c>
    </row>
    <row r="966" spans="1:7" x14ac:dyDescent="0.3">
      <c r="A966" s="5" t="str">
        <f t="shared" si="107"/>
        <v>Nike</v>
      </c>
      <c r="B966" s="5" t="str">
        <f t="shared" si="109"/>
        <v>Jordan 1</v>
      </c>
      <c r="C966" s="3">
        <f t="shared" si="108"/>
        <v>45722</v>
      </c>
      <c r="D966" s="4">
        <f t="shared" ca="1" si="110"/>
        <v>76</v>
      </c>
      <c r="E966" s="2">
        <f t="shared" ca="1" si="111"/>
        <v>3809</v>
      </c>
      <c r="F966" s="2">
        <f t="shared" ca="1" si="112"/>
        <v>7538</v>
      </c>
      <c r="G966" s="2">
        <f t="shared" ca="1" si="113"/>
        <v>224</v>
      </c>
    </row>
    <row r="967" spans="1:7" x14ac:dyDescent="0.3">
      <c r="A967" s="5" t="str">
        <f t="shared" si="107"/>
        <v>Adidas</v>
      </c>
      <c r="B967" s="5" t="str">
        <f t="shared" si="109"/>
        <v>Ultraboost 23</v>
      </c>
      <c r="C967" s="3">
        <f t="shared" si="108"/>
        <v>45722</v>
      </c>
      <c r="D967" s="4">
        <f t="shared" ca="1" si="110"/>
        <v>51</v>
      </c>
      <c r="E967" s="2">
        <f t="shared" ca="1" si="111"/>
        <v>2126</v>
      </c>
      <c r="F967" s="2">
        <f t="shared" ca="1" si="112"/>
        <v>33874</v>
      </c>
      <c r="G967" s="2">
        <f t="shared" ca="1" si="113"/>
        <v>1205</v>
      </c>
    </row>
    <row r="968" spans="1:7" x14ac:dyDescent="0.3">
      <c r="A968" s="5" t="str">
        <f t="shared" si="107"/>
        <v>Puma</v>
      </c>
      <c r="B968" s="5" t="str">
        <f t="shared" si="109"/>
        <v>RS-X</v>
      </c>
      <c r="C968" s="3">
        <f t="shared" si="108"/>
        <v>45722</v>
      </c>
      <c r="D968" s="4">
        <f t="shared" ca="1" si="110"/>
        <v>167</v>
      </c>
      <c r="E968" s="2">
        <f t="shared" ca="1" si="111"/>
        <v>9313</v>
      </c>
      <c r="F968" s="2">
        <f t="shared" ca="1" si="112"/>
        <v>24302</v>
      </c>
      <c r="G968" s="2">
        <f t="shared" ca="1" si="113"/>
        <v>1500</v>
      </c>
    </row>
    <row r="969" spans="1:7" x14ac:dyDescent="0.3">
      <c r="A969" s="5" t="str">
        <f t="shared" si="107"/>
        <v>New Balance</v>
      </c>
      <c r="B969" s="5" t="str">
        <f t="shared" si="109"/>
        <v>2002R</v>
      </c>
      <c r="C969" s="3">
        <f t="shared" si="108"/>
        <v>45722</v>
      </c>
      <c r="D969" s="4">
        <f t="shared" ca="1" si="110"/>
        <v>161</v>
      </c>
      <c r="E969" s="2">
        <f t="shared" ca="1" si="111"/>
        <v>5527</v>
      </c>
      <c r="F969" s="2">
        <f t="shared" ca="1" si="112"/>
        <v>17153</v>
      </c>
      <c r="G969" s="2">
        <f t="shared" ca="1" si="113"/>
        <v>692</v>
      </c>
    </row>
    <row r="970" spans="1:7" x14ac:dyDescent="0.3">
      <c r="A970" s="5" t="str">
        <f t="shared" si="107"/>
        <v>Reebok</v>
      </c>
      <c r="B970" s="5" t="str">
        <f t="shared" si="109"/>
        <v>Instapump Fury</v>
      </c>
      <c r="C970" s="3">
        <f t="shared" si="108"/>
        <v>45722</v>
      </c>
      <c r="D970" s="4">
        <f t="shared" ca="1" si="110"/>
        <v>96</v>
      </c>
      <c r="E970" s="2">
        <f t="shared" ca="1" si="111"/>
        <v>11119</v>
      </c>
      <c r="F970" s="2">
        <f t="shared" ca="1" si="112"/>
        <v>27519</v>
      </c>
      <c r="G970" s="2">
        <f t="shared" ca="1" si="113"/>
        <v>1143</v>
      </c>
    </row>
    <row r="971" spans="1:7" x14ac:dyDescent="0.3">
      <c r="A971" s="5" t="str">
        <f t="shared" si="107"/>
        <v>Nike</v>
      </c>
      <c r="B971" s="5" t="str">
        <f t="shared" si="109"/>
        <v>Cortez</v>
      </c>
      <c r="C971" s="3">
        <f t="shared" si="108"/>
        <v>45722</v>
      </c>
      <c r="D971" s="4">
        <f t="shared" ca="1" si="110"/>
        <v>248</v>
      </c>
      <c r="E971" s="2">
        <f t="shared" ca="1" si="111"/>
        <v>9737</v>
      </c>
      <c r="F971" s="2">
        <f t="shared" ca="1" si="112"/>
        <v>17946</v>
      </c>
      <c r="G971" s="2">
        <f t="shared" ca="1" si="113"/>
        <v>1244</v>
      </c>
    </row>
    <row r="972" spans="1:7" x14ac:dyDescent="0.3">
      <c r="A972" s="5" t="str">
        <f t="shared" si="107"/>
        <v>Adidas</v>
      </c>
      <c r="B972" s="5" t="str">
        <f t="shared" si="109"/>
        <v>NMD S1</v>
      </c>
      <c r="C972" s="3">
        <f t="shared" si="108"/>
        <v>45722</v>
      </c>
      <c r="D972" s="4">
        <f t="shared" ca="1" si="110"/>
        <v>233</v>
      </c>
      <c r="E972" s="2">
        <f t="shared" ca="1" si="111"/>
        <v>6902</v>
      </c>
      <c r="F972" s="2">
        <f t="shared" ca="1" si="112"/>
        <v>28569</v>
      </c>
      <c r="G972" s="2">
        <f t="shared" ca="1" si="113"/>
        <v>1161</v>
      </c>
    </row>
    <row r="973" spans="1:7" x14ac:dyDescent="0.3">
      <c r="A973" s="5" t="str">
        <f t="shared" si="107"/>
        <v>Puma</v>
      </c>
      <c r="B973" s="5" t="str">
        <f t="shared" si="109"/>
        <v>Suede Classic</v>
      </c>
      <c r="C973" s="3">
        <f t="shared" si="108"/>
        <v>45722</v>
      </c>
      <c r="D973" s="4">
        <f t="shared" ca="1" si="110"/>
        <v>74</v>
      </c>
      <c r="E973" s="2">
        <f t="shared" ca="1" si="111"/>
        <v>9119</v>
      </c>
      <c r="F973" s="2">
        <f t="shared" ca="1" si="112"/>
        <v>30033</v>
      </c>
      <c r="G973" s="2">
        <f t="shared" ca="1" si="113"/>
        <v>1182</v>
      </c>
    </row>
    <row r="974" spans="1:7" x14ac:dyDescent="0.3">
      <c r="A974" s="5" t="str">
        <f t="shared" si="107"/>
        <v>New Balance</v>
      </c>
      <c r="B974" s="5" t="str">
        <f t="shared" si="109"/>
        <v>990v6</v>
      </c>
      <c r="C974" s="3">
        <f t="shared" si="108"/>
        <v>45722</v>
      </c>
      <c r="D974" s="4">
        <f t="shared" ca="1" si="110"/>
        <v>236</v>
      </c>
      <c r="E974" s="2">
        <f t="shared" ca="1" si="111"/>
        <v>5552</v>
      </c>
      <c r="F974" s="2">
        <f t="shared" ca="1" si="112"/>
        <v>6880</v>
      </c>
      <c r="G974" s="2">
        <f t="shared" ca="1" si="113"/>
        <v>489</v>
      </c>
    </row>
    <row r="975" spans="1:7" x14ac:dyDescent="0.3">
      <c r="A975" s="5" t="str">
        <f t="shared" si="107"/>
        <v>Reebok</v>
      </c>
      <c r="B975" s="5" t="str">
        <f t="shared" si="109"/>
        <v>Nano X3</v>
      </c>
      <c r="C975" s="3">
        <f t="shared" si="108"/>
        <v>45722</v>
      </c>
      <c r="D975" s="4">
        <f t="shared" ca="1" si="110"/>
        <v>200</v>
      </c>
      <c r="E975" s="2">
        <f t="shared" ca="1" si="111"/>
        <v>10494</v>
      </c>
      <c r="F975" s="2">
        <f t="shared" ca="1" si="112"/>
        <v>17601</v>
      </c>
      <c r="G975" s="2">
        <f t="shared" ca="1" si="113"/>
        <v>1235</v>
      </c>
    </row>
    <row r="976" spans="1:7" x14ac:dyDescent="0.3">
      <c r="A976" s="5" t="str">
        <f t="shared" si="107"/>
        <v>Nike</v>
      </c>
      <c r="B976" s="5" t="str">
        <f t="shared" si="109"/>
        <v>Vaporfly 3</v>
      </c>
      <c r="C976" s="3">
        <f t="shared" si="108"/>
        <v>45722</v>
      </c>
      <c r="D976" s="4">
        <f t="shared" ca="1" si="110"/>
        <v>239</v>
      </c>
      <c r="E976" s="2">
        <f t="shared" ca="1" si="111"/>
        <v>5388</v>
      </c>
      <c r="F976" s="2">
        <f t="shared" ca="1" si="112"/>
        <v>12768</v>
      </c>
      <c r="G976" s="2">
        <f t="shared" ca="1" si="113"/>
        <v>436</v>
      </c>
    </row>
    <row r="977" spans="1:7" x14ac:dyDescent="0.3">
      <c r="A977" s="5" t="str">
        <f t="shared" si="107"/>
        <v>Adidas</v>
      </c>
      <c r="B977" s="5" t="str">
        <f t="shared" si="109"/>
        <v>Samba</v>
      </c>
      <c r="C977" s="3">
        <f t="shared" si="108"/>
        <v>45723</v>
      </c>
      <c r="D977" s="4">
        <f t="shared" ca="1" si="110"/>
        <v>39</v>
      </c>
      <c r="E977" s="2">
        <f t="shared" ca="1" si="111"/>
        <v>5045</v>
      </c>
      <c r="F977" s="2">
        <f t="shared" ca="1" si="112"/>
        <v>6966</v>
      </c>
      <c r="G977" s="2">
        <f t="shared" ca="1" si="113"/>
        <v>467</v>
      </c>
    </row>
    <row r="978" spans="1:7" x14ac:dyDescent="0.3">
      <c r="A978" s="5" t="str">
        <f t="shared" si="107"/>
        <v>Puma</v>
      </c>
      <c r="B978" s="5" t="str">
        <f t="shared" si="109"/>
        <v>Mayze</v>
      </c>
      <c r="C978" s="3">
        <f t="shared" si="108"/>
        <v>45723</v>
      </c>
      <c r="D978" s="4">
        <f t="shared" ca="1" si="110"/>
        <v>27</v>
      </c>
      <c r="E978" s="2">
        <f t="shared" ca="1" si="111"/>
        <v>10344</v>
      </c>
      <c r="F978" s="2">
        <f t="shared" ca="1" si="112"/>
        <v>25709</v>
      </c>
      <c r="G978" s="2">
        <f t="shared" ca="1" si="113"/>
        <v>1070</v>
      </c>
    </row>
    <row r="979" spans="1:7" x14ac:dyDescent="0.3">
      <c r="A979" s="5" t="str">
        <f t="shared" si="107"/>
        <v>New Balance</v>
      </c>
      <c r="B979" s="5" t="str">
        <f t="shared" si="109"/>
        <v>574 Core</v>
      </c>
      <c r="C979" s="3">
        <f t="shared" si="108"/>
        <v>45723</v>
      </c>
      <c r="D979" s="4">
        <f t="shared" ca="1" si="110"/>
        <v>88</v>
      </c>
      <c r="E979" s="2">
        <f t="shared" ca="1" si="111"/>
        <v>7754</v>
      </c>
      <c r="F979" s="2">
        <f t="shared" ca="1" si="112"/>
        <v>33067</v>
      </c>
      <c r="G979" s="2">
        <f t="shared" ca="1" si="113"/>
        <v>2287</v>
      </c>
    </row>
    <row r="980" spans="1:7" x14ac:dyDescent="0.3">
      <c r="A980" s="5" t="str">
        <f t="shared" si="107"/>
        <v>Reebok</v>
      </c>
      <c r="B980" s="5" t="str">
        <f t="shared" si="109"/>
        <v>Club C 85</v>
      </c>
      <c r="C980" s="3">
        <f t="shared" si="108"/>
        <v>45723</v>
      </c>
      <c r="D980" s="4">
        <f t="shared" ca="1" si="110"/>
        <v>216</v>
      </c>
      <c r="E980" s="2">
        <f t="shared" ca="1" si="111"/>
        <v>1747</v>
      </c>
      <c r="F980" s="2">
        <f t="shared" ca="1" si="112"/>
        <v>28492</v>
      </c>
      <c r="G980" s="2">
        <f t="shared" ca="1" si="113"/>
        <v>1137</v>
      </c>
    </row>
    <row r="981" spans="1:7" x14ac:dyDescent="0.3">
      <c r="A981" s="5" t="str">
        <f t="shared" si="107"/>
        <v>Nike</v>
      </c>
      <c r="B981" s="5" t="str">
        <f t="shared" si="109"/>
        <v>Pegasus 40</v>
      </c>
      <c r="C981" s="3">
        <f t="shared" si="108"/>
        <v>45723</v>
      </c>
      <c r="D981" s="4">
        <f t="shared" ca="1" si="110"/>
        <v>35</v>
      </c>
      <c r="E981" s="2">
        <f t="shared" ca="1" si="111"/>
        <v>6428</v>
      </c>
      <c r="F981" s="2">
        <f t="shared" ca="1" si="112"/>
        <v>12558</v>
      </c>
      <c r="G981" s="2">
        <f t="shared" ca="1" si="113"/>
        <v>539</v>
      </c>
    </row>
    <row r="982" spans="1:7" x14ac:dyDescent="0.3">
      <c r="A982" s="5" t="str">
        <f t="shared" si="107"/>
        <v>Adidas</v>
      </c>
      <c r="B982" s="5" t="str">
        <f t="shared" si="109"/>
        <v>Gazelle</v>
      </c>
      <c r="C982" s="3">
        <f t="shared" si="108"/>
        <v>45723</v>
      </c>
      <c r="D982" s="4">
        <f t="shared" ca="1" si="110"/>
        <v>156</v>
      </c>
      <c r="E982" s="2">
        <f t="shared" ca="1" si="111"/>
        <v>11375</v>
      </c>
      <c r="F982" s="2">
        <f t="shared" ca="1" si="112"/>
        <v>31019</v>
      </c>
      <c r="G982" s="2">
        <f t="shared" ca="1" si="113"/>
        <v>2038</v>
      </c>
    </row>
    <row r="983" spans="1:7" x14ac:dyDescent="0.3">
      <c r="A983" s="5" t="str">
        <f t="shared" si="107"/>
        <v>Puma</v>
      </c>
      <c r="B983" s="5" t="str">
        <f t="shared" si="109"/>
        <v>Slipstream</v>
      </c>
      <c r="C983" s="3">
        <f t="shared" si="108"/>
        <v>45723</v>
      </c>
      <c r="D983" s="4">
        <f t="shared" ca="1" si="110"/>
        <v>51</v>
      </c>
      <c r="E983" s="2">
        <f t="shared" ca="1" si="111"/>
        <v>7038</v>
      </c>
      <c r="F983" s="2">
        <f t="shared" ca="1" si="112"/>
        <v>25348</v>
      </c>
      <c r="G983" s="2">
        <f t="shared" ca="1" si="113"/>
        <v>690</v>
      </c>
    </row>
    <row r="984" spans="1:7" x14ac:dyDescent="0.3">
      <c r="A984" s="5" t="str">
        <f t="shared" si="107"/>
        <v>New Balance</v>
      </c>
      <c r="B984" s="5" t="str">
        <f t="shared" si="109"/>
        <v>550</v>
      </c>
      <c r="C984" s="3">
        <f t="shared" si="108"/>
        <v>45723</v>
      </c>
      <c r="D984" s="4">
        <f t="shared" ca="1" si="110"/>
        <v>204</v>
      </c>
      <c r="E984" s="2">
        <f t="shared" ca="1" si="111"/>
        <v>3993</v>
      </c>
      <c r="F984" s="2">
        <f t="shared" ca="1" si="112"/>
        <v>14428</v>
      </c>
      <c r="G984" s="2">
        <f t="shared" ca="1" si="113"/>
        <v>1095</v>
      </c>
    </row>
    <row r="985" spans="1:7" x14ac:dyDescent="0.3">
      <c r="A985" s="5" t="str">
        <f t="shared" si="107"/>
        <v>Reebok</v>
      </c>
      <c r="B985" s="5" t="str">
        <f t="shared" si="109"/>
        <v>Classic Leather</v>
      </c>
      <c r="C985" s="3">
        <f t="shared" si="108"/>
        <v>45723</v>
      </c>
      <c r="D985" s="4">
        <f t="shared" ca="1" si="110"/>
        <v>21</v>
      </c>
      <c r="E985" s="2">
        <f t="shared" ca="1" si="111"/>
        <v>4648</v>
      </c>
      <c r="F985" s="2">
        <f t="shared" ca="1" si="112"/>
        <v>24207</v>
      </c>
      <c r="G985" s="2">
        <f t="shared" ca="1" si="113"/>
        <v>1846</v>
      </c>
    </row>
    <row r="986" spans="1:7" x14ac:dyDescent="0.3">
      <c r="A986" s="5" t="str">
        <f t="shared" si="107"/>
        <v>Nike</v>
      </c>
      <c r="B986" s="5" t="str">
        <f t="shared" si="109"/>
        <v>Air Force 1</v>
      </c>
      <c r="C986" s="3">
        <f t="shared" si="108"/>
        <v>45723</v>
      </c>
      <c r="D986" s="4">
        <f t="shared" ca="1" si="110"/>
        <v>192</v>
      </c>
      <c r="E986" s="2">
        <f t="shared" ca="1" si="111"/>
        <v>10593</v>
      </c>
      <c r="F986" s="2">
        <f t="shared" ca="1" si="112"/>
        <v>5058</v>
      </c>
      <c r="G986" s="2">
        <f t="shared" ca="1" si="113"/>
        <v>373</v>
      </c>
    </row>
    <row r="987" spans="1:7" x14ac:dyDescent="0.3">
      <c r="A987" s="5" t="str">
        <f t="shared" si="107"/>
        <v>Adidas</v>
      </c>
      <c r="B987" s="5" t="str">
        <f t="shared" si="109"/>
        <v>Superstar</v>
      </c>
      <c r="C987" s="3">
        <f t="shared" si="108"/>
        <v>45723</v>
      </c>
      <c r="D987" s="4">
        <f t="shared" ca="1" si="110"/>
        <v>48</v>
      </c>
      <c r="E987" s="2">
        <f t="shared" ca="1" si="111"/>
        <v>3003</v>
      </c>
      <c r="F987" s="2">
        <f t="shared" ca="1" si="112"/>
        <v>30015</v>
      </c>
      <c r="G987" s="2">
        <f t="shared" ca="1" si="113"/>
        <v>1309</v>
      </c>
    </row>
    <row r="988" spans="1:7" x14ac:dyDescent="0.3">
      <c r="A988" s="5" t="str">
        <f t="shared" si="107"/>
        <v>Puma</v>
      </c>
      <c r="B988" s="5" t="str">
        <f t="shared" si="109"/>
        <v>Rider Vintage</v>
      </c>
      <c r="C988" s="3">
        <f t="shared" si="108"/>
        <v>45723</v>
      </c>
      <c r="D988" s="4">
        <f t="shared" ca="1" si="110"/>
        <v>103</v>
      </c>
      <c r="E988" s="2">
        <f t="shared" ca="1" si="111"/>
        <v>11738</v>
      </c>
      <c r="F988" s="2">
        <f t="shared" ca="1" si="112"/>
        <v>24779</v>
      </c>
      <c r="G988" s="2">
        <f t="shared" ca="1" si="113"/>
        <v>1848</v>
      </c>
    </row>
    <row r="989" spans="1:7" x14ac:dyDescent="0.3">
      <c r="A989" s="5" t="str">
        <f t="shared" si="107"/>
        <v>New Balance</v>
      </c>
      <c r="B989" s="5" t="str">
        <f t="shared" si="109"/>
        <v>327</v>
      </c>
      <c r="C989" s="3">
        <f t="shared" si="108"/>
        <v>45723</v>
      </c>
      <c r="D989" s="4">
        <f t="shared" ca="1" si="110"/>
        <v>237</v>
      </c>
      <c r="E989" s="2">
        <f t="shared" ca="1" si="111"/>
        <v>10127</v>
      </c>
      <c r="F989" s="2">
        <f t="shared" ca="1" si="112"/>
        <v>18589</v>
      </c>
      <c r="G989" s="2">
        <f t="shared" ca="1" si="113"/>
        <v>975</v>
      </c>
    </row>
    <row r="990" spans="1:7" x14ac:dyDescent="0.3">
      <c r="A990" s="5" t="str">
        <f t="shared" si="107"/>
        <v>Reebok</v>
      </c>
      <c r="B990" s="5" t="str">
        <f t="shared" si="109"/>
        <v>Question Mid</v>
      </c>
      <c r="C990" s="3">
        <f t="shared" si="108"/>
        <v>45723</v>
      </c>
      <c r="D990" s="4">
        <f t="shared" ca="1" si="110"/>
        <v>240</v>
      </c>
      <c r="E990" s="2">
        <f t="shared" ca="1" si="111"/>
        <v>6447</v>
      </c>
      <c r="F990" s="2">
        <f t="shared" ca="1" si="112"/>
        <v>6457</v>
      </c>
      <c r="G990" s="2">
        <f t="shared" ca="1" si="113"/>
        <v>355</v>
      </c>
    </row>
    <row r="991" spans="1:7" x14ac:dyDescent="0.3">
      <c r="A991" s="5" t="str">
        <f t="shared" si="107"/>
        <v>Nike</v>
      </c>
      <c r="B991" s="5" t="str">
        <f t="shared" si="109"/>
        <v>Air Max 270</v>
      </c>
      <c r="C991" s="3">
        <f t="shared" si="108"/>
        <v>45723</v>
      </c>
      <c r="D991" s="4">
        <f t="shared" ca="1" si="110"/>
        <v>130</v>
      </c>
      <c r="E991" s="2">
        <f t="shared" ca="1" si="111"/>
        <v>3062</v>
      </c>
      <c r="F991" s="2">
        <f t="shared" ca="1" si="112"/>
        <v>26090</v>
      </c>
      <c r="G991" s="2">
        <f t="shared" ca="1" si="113"/>
        <v>1855</v>
      </c>
    </row>
    <row r="992" spans="1:7" x14ac:dyDescent="0.3">
      <c r="A992" s="5" t="str">
        <f t="shared" si="107"/>
        <v>Adidas</v>
      </c>
      <c r="B992" s="5" t="str">
        <f t="shared" si="109"/>
        <v>Stan Smith</v>
      </c>
      <c r="C992" s="3">
        <f t="shared" si="108"/>
        <v>45724</v>
      </c>
      <c r="D992" s="4">
        <f t="shared" ca="1" si="110"/>
        <v>43</v>
      </c>
      <c r="E992" s="2">
        <f t="shared" ca="1" si="111"/>
        <v>9315</v>
      </c>
      <c r="F992" s="2">
        <f t="shared" ca="1" si="112"/>
        <v>20339</v>
      </c>
      <c r="G992" s="2">
        <f t="shared" ca="1" si="113"/>
        <v>1408</v>
      </c>
    </row>
    <row r="993" spans="1:7" x14ac:dyDescent="0.3">
      <c r="A993" s="5" t="str">
        <f t="shared" si="107"/>
        <v>Puma</v>
      </c>
      <c r="B993" s="5" t="str">
        <f t="shared" si="109"/>
        <v>Cali Dream</v>
      </c>
      <c r="C993" s="3">
        <f t="shared" si="108"/>
        <v>45724</v>
      </c>
      <c r="D993" s="4">
        <f t="shared" ca="1" si="110"/>
        <v>128</v>
      </c>
      <c r="E993" s="2">
        <f t="shared" ca="1" si="111"/>
        <v>6817</v>
      </c>
      <c r="F993" s="2">
        <f t="shared" ca="1" si="112"/>
        <v>25413</v>
      </c>
      <c r="G993" s="2">
        <f t="shared" ca="1" si="113"/>
        <v>625</v>
      </c>
    </row>
    <row r="994" spans="1:7" x14ac:dyDescent="0.3">
      <c r="A994" s="5" t="str">
        <f t="shared" si="107"/>
        <v>New Balance</v>
      </c>
      <c r="B994" s="5" t="str">
        <f t="shared" si="109"/>
        <v>9060</v>
      </c>
      <c r="C994" s="3">
        <f t="shared" si="108"/>
        <v>45724</v>
      </c>
      <c r="D994" s="4">
        <f t="shared" ca="1" si="110"/>
        <v>146</v>
      </c>
      <c r="E994" s="2">
        <f t="shared" ca="1" si="111"/>
        <v>9660</v>
      </c>
      <c r="F994" s="2">
        <f t="shared" ca="1" si="112"/>
        <v>27648</v>
      </c>
      <c r="G994" s="2">
        <f t="shared" ca="1" si="113"/>
        <v>2023</v>
      </c>
    </row>
    <row r="995" spans="1:7" x14ac:dyDescent="0.3">
      <c r="A995" s="5" t="str">
        <f t="shared" si="107"/>
        <v>Reebok</v>
      </c>
      <c r="B995" s="5" t="str">
        <f t="shared" si="109"/>
        <v>Zig Kinetica</v>
      </c>
      <c r="C995" s="3">
        <f t="shared" si="108"/>
        <v>45724</v>
      </c>
      <c r="D995" s="4">
        <f t="shared" ca="1" si="110"/>
        <v>51</v>
      </c>
      <c r="E995" s="2">
        <f t="shared" ca="1" si="111"/>
        <v>8571</v>
      </c>
      <c r="F995" s="2">
        <f t="shared" ca="1" si="112"/>
        <v>8410</v>
      </c>
      <c r="G995" s="2">
        <f t="shared" ca="1" si="113"/>
        <v>455</v>
      </c>
    </row>
    <row r="996" spans="1:7" x14ac:dyDescent="0.3">
      <c r="A996" s="5" t="str">
        <f t="shared" si="107"/>
        <v>Nike</v>
      </c>
      <c r="B996" s="5" t="str">
        <f t="shared" si="109"/>
        <v>Jordan 1</v>
      </c>
      <c r="C996" s="3">
        <f t="shared" si="108"/>
        <v>45724</v>
      </c>
      <c r="D996" s="4">
        <f t="shared" ca="1" si="110"/>
        <v>65</v>
      </c>
      <c r="E996" s="2">
        <f t="shared" ca="1" si="111"/>
        <v>6862</v>
      </c>
      <c r="F996" s="2">
        <f t="shared" ca="1" si="112"/>
        <v>11588</v>
      </c>
      <c r="G996" s="2">
        <f t="shared" ca="1" si="113"/>
        <v>714</v>
      </c>
    </row>
    <row r="997" spans="1:7" x14ac:dyDescent="0.3">
      <c r="A997" s="5" t="str">
        <f t="shared" si="107"/>
        <v>Adidas</v>
      </c>
      <c r="B997" s="5" t="str">
        <f t="shared" si="109"/>
        <v>Ultraboost 23</v>
      </c>
      <c r="C997" s="3">
        <f t="shared" si="108"/>
        <v>45724</v>
      </c>
      <c r="D997" s="4">
        <f t="shared" ca="1" si="110"/>
        <v>188</v>
      </c>
      <c r="E997" s="2">
        <f t="shared" ca="1" si="111"/>
        <v>10352</v>
      </c>
      <c r="F997" s="2">
        <f t="shared" ca="1" si="112"/>
        <v>26443</v>
      </c>
      <c r="G997" s="2">
        <f t="shared" ca="1" si="113"/>
        <v>1557</v>
      </c>
    </row>
    <row r="998" spans="1:7" x14ac:dyDescent="0.3">
      <c r="A998" s="5" t="str">
        <f t="shared" si="107"/>
        <v>Puma</v>
      </c>
      <c r="B998" s="5" t="str">
        <f t="shared" si="109"/>
        <v>RS-X</v>
      </c>
      <c r="C998" s="3">
        <f t="shared" si="108"/>
        <v>45724</v>
      </c>
      <c r="D998" s="4">
        <f t="shared" ca="1" si="110"/>
        <v>139</v>
      </c>
      <c r="E998" s="2">
        <f t="shared" ca="1" si="111"/>
        <v>6601</v>
      </c>
      <c r="F998" s="2">
        <f t="shared" ca="1" si="112"/>
        <v>11408</v>
      </c>
      <c r="G998" s="2">
        <f t="shared" ca="1" si="113"/>
        <v>754</v>
      </c>
    </row>
    <row r="999" spans="1:7" x14ac:dyDescent="0.3">
      <c r="A999" s="5" t="str">
        <f t="shared" si="107"/>
        <v>New Balance</v>
      </c>
      <c r="B999" s="5" t="str">
        <f t="shared" si="109"/>
        <v>2002R</v>
      </c>
      <c r="C999" s="3">
        <f t="shared" si="108"/>
        <v>45724</v>
      </c>
      <c r="D999" s="4">
        <f t="shared" ca="1" si="110"/>
        <v>213</v>
      </c>
      <c r="E999" s="2">
        <f t="shared" ca="1" si="111"/>
        <v>9256</v>
      </c>
      <c r="F999" s="2">
        <f t="shared" ca="1" si="112"/>
        <v>34865</v>
      </c>
      <c r="G999" s="2">
        <f t="shared" ca="1" si="113"/>
        <v>2114</v>
      </c>
    </row>
    <row r="1000" spans="1:7" x14ac:dyDescent="0.3">
      <c r="A1000" s="5" t="str">
        <f t="shared" si="107"/>
        <v>Reebok</v>
      </c>
      <c r="B1000" s="5" t="str">
        <f t="shared" si="109"/>
        <v>Instapump Fury</v>
      </c>
      <c r="C1000" s="3">
        <f t="shared" si="108"/>
        <v>45724</v>
      </c>
      <c r="D1000" s="4">
        <f t="shared" ca="1" si="110"/>
        <v>55</v>
      </c>
      <c r="E1000" s="2">
        <f t="shared" ca="1" si="111"/>
        <v>10894</v>
      </c>
      <c r="F1000" s="2">
        <f t="shared" ca="1" si="112"/>
        <v>15513</v>
      </c>
      <c r="G1000" s="2">
        <f t="shared" ca="1" si="113"/>
        <v>773</v>
      </c>
    </row>
    <row r="1001" spans="1:7" x14ac:dyDescent="0.3">
      <c r="A1001" s="5" t="str">
        <f t="shared" si="107"/>
        <v>Nike</v>
      </c>
      <c r="B1001" s="5" t="str">
        <f t="shared" si="109"/>
        <v>Cortez</v>
      </c>
      <c r="C1001" s="3">
        <f t="shared" si="108"/>
        <v>45724</v>
      </c>
      <c r="D1001" s="4">
        <f t="shared" ca="1" si="110"/>
        <v>156</v>
      </c>
      <c r="E1001" s="2">
        <f t="shared" ca="1" si="111"/>
        <v>11345</v>
      </c>
      <c r="F1001" s="2">
        <f t="shared" ca="1" si="112"/>
        <v>22843</v>
      </c>
      <c r="G1001" s="2">
        <f t="shared" ca="1" si="113"/>
        <v>1476</v>
      </c>
    </row>
    <row r="1002" spans="1:7" x14ac:dyDescent="0.3">
      <c r="A1002" s="5" t="str">
        <f t="shared" si="107"/>
        <v>Adidas</v>
      </c>
      <c r="B1002" s="5" t="str">
        <f t="shared" si="109"/>
        <v>NMD S1</v>
      </c>
      <c r="C1002" s="3">
        <f t="shared" si="108"/>
        <v>45724</v>
      </c>
      <c r="D1002" s="4">
        <f t="shared" ca="1" si="110"/>
        <v>48</v>
      </c>
      <c r="E1002" s="2">
        <f t="shared" ca="1" si="111"/>
        <v>3241</v>
      </c>
      <c r="F1002" s="2">
        <f t="shared" ca="1" si="112"/>
        <v>6165</v>
      </c>
      <c r="G1002" s="2">
        <f t="shared" ca="1" si="113"/>
        <v>205</v>
      </c>
    </row>
    <row r="1003" spans="1:7" x14ac:dyDescent="0.3">
      <c r="A1003" s="5" t="str">
        <f t="shared" ref="A1003:A1066" si="114">CHOOSE(MOD(ROW(A1002),5)+1,"Nike","Adidas","Puma","New Balance","Reebok")</f>
        <v>Puma</v>
      </c>
      <c r="B1003" s="5" t="str">
        <f t="shared" si="109"/>
        <v>Suede Classic</v>
      </c>
      <c r="C1003" s="3">
        <f t="shared" ref="C1003:C1066" si="115">DATE(2025,1,1)+INT((ROW(A1003)-2)/15)</f>
        <v>45724</v>
      </c>
      <c r="D1003" s="4">
        <f t="shared" ca="1" si="110"/>
        <v>45</v>
      </c>
      <c r="E1003" s="2">
        <f t="shared" ca="1" si="111"/>
        <v>11247</v>
      </c>
      <c r="F1003" s="2">
        <f t="shared" ca="1" si="112"/>
        <v>27519</v>
      </c>
      <c r="G1003" s="2">
        <f t="shared" ca="1" si="113"/>
        <v>612</v>
      </c>
    </row>
    <row r="1004" spans="1:7" x14ac:dyDescent="0.3">
      <c r="A1004" s="5" t="str">
        <f t="shared" si="114"/>
        <v>New Balance</v>
      </c>
      <c r="B1004" s="5" t="str">
        <f t="shared" si="109"/>
        <v>990v6</v>
      </c>
      <c r="C1004" s="3">
        <f t="shared" si="115"/>
        <v>45724</v>
      </c>
      <c r="D1004" s="4">
        <f t="shared" ca="1" si="110"/>
        <v>212</v>
      </c>
      <c r="E1004" s="2">
        <f t="shared" ca="1" si="111"/>
        <v>2450</v>
      </c>
      <c r="F1004" s="2">
        <f t="shared" ca="1" si="112"/>
        <v>21993</v>
      </c>
      <c r="G1004" s="2">
        <f t="shared" ca="1" si="113"/>
        <v>441</v>
      </c>
    </row>
    <row r="1005" spans="1:7" x14ac:dyDescent="0.3">
      <c r="A1005" s="5" t="str">
        <f t="shared" si="114"/>
        <v>Reebok</v>
      </c>
      <c r="B1005" s="5" t="str">
        <f t="shared" si="109"/>
        <v>Nano X3</v>
      </c>
      <c r="C1005" s="3">
        <f t="shared" si="115"/>
        <v>45724</v>
      </c>
      <c r="D1005" s="4">
        <f t="shared" ca="1" si="110"/>
        <v>122</v>
      </c>
      <c r="E1005" s="2">
        <f t="shared" ca="1" si="111"/>
        <v>2833</v>
      </c>
      <c r="F1005" s="2">
        <f t="shared" ca="1" si="112"/>
        <v>9147</v>
      </c>
      <c r="G1005" s="2">
        <f t="shared" ca="1" si="113"/>
        <v>327</v>
      </c>
    </row>
    <row r="1006" spans="1:7" x14ac:dyDescent="0.3">
      <c r="A1006" s="5" t="str">
        <f t="shared" si="114"/>
        <v>Nike</v>
      </c>
      <c r="B1006" s="5" t="str">
        <f t="shared" si="109"/>
        <v>Vaporfly 3</v>
      </c>
      <c r="C1006" s="3">
        <f t="shared" si="115"/>
        <v>45724</v>
      </c>
      <c r="D1006" s="4">
        <f t="shared" ca="1" si="110"/>
        <v>82</v>
      </c>
      <c r="E1006" s="2">
        <f t="shared" ca="1" si="111"/>
        <v>2463</v>
      </c>
      <c r="F1006" s="2">
        <f t="shared" ca="1" si="112"/>
        <v>29798</v>
      </c>
      <c r="G1006" s="2">
        <f t="shared" ca="1" si="113"/>
        <v>1798</v>
      </c>
    </row>
    <row r="1007" spans="1:7" x14ac:dyDescent="0.3">
      <c r="A1007" s="5" t="str">
        <f t="shared" si="114"/>
        <v>Adidas</v>
      </c>
      <c r="B1007" s="5" t="str">
        <f t="shared" si="109"/>
        <v>Samba</v>
      </c>
      <c r="C1007" s="3">
        <f t="shared" si="115"/>
        <v>45725</v>
      </c>
      <c r="D1007" s="4">
        <f t="shared" ca="1" si="110"/>
        <v>135</v>
      </c>
      <c r="E1007" s="2">
        <f t="shared" ca="1" si="111"/>
        <v>4118</v>
      </c>
      <c r="F1007" s="2">
        <f t="shared" ca="1" si="112"/>
        <v>28511</v>
      </c>
      <c r="G1007" s="2">
        <f t="shared" ca="1" si="113"/>
        <v>625</v>
      </c>
    </row>
    <row r="1008" spans="1:7" x14ac:dyDescent="0.3">
      <c r="A1008" s="5" t="str">
        <f t="shared" si="114"/>
        <v>Puma</v>
      </c>
      <c r="B1008" s="5" t="str">
        <f t="shared" si="109"/>
        <v>Mayze</v>
      </c>
      <c r="C1008" s="3">
        <f t="shared" si="115"/>
        <v>45725</v>
      </c>
      <c r="D1008" s="4">
        <f t="shared" ca="1" si="110"/>
        <v>187</v>
      </c>
      <c r="E1008" s="2">
        <f t="shared" ca="1" si="111"/>
        <v>2184</v>
      </c>
      <c r="F1008" s="2">
        <f t="shared" ca="1" si="112"/>
        <v>9830</v>
      </c>
      <c r="G1008" s="2">
        <f t="shared" ca="1" si="113"/>
        <v>242</v>
      </c>
    </row>
    <row r="1009" spans="1:7" x14ac:dyDescent="0.3">
      <c r="A1009" s="5" t="str">
        <f t="shared" si="114"/>
        <v>New Balance</v>
      </c>
      <c r="B1009" s="5" t="str">
        <f t="shared" si="109"/>
        <v>574 Core</v>
      </c>
      <c r="C1009" s="3">
        <f t="shared" si="115"/>
        <v>45725</v>
      </c>
      <c r="D1009" s="4">
        <f t="shared" ca="1" si="110"/>
        <v>49</v>
      </c>
      <c r="E1009" s="2">
        <f t="shared" ca="1" si="111"/>
        <v>2656</v>
      </c>
      <c r="F1009" s="2">
        <f t="shared" ca="1" si="112"/>
        <v>21282</v>
      </c>
      <c r="G1009" s="2">
        <f t="shared" ca="1" si="113"/>
        <v>1433</v>
      </c>
    </row>
    <row r="1010" spans="1:7" x14ac:dyDescent="0.3">
      <c r="A1010" s="5" t="str">
        <f t="shared" si="114"/>
        <v>Reebok</v>
      </c>
      <c r="B1010" s="5" t="str">
        <f t="shared" si="109"/>
        <v>Club C 85</v>
      </c>
      <c r="C1010" s="3">
        <f t="shared" si="115"/>
        <v>45725</v>
      </c>
      <c r="D1010" s="4">
        <f t="shared" ca="1" si="110"/>
        <v>165</v>
      </c>
      <c r="E1010" s="2">
        <f t="shared" ca="1" si="111"/>
        <v>3959</v>
      </c>
      <c r="F1010" s="2">
        <f t="shared" ca="1" si="112"/>
        <v>29052</v>
      </c>
      <c r="G1010" s="2">
        <f t="shared" ca="1" si="113"/>
        <v>1861</v>
      </c>
    </row>
    <row r="1011" spans="1:7" x14ac:dyDescent="0.3">
      <c r="A1011" s="5" t="str">
        <f t="shared" si="114"/>
        <v>Nike</v>
      </c>
      <c r="B1011" s="5" t="str">
        <f t="shared" si="109"/>
        <v>Pegasus 40</v>
      </c>
      <c r="C1011" s="3">
        <f t="shared" si="115"/>
        <v>45725</v>
      </c>
      <c r="D1011" s="4">
        <f t="shared" ca="1" si="110"/>
        <v>116</v>
      </c>
      <c r="E1011" s="2">
        <f t="shared" ca="1" si="111"/>
        <v>2964</v>
      </c>
      <c r="F1011" s="2">
        <f t="shared" ca="1" si="112"/>
        <v>14360</v>
      </c>
      <c r="G1011" s="2">
        <f t="shared" ca="1" si="113"/>
        <v>661</v>
      </c>
    </row>
    <row r="1012" spans="1:7" x14ac:dyDescent="0.3">
      <c r="A1012" s="5" t="str">
        <f t="shared" si="114"/>
        <v>Adidas</v>
      </c>
      <c r="B1012" s="5" t="str">
        <f t="shared" si="109"/>
        <v>Gazelle</v>
      </c>
      <c r="C1012" s="3">
        <f t="shared" si="115"/>
        <v>45725</v>
      </c>
      <c r="D1012" s="4">
        <f t="shared" ca="1" si="110"/>
        <v>145</v>
      </c>
      <c r="E1012" s="2">
        <f t="shared" ca="1" si="111"/>
        <v>9677</v>
      </c>
      <c r="F1012" s="2">
        <f t="shared" ca="1" si="112"/>
        <v>24969</v>
      </c>
      <c r="G1012" s="2">
        <f t="shared" ca="1" si="113"/>
        <v>901</v>
      </c>
    </row>
    <row r="1013" spans="1:7" x14ac:dyDescent="0.3">
      <c r="A1013" s="5" t="str">
        <f t="shared" si="114"/>
        <v>Puma</v>
      </c>
      <c r="B1013" s="5" t="str">
        <f t="shared" si="109"/>
        <v>Slipstream</v>
      </c>
      <c r="C1013" s="3">
        <f t="shared" si="115"/>
        <v>45725</v>
      </c>
      <c r="D1013" s="4">
        <f t="shared" ca="1" si="110"/>
        <v>71</v>
      </c>
      <c r="E1013" s="2">
        <f t="shared" ca="1" si="111"/>
        <v>7264</v>
      </c>
      <c r="F1013" s="2">
        <f t="shared" ca="1" si="112"/>
        <v>31051</v>
      </c>
      <c r="G1013" s="2">
        <f t="shared" ca="1" si="113"/>
        <v>2430</v>
      </c>
    </row>
    <row r="1014" spans="1:7" x14ac:dyDescent="0.3">
      <c r="A1014" s="5" t="str">
        <f t="shared" si="114"/>
        <v>New Balance</v>
      </c>
      <c r="B1014" s="5" t="str">
        <f t="shared" si="109"/>
        <v>550</v>
      </c>
      <c r="C1014" s="3">
        <f t="shared" si="115"/>
        <v>45725</v>
      </c>
      <c r="D1014" s="4">
        <f t="shared" ca="1" si="110"/>
        <v>234</v>
      </c>
      <c r="E1014" s="2">
        <f t="shared" ca="1" si="111"/>
        <v>8676</v>
      </c>
      <c r="F1014" s="2">
        <f t="shared" ca="1" si="112"/>
        <v>24710</v>
      </c>
      <c r="G1014" s="2">
        <f t="shared" ca="1" si="113"/>
        <v>1368</v>
      </c>
    </row>
    <row r="1015" spans="1:7" x14ac:dyDescent="0.3">
      <c r="A1015" s="5" t="str">
        <f t="shared" si="114"/>
        <v>Reebok</v>
      </c>
      <c r="B1015" s="5" t="str">
        <f t="shared" si="109"/>
        <v>Classic Leather</v>
      </c>
      <c r="C1015" s="3">
        <f t="shared" si="115"/>
        <v>45725</v>
      </c>
      <c r="D1015" s="4">
        <f t="shared" ca="1" si="110"/>
        <v>159</v>
      </c>
      <c r="E1015" s="2">
        <f t="shared" ca="1" si="111"/>
        <v>11393</v>
      </c>
      <c r="F1015" s="2">
        <f t="shared" ca="1" si="112"/>
        <v>15703</v>
      </c>
      <c r="G1015" s="2">
        <f t="shared" ca="1" si="113"/>
        <v>1026</v>
      </c>
    </row>
    <row r="1016" spans="1:7" x14ac:dyDescent="0.3">
      <c r="A1016" s="5" t="str">
        <f t="shared" si="114"/>
        <v>Nike</v>
      </c>
      <c r="B1016" s="5" t="str">
        <f t="shared" si="109"/>
        <v>Air Force 1</v>
      </c>
      <c r="C1016" s="3">
        <f t="shared" si="115"/>
        <v>45725</v>
      </c>
      <c r="D1016" s="4">
        <f t="shared" ca="1" si="110"/>
        <v>161</v>
      </c>
      <c r="E1016" s="2">
        <f t="shared" ca="1" si="111"/>
        <v>3329</v>
      </c>
      <c r="F1016" s="2">
        <f t="shared" ca="1" si="112"/>
        <v>14706</v>
      </c>
      <c r="G1016" s="2">
        <f t="shared" ca="1" si="113"/>
        <v>913</v>
      </c>
    </row>
    <row r="1017" spans="1:7" x14ac:dyDescent="0.3">
      <c r="A1017" s="5" t="str">
        <f t="shared" si="114"/>
        <v>Adidas</v>
      </c>
      <c r="B1017" s="5" t="str">
        <f t="shared" si="109"/>
        <v>Superstar</v>
      </c>
      <c r="C1017" s="3">
        <f t="shared" si="115"/>
        <v>45725</v>
      </c>
      <c r="D1017" s="4">
        <f t="shared" ca="1" si="110"/>
        <v>227</v>
      </c>
      <c r="E1017" s="2">
        <f t="shared" ca="1" si="111"/>
        <v>11144</v>
      </c>
      <c r="F1017" s="2">
        <f t="shared" ca="1" si="112"/>
        <v>24343</v>
      </c>
      <c r="G1017" s="2">
        <f t="shared" ca="1" si="113"/>
        <v>653</v>
      </c>
    </row>
    <row r="1018" spans="1:7" x14ac:dyDescent="0.3">
      <c r="A1018" s="5" t="str">
        <f t="shared" si="114"/>
        <v>Puma</v>
      </c>
      <c r="B1018" s="5" t="str">
        <f t="shared" si="109"/>
        <v>Rider Vintage</v>
      </c>
      <c r="C1018" s="3">
        <f t="shared" si="115"/>
        <v>45725</v>
      </c>
      <c r="D1018" s="4">
        <f t="shared" ca="1" si="110"/>
        <v>36</v>
      </c>
      <c r="E1018" s="2">
        <f t="shared" ca="1" si="111"/>
        <v>9713</v>
      </c>
      <c r="F1018" s="2">
        <f t="shared" ca="1" si="112"/>
        <v>6038</v>
      </c>
      <c r="G1018" s="2">
        <f t="shared" ca="1" si="113"/>
        <v>200</v>
      </c>
    </row>
    <row r="1019" spans="1:7" x14ac:dyDescent="0.3">
      <c r="A1019" s="5" t="str">
        <f t="shared" si="114"/>
        <v>New Balance</v>
      </c>
      <c r="B1019" s="5" t="str">
        <f t="shared" si="109"/>
        <v>327</v>
      </c>
      <c r="C1019" s="3">
        <f t="shared" si="115"/>
        <v>45725</v>
      </c>
      <c r="D1019" s="4">
        <f t="shared" ca="1" si="110"/>
        <v>118</v>
      </c>
      <c r="E1019" s="2">
        <f t="shared" ca="1" si="111"/>
        <v>11053</v>
      </c>
      <c r="F1019" s="2">
        <f t="shared" ca="1" si="112"/>
        <v>14878</v>
      </c>
      <c r="G1019" s="2">
        <f t="shared" ca="1" si="113"/>
        <v>955</v>
      </c>
    </row>
    <row r="1020" spans="1:7" x14ac:dyDescent="0.3">
      <c r="A1020" s="5" t="str">
        <f t="shared" si="114"/>
        <v>Reebok</v>
      </c>
      <c r="B1020" s="5" t="str">
        <f t="shared" si="109"/>
        <v>Question Mid</v>
      </c>
      <c r="C1020" s="3">
        <f t="shared" si="115"/>
        <v>45725</v>
      </c>
      <c r="D1020" s="4">
        <f t="shared" ca="1" si="110"/>
        <v>53</v>
      </c>
      <c r="E1020" s="2">
        <f t="shared" ca="1" si="111"/>
        <v>6489</v>
      </c>
      <c r="F1020" s="2">
        <f t="shared" ca="1" si="112"/>
        <v>22969</v>
      </c>
      <c r="G1020" s="2">
        <f t="shared" ca="1" si="113"/>
        <v>1284</v>
      </c>
    </row>
    <row r="1021" spans="1:7" x14ac:dyDescent="0.3">
      <c r="A1021" s="5" t="str">
        <f t="shared" si="114"/>
        <v>Nike</v>
      </c>
      <c r="B1021" s="5" t="str">
        <f t="shared" si="109"/>
        <v>Air Max 270</v>
      </c>
      <c r="C1021" s="3">
        <f t="shared" si="115"/>
        <v>45725</v>
      </c>
      <c r="D1021" s="4">
        <f t="shared" ca="1" si="110"/>
        <v>169</v>
      </c>
      <c r="E1021" s="2">
        <f t="shared" ca="1" si="111"/>
        <v>3746</v>
      </c>
      <c r="F1021" s="2">
        <f t="shared" ca="1" si="112"/>
        <v>23575</v>
      </c>
      <c r="G1021" s="2">
        <f t="shared" ca="1" si="113"/>
        <v>619</v>
      </c>
    </row>
    <row r="1022" spans="1:7" x14ac:dyDescent="0.3">
      <c r="A1022" s="5" t="str">
        <f t="shared" si="114"/>
        <v>Adidas</v>
      </c>
      <c r="B1022" s="5" t="str">
        <f t="shared" si="109"/>
        <v>Stan Smith</v>
      </c>
      <c r="C1022" s="3">
        <f t="shared" si="115"/>
        <v>45726</v>
      </c>
      <c r="D1022" s="4">
        <f t="shared" ca="1" si="110"/>
        <v>146</v>
      </c>
      <c r="E1022" s="2">
        <f t="shared" ca="1" si="111"/>
        <v>7222</v>
      </c>
      <c r="F1022" s="2">
        <f t="shared" ca="1" si="112"/>
        <v>11208</v>
      </c>
      <c r="G1022" s="2">
        <f t="shared" ca="1" si="113"/>
        <v>518</v>
      </c>
    </row>
    <row r="1023" spans="1:7" x14ac:dyDescent="0.3">
      <c r="A1023" s="5" t="str">
        <f t="shared" si="114"/>
        <v>Puma</v>
      </c>
      <c r="B1023" s="5" t="str">
        <f t="shared" si="109"/>
        <v>Cali Dream</v>
      </c>
      <c r="C1023" s="3">
        <f t="shared" si="115"/>
        <v>45726</v>
      </c>
      <c r="D1023" s="4">
        <f t="shared" ca="1" si="110"/>
        <v>72</v>
      </c>
      <c r="E1023" s="2">
        <f t="shared" ca="1" si="111"/>
        <v>4861</v>
      </c>
      <c r="F1023" s="2">
        <f t="shared" ca="1" si="112"/>
        <v>31302</v>
      </c>
      <c r="G1023" s="2">
        <f t="shared" ca="1" si="113"/>
        <v>1955</v>
      </c>
    </row>
    <row r="1024" spans="1:7" x14ac:dyDescent="0.3">
      <c r="A1024" s="5" t="str">
        <f t="shared" si="114"/>
        <v>New Balance</v>
      </c>
      <c r="B1024" s="5" t="str">
        <f t="shared" si="109"/>
        <v>9060</v>
      </c>
      <c r="C1024" s="3">
        <f t="shared" si="115"/>
        <v>45726</v>
      </c>
      <c r="D1024" s="4">
        <f t="shared" ca="1" si="110"/>
        <v>173</v>
      </c>
      <c r="E1024" s="2">
        <f t="shared" ca="1" si="111"/>
        <v>7593</v>
      </c>
      <c r="F1024" s="2">
        <f t="shared" ca="1" si="112"/>
        <v>25282</v>
      </c>
      <c r="G1024" s="2">
        <f t="shared" ca="1" si="113"/>
        <v>1170</v>
      </c>
    </row>
    <row r="1025" spans="1:7" x14ac:dyDescent="0.3">
      <c r="A1025" s="5" t="str">
        <f t="shared" si="114"/>
        <v>Reebok</v>
      </c>
      <c r="B1025" s="5" t="str">
        <f t="shared" si="109"/>
        <v>Zig Kinetica</v>
      </c>
      <c r="C1025" s="3">
        <f t="shared" si="115"/>
        <v>45726</v>
      </c>
      <c r="D1025" s="4">
        <f t="shared" ca="1" si="110"/>
        <v>70</v>
      </c>
      <c r="E1025" s="2">
        <f t="shared" ca="1" si="111"/>
        <v>3304</v>
      </c>
      <c r="F1025" s="2">
        <f t="shared" ca="1" si="112"/>
        <v>16537</v>
      </c>
      <c r="G1025" s="2">
        <f t="shared" ca="1" si="113"/>
        <v>924</v>
      </c>
    </row>
    <row r="1026" spans="1:7" x14ac:dyDescent="0.3">
      <c r="A1026" s="5" t="str">
        <f t="shared" si="114"/>
        <v>Nike</v>
      </c>
      <c r="B1026" s="5" t="str">
        <f t="shared" si="109"/>
        <v>Jordan 1</v>
      </c>
      <c r="C1026" s="3">
        <f t="shared" si="115"/>
        <v>45726</v>
      </c>
      <c r="D1026" s="4">
        <f t="shared" ca="1" si="110"/>
        <v>46</v>
      </c>
      <c r="E1026" s="2">
        <f t="shared" ca="1" si="111"/>
        <v>5873</v>
      </c>
      <c r="F1026" s="2">
        <f t="shared" ca="1" si="112"/>
        <v>10401</v>
      </c>
      <c r="G1026" s="2">
        <f t="shared" ca="1" si="113"/>
        <v>726</v>
      </c>
    </row>
    <row r="1027" spans="1:7" x14ac:dyDescent="0.3">
      <c r="A1027" s="5" t="str">
        <f t="shared" si="114"/>
        <v>Adidas</v>
      </c>
      <c r="B1027" s="5" t="str">
        <f t="shared" ref="B1027:B1090" si="116">IF(A1027="Nike",CHOOSE(MOD(ROW(A1026),6)+1,"Air Max 270","Air Force 1","Pegasus 40","Vaporfly 3","Cortez","Jordan 1"),
 IF(A1027="Adidas",CHOOSE(MOD(ROW(A1026),6)+1,"Ultraboost 23","Stan Smith","Superstar","Gazelle","Samba","NMD S1"),
 IF(A1027="Puma",CHOOSE(MOD(ROW(A1026),6)+1,"Suede Classic","RS-X","Cali Dream","Rider Vintage","Slipstream","Mayze"),
 IF(A1027="New Balance",CHOOSE(MOD(ROW(A1026),6)+1,"574 Core","990v6","2002R","9060","327","550"),
 IF(A1027="Reebok",CHOOSE(MOD(ROW(A1026),6)+1,"Classic Leather","Club C 85","Nano X3","Instapump Fury","Zig Kinetica","Question Mid"),"")))))</f>
        <v>Ultraboost 23</v>
      </c>
      <c r="C1027" s="3">
        <f t="shared" si="115"/>
        <v>45726</v>
      </c>
      <c r="D1027" s="4">
        <f t="shared" ref="D1027:D1090" ca="1" si="117">RANDBETWEEN(20,250)</f>
        <v>177</v>
      </c>
      <c r="E1027" s="2">
        <f t="shared" ref="E1027:E1090" ca="1" si="118">ROUND(RANDBETWEEN(1500,12000)+(RANDBETWEEN(-200,200)),2)</f>
        <v>3204</v>
      </c>
      <c r="F1027" s="2">
        <f t="shared" ref="F1027:F1090" ca="1" si="119">RANDBETWEEN(5000,35000)</f>
        <v>26159</v>
      </c>
      <c r="G1027" s="2">
        <f t="shared" ref="G1027:G1090" ca="1" si="120">RANDBETWEEN(ROUND(F1027*0.02,0),ROUND(F1027*0.08,0))</f>
        <v>2001</v>
      </c>
    </row>
    <row r="1028" spans="1:7" x14ac:dyDescent="0.3">
      <c r="A1028" s="5" t="str">
        <f t="shared" si="114"/>
        <v>Puma</v>
      </c>
      <c r="B1028" s="5" t="str">
        <f t="shared" si="116"/>
        <v>RS-X</v>
      </c>
      <c r="C1028" s="3">
        <f t="shared" si="115"/>
        <v>45726</v>
      </c>
      <c r="D1028" s="4">
        <f t="shared" ca="1" si="117"/>
        <v>154</v>
      </c>
      <c r="E1028" s="2">
        <f t="shared" ca="1" si="118"/>
        <v>5312</v>
      </c>
      <c r="F1028" s="2">
        <f t="shared" ca="1" si="119"/>
        <v>7567</v>
      </c>
      <c r="G1028" s="2">
        <f t="shared" ca="1" si="120"/>
        <v>152</v>
      </c>
    </row>
    <row r="1029" spans="1:7" x14ac:dyDescent="0.3">
      <c r="A1029" s="5" t="str">
        <f t="shared" si="114"/>
        <v>New Balance</v>
      </c>
      <c r="B1029" s="5" t="str">
        <f t="shared" si="116"/>
        <v>2002R</v>
      </c>
      <c r="C1029" s="3">
        <f t="shared" si="115"/>
        <v>45726</v>
      </c>
      <c r="D1029" s="4">
        <f t="shared" ca="1" si="117"/>
        <v>234</v>
      </c>
      <c r="E1029" s="2">
        <f t="shared" ca="1" si="118"/>
        <v>11182</v>
      </c>
      <c r="F1029" s="2">
        <f t="shared" ca="1" si="119"/>
        <v>32683</v>
      </c>
      <c r="G1029" s="2">
        <f t="shared" ca="1" si="120"/>
        <v>1829</v>
      </c>
    </row>
    <row r="1030" spans="1:7" x14ac:dyDescent="0.3">
      <c r="A1030" s="5" t="str">
        <f t="shared" si="114"/>
        <v>Reebok</v>
      </c>
      <c r="B1030" s="5" t="str">
        <f t="shared" si="116"/>
        <v>Instapump Fury</v>
      </c>
      <c r="C1030" s="3">
        <f t="shared" si="115"/>
        <v>45726</v>
      </c>
      <c r="D1030" s="4">
        <f t="shared" ca="1" si="117"/>
        <v>153</v>
      </c>
      <c r="E1030" s="2">
        <f t="shared" ca="1" si="118"/>
        <v>6459</v>
      </c>
      <c r="F1030" s="2">
        <f t="shared" ca="1" si="119"/>
        <v>16713</v>
      </c>
      <c r="G1030" s="2">
        <f t="shared" ca="1" si="120"/>
        <v>1268</v>
      </c>
    </row>
    <row r="1031" spans="1:7" x14ac:dyDescent="0.3">
      <c r="A1031" s="5" t="str">
        <f t="shared" si="114"/>
        <v>Nike</v>
      </c>
      <c r="B1031" s="5" t="str">
        <f t="shared" si="116"/>
        <v>Cortez</v>
      </c>
      <c r="C1031" s="3">
        <f t="shared" si="115"/>
        <v>45726</v>
      </c>
      <c r="D1031" s="4">
        <f t="shared" ca="1" si="117"/>
        <v>66</v>
      </c>
      <c r="E1031" s="2">
        <f t="shared" ca="1" si="118"/>
        <v>7246</v>
      </c>
      <c r="F1031" s="2">
        <f t="shared" ca="1" si="119"/>
        <v>30915</v>
      </c>
      <c r="G1031" s="2">
        <f t="shared" ca="1" si="120"/>
        <v>1313</v>
      </c>
    </row>
    <row r="1032" spans="1:7" x14ac:dyDescent="0.3">
      <c r="A1032" s="5" t="str">
        <f t="shared" si="114"/>
        <v>Adidas</v>
      </c>
      <c r="B1032" s="5" t="str">
        <f t="shared" si="116"/>
        <v>NMD S1</v>
      </c>
      <c r="C1032" s="3">
        <f t="shared" si="115"/>
        <v>45726</v>
      </c>
      <c r="D1032" s="4">
        <f t="shared" ca="1" si="117"/>
        <v>24</v>
      </c>
      <c r="E1032" s="2">
        <f t="shared" ca="1" si="118"/>
        <v>11288</v>
      </c>
      <c r="F1032" s="2">
        <f t="shared" ca="1" si="119"/>
        <v>29442</v>
      </c>
      <c r="G1032" s="2">
        <f t="shared" ca="1" si="120"/>
        <v>728</v>
      </c>
    </row>
    <row r="1033" spans="1:7" x14ac:dyDescent="0.3">
      <c r="A1033" s="5" t="str">
        <f t="shared" si="114"/>
        <v>Puma</v>
      </c>
      <c r="B1033" s="5" t="str">
        <f t="shared" si="116"/>
        <v>Suede Classic</v>
      </c>
      <c r="C1033" s="3">
        <f t="shared" si="115"/>
        <v>45726</v>
      </c>
      <c r="D1033" s="4">
        <f t="shared" ca="1" si="117"/>
        <v>233</v>
      </c>
      <c r="E1033" s="2">
        <f t="shared" ca="1" si="118"/>
        <v>3217</v>
      </c>
      <c r="F1033" s="2">
        <f t="shared" ca="1" si="119"/>
        <v>11583</v>
      </c>
      <c r="G1033" s="2">
        <f t="shared" ca="1" si="120"/>
        <v>471</v>
      </c>
    </row>
    <row r="1034" spans="1:7" x14ac:dyDescent="0.3">
      <c r="A1034" s="5" t="str">
        <f t="shared" si="114"/>
        <v>New Balance</v>
      </c>
      <c r="B1034" s="5" t="str">
        <f t="shared" si="116"/>
        <v>990v6</v>
      </c>
      <c r="C1034" s="3">
        <f t="shared" si="115"/>
        <v>45726</v>
      </c>
      <c r="D1034" s="4">
        <f t="shared" ca="1" si="117"/>
        <v>227</v>
      </c>
      <c r="E1034" s="2">
        <f t="shared" ca="1" si="118"/>
        <v>3634</v>
      </c>
      <c r="F1034" s="2">
        <f t="shared" ca="1" si="119"/>
        <v>23043</v>
      </c>
      <c r="G1034" s="2">
        <f t="shared" ca="1" si="120"/>
        <v>563</v>
      </c>
    </row>
    <row r="1035" spans="1:7" x14ac:dyDescent="0.3">
      <c r="A1035" s="5" t="str">
        <f t="shared" si="114"/>
        <v>Reebok</v>
      </c>
      <c r="B1035" s="5" t="str">
        <f t="shared" si="116"/>
        <v>Nano X3</v>
      </c>
      <c r="C1035" s="3">
        <f t="shared" si="115"/>
        <v>45726</v>
      </c>
      <c r="D1035" s="4">
        <f t="shared" ca="1" si="117"/>
        <v>106</v>
      </c>
      <c r="E1035" s="2">
        <f t="shared" ca="1" si="118"/>
        <v>3437</v>
      </c>
      <c r="F1035" s="2">
        <f t="shared" ca="1" si="119"/>
        <v>33963</v>
      </c>
      <c r="G1035" s="2">
        <f t="shared" ca="1" si="120"/>
        <v>1837</v>
      </c>
    </row>
    <row r="1036" spans="1:7" x14ac:dyDescent="0.3">
      <c r="A1036" s="5" t="str">
        <f t="shared" si="114"/>
        <v>Nike</v>
      </c>
      <c r="B1036" s="5" t="str">
        <f t="shared" si="116"/>
        <v>Vaporfly 3</v>
      </c>
      <c r="C1036" s="3">
        <f t="shared" si="115"/>
        <v>45726</v>
      </c>
      <c r="D1036" s="4">
        <f t="shared" ca="1" si="117"/>
        <v>67</v>
      </c>
      <c r="E1036" s="2">
        <f t="shared" ca="1" si="118"/>
        <v>1556</v>
      </c>
      <c r="F1036" s="2">
        <f t="shared" ca="1" si="119"/>
        <v>28350</v>
      </c>
      <c r="G1036" s="2">
        <f t="shared" ca="1" si="120"/>
        <v>1645</v>
      </c>
    </row>
    <row r="1037" spans="1:7" x14ac:dyDescent="0.3">
      <c r="A1037" s="5" t="str">
        <f t="shared" si="114"/>
        <v>Adidas</v>
      </c>
      <c r="B1037" s="5" t="str">
        <f t="shared" si="116"/>
        <v>Samba</v>
      </c>
      <c r="C1037" s="3">
        <f t="shared" si="115"/>
        <v>45727</v>
      </c>
      <c r="D1037" s="4">
        <f t="shared" ca="1" si="117"/>
        <v>119</v>
      </c>
      <c r="E1037" s="2">
        <f t="shared" ca="1" si="118"/>
        <v>9528</v>
      </c>
      <c r="F1037" s="2">
        <f t="shared" ca="1" si="119"/>
        <v>28082</v>
      </c>
      <c r="G1037" s="2">
        <f t="shared" ca="1" si="120"/>
        <v>636</v>
      </c>
    </row>
    <row r="1038" spans="1:7" x14ac:dyDescent="0.3">
      <c r="A1038" s="5" t="str">
        <f t="shared" si="114"/>
        <v>Puma</v>
      </c>
      <c r="B1038" s="5" t="str">
        <f t="shared" si="116"/>
        <v>Mayze</v>
      </c>
      <c r="C1038" s="3">
        <f t="shared" si="115"/>
        <v>45727</v>
      </c>
      <c r="D1038" s="4">
        <f t="shared" ca="1" si="117"/>
        <v>177</v>
      </c>
      <c r="E1038" s="2">
        <f t="shared" ca="1" si="118"/>
        <v>10196</v>
      </c>
      <c r="F1038" s="2">
        <f t="shared" ca="1" si="119"/>
        <v>30660</v>
      </c>
      <c r="G1038" s="2">
        <f t="shared" ca="1" si="120"/>
        <v>1056</v>
      </c>
    </row>
    <row r="1039" spans="1:7" x14ac:dyDescent="0.3">
      <c r="A1039" s="5" t="str">
        <f t="shared" si="114"/>
        <v>New Balance</v>
      </c>
      <c r="B1039" s="5" t="str">
        <f t="shared" si="116"/>
        <v>574 Core</v>
      </c>
      <c r="C1039" s="3">
        <f t="shared" si="115"/>
        <v>45727</v>
      </c>
      <c r="D1039" s="4">
        <f t="shared" ca="1" si="117"/>
        <v>37</v>
      </c>
      <c r="E1039" s="2">
        <f t="shared" ca="1" si="118"/>
        <v>5039</v>
      </c>
      <c r="F1039" s="2">
        <f t="shared" ca="1" si="119"/>
        <v>10199</v>
      </c>
      <c r="G1039" s="2">
        <f t="shared" ca="1" si="120"/>
        <v>493</v>
      </c>
    </row>
    <row r="1040" spans="1:7" x14ac:dyDescent="0.3">
      <c r="A1040" s="5" t="str">
        <f t="shared" si="114"/>
        <v>Reebok</v>
      </c>
      <c r="B1040" s="5" t="str">
        <f t="shared" si="116"/>
        <v>Club C 85</v>
      </c>
      <c r="C1040" s="3">
        <f t="shared" si="115"/>
        <v>45727</v>
      </c>
      <c r="D1040" s="4">
        <f t="shared" ca="1" si="117"/>
        <v>80</v>
      </c>
      <c r="E1040" s="2">
        <f t="shared" ca="1" si="118"/>
        <v>7669</v>
      </c>
      <c r="F1040" s="2">
        <f t="shared" ca="1" si="119"/>
        <v>28100</v>
      </c>
      <c r="G1040" s="2">
        <f t="shared" ca="1" si="120"/>
        <v>1717</v>
      </c>
    </row>
    <row r="1041" spans="1:7" x14ac:dyDescent="0.3">
      <c r="A1041" s="5" t="str">
        <f t="shared" si="114"/>
        <v>Nike</v>
      </c>
      <c r="B1041" s="5" t="str">
        <f t="shared" si="116"/>
        <v>Pegasus 40</v>
      </c>
      <c r="C1041" s="3">
        <f t="shared" si="115"/>
        <v>45727</v>
      </c>
      <c r="D1041" s="4">
        <f t="shared" ca="1" si="117"/>
        <v>84</v>
      </c>
      <c r="E1041" s="2">
        <f t="shared" ca="1" si="118"/>
        <v>3595</v>
      </c>
      <c r="F1041" s="2">
        <f t="shared" ca="1" si="119"/>
        <v>32079</v>
      </c>
      <c r="G1041" s="2">
        <f t="shared" ca="1" si="120"/>
        <v>784</v>
      </c>
    </row>
    <row r="1042" spans="1:7" x14ac:dyDescent="0.3">
      <c r="A1042" s="5" t="str">
        <f t="shared" si="114"/>
        <v>Adidas</v>
      </c>
      <c r="B1042" s="5" t="str">
        <f t="shared" si="116"/>
        <v>Gazelle</v>
      </c>
      <c r="C1042" s="3">
        <f t="shared" si="115"/>
        <v>45727</v>
      </c>
      <c r="D1042" s="4">
        <f t="shared" ca="1" si="117"/>
        <v>53</v>
      </c>
      <c r="E1042" s="2">
        <f t="shared" ca="1" si="118"/>
        <v>11357</v>
      </c>
      <c r="F1042" s="2">
        <f t="shared" ca="1" si="119"/>
        <v>26533</v>
      </c>
      <c r="G1042" s="2">
        <f t="shared" ca="1" si="120"/>
        <v>823</v>
      </c>
    </row>
    <row r="1043" spans="1:7" x14ac:dyDescent="0.3">
      <c r="A1043" s="5" t="str">
        <f t="shared" si="114"/>
        <v>Puma</v>
      </c>
      <c r="B1043" s="5" t="str">
        <f t="shared" si="116"/>
        <v>Slipstream</v>
      </c>
      <c r="C1043" s="3">
        <f t="shared" si="115"/>
        <v>45727</v>
      </c>
      <c r="D1043" s="4">
        <f t="shared" ca="1" si="117"/>
        <v>66</v>
      </c>
      <c r="E1043" s="2">
        <f t="shared" ca="1" si="118"/>
        <v>9834</v>
      </c>
      <c r="F1043" s="2">
        <f t="shared" ca="1" si="119"/>
        <v>29853</v>
      </c>
      <c r="G1043" s="2">
        <f t="shared" ca="1" si="120"/>
        <v>1857</v>
      </c>
    </row>
    <row r="1044" spans="1:7" x14ac:dyDescent="0.3">
      <c r="A1044" s="5" t="str">
        <f t="shared" si="114"/>
        <v>New Balance</v>
      </c>
      <c r="B1044" s="5" t="str">
        <f t="shared" si="116"/>
        <v>550</v>
      </c>
      <c r="C1044" s="3">
        <f t="shared" si="115"/>
        <v>45727</v>
      </c>
      <c r="D1044" s="4">
        <f t="shared" ca="1" si="117"/>
        <v>119</v>
      </c>
      <c r="E1044" s="2">
        <f t="shared" ca="1" si="118"/>
        <v>5428</v>
      </c>
      <c r="F1044" s="2">
        <f t="shared" ca="1" si="119"/>
        <v>7721</v>
      </c>
      <c r="G1044" s="2">
        <f t="shared" ca="1" si="120"/>
        <v>265</v>
      </c>
    </row>
    <row r="1045" spans="1:7" x14ac:dyDescent="0.3">
      <c r="A1045" s="5" t="str">
        <f t="shared" si="114"/>
        <v>Reebok</v>
      </c>
      <c r="B1045" s="5" t="str">
        <f t="shared" si="116"/>
        <v>Classic Leather</v>
      </c>
      <c r="C1045" s="3">
        <f t="shared" si="115"/>
        <v>45727</v>
      </c>
      <c r="D1045" s="4">
        <f t="shared" ca="1" si="117"/>
        <v>128</v>
      </c>
      <c r="E1045" s="2">
        <f t="shared" ca="1" si="118"/>
        <v>11287</v>
      </c>
      <c r="F1045" s="2">
        <f t="shared" ca="1" si="119"/>
        <v>29640</v>
      </c>
      <c r="G1045" s="2">
        <f t="shared" ca="1" si="120"/>
        <v>2287</v>
      </c>
    </row>
    <row r="1046" spans="1:7" x14ac:dyDescent="0.3">
      <c r="A1046" s="5" t="str">
        <f t="shared" si="114"/>
        <v>Nike</v>
      </c>
      <c r="B1046" s="5" t="str">
        <f t="shared" si="116"/>
        <v>Air Force 1</v>
      </c>
      <c r="C1046" s="3">
        <f t="shared" si="115"/>
        <v>45727</v>
      </c>
      <c r="D1046" s="4">
        <f t="shared" ca="1" si="117"/>
        <v>227</v>
      </c>
      <c r="E1046" s="2">
        <f t="shared" ca="1" si="118"/>
        <v>9896</v>
      </c>
      <c r="F1046" s="2">
        <f t="shared" ca="1" si="119"/>
        <v>15909</v>
      </c>
      <c r="G1046" s="2">
        <f t="shared" ca="1" si="120"/>
        <v>457</v>
      </c>
    </row>
    <row r="1047" spans="1:7" x14ac:dyDescent="0.3">
      <c r="A1047" s="5" t="str">
        <f t="shared" si="114"/>
        <v>Adidas</v>
      </c>
      <c r="B1047" s="5" t="str">
        <f t="shared" si="116"/>
        <v>Superstar</v>
      </c>
      <c r="C1047" s="3">
        <f t="shared" si="115"/>
        <v>45727</v>
      </c>
      <c r="D1047" s="4">
        <f t="shared" ca="1" si="117"/>
        <v>73</v>
      </c>
      <c r="E1047" s="2">
        <f t="shared" ca="1" si="118"/>
        <v>4693</v>
      </c>
      <c r="F1047" s="2">
        <f t="shared" ca="1" si="119"/>
        <v>20195</v>
      </c>
      <c r="G1047" s="2">
        <f t="shared" ca="1" si="120"/>
        <v>1234</v>
      </c>
    </row>
    <row r="1048" spans="1:7" x14ac:dyDescent="0.3">
      <c r="A1048" s="5" t="str">
        <f t="shared" si="114"/>
        <v>Puma</v>
      </c>
      <c r="B1048" s="5" t="str">
        <f t="shared" si="116"/>
        <v>Rider Vintage</v>
      </c>
      <c r="C1048" s="3">
        <f t="shared" si="115"/>
        <v>45727</v>
      </c>
      <c r="D1048" s="4">
        <f t="shared" ca="1" si="117"/>
        <v>94</v>
      </c>
      <c r="E1048" s="2">
        <f t="shared" ca="1" si="118"/>
        <v>8749</v>
      </c>
      <c r="F1048" s="2">
        <f t="shared" ca="1" si="119"/>
        <v>11979</v>
      </c>
      <c r="G1048" s="2">
        <f t="shared" ca="1" si="120"/>
        <v>394</v>
      </c>
    </row>
    <row r="1049" spans="1:7" x14ac:dyDescent="0.3">
      <c r="A1049" s="5" t="str">
        <f t="shared" si="114"/>
        <v>New Balance</v>
      </c>
      <c r="B1049" s="5" t="str">
        <f t="shared" si="116"/>
        <v>327</v>
      </c>
      <c r="C1049" s="3">
        <f t="shared" si="115"/>
        <v>45727</v>
      </c>
      <c r="D1049" s="4">
        <f t="shared" ca="1" si="117"/>
        <v>239</v>
      </c>
      <c r="E1049" s="2">
        <f t="shared" ca="1" si="118"/>
        <v>4066</v>
      </c>
      <c r="F1049" s="2">
        <f t="shared" ca="1" si="119"/>
        <v>28584</v>
      </c>
      <c r="G1049" s="2">
        <f t="shared" ca="1" si="120"/>
        <v>764</v>
      </c>
    </row>
    <row r="1050" spans="1:7" x14ac:dyDescent="0.3">
      <c r="A1050" s="5" t="str">
        <f t="shared" si="114"/>
        <v>Reebok</v>
      </c>
      <c r="B1050" s="5" t="str">
        <f t="shared" si="116"/>
        <v>Question Mid</v>
      </c>
      <c r="C1050" s="3">
        <f t="shared" si="115"/>
        <v>45727</v>
      </c>
      <c r="D1050" s="4">
        <f t="shared" ca="1" si="117"/>
        <v>56</v>
      </c>
      <c r="E1050" s="2">
        <f t="shared" ca="1" si="118"/>
        <v>3871</v>
      </c>
      <c r="F1050" s="2">
        <f t="shared" ca="1" si="119"/>
        <v>26663</v>
      </c>
      <c r="G1050" s="2">
        <f t="shared" ca="1" si="120"/>
        <v>926</v>
      </c>
    </row>
    <row r="1051" spans="1:7" x14ac:dyDescent="0.3">
      <c r="A1051" s="5" t="str">
        <f t="shared" si="114"/>
        <v>Nike</v>
      </c>
      <c r="B1051" s="5" t="str">
        <f t="shared" si="116"/>
        <v>Air Max 270</v>
      </c>
      <c r="C1051" s="3">
        <f t="shared" si="115"/>
        <v>45727</v>
      </c>
      <c r="D1051" s="4">
        <f t="shared" ca="1" si="117"/>
        <v>224</v>
      </c>
      <c r="E1051" s="2">
        <f t="shared" ca="1" si="118"/>
        <v>5009</v>
      </c>
      <c r="F1051" s="2">
        <f t="shared" ca="1" si="119"/>
        <v>34188</v>
      </c>
      <c r="G1051" s="2">
        <f t="shared" ca="1" si="120"/>
        <v>1824</v>
      </c>
    </row>
    <row r="1052" spans="1:7" x14ac:dyDescent="0.3">
      <c r="A1052" s="5" t="str">
        <f t="shared" si="114"/>
        <v>Adidas</v>
      </c>
      <c r="B1052" s="5" t="str">
        <f t="shared" si="116"/>
        <v>Stan Smith</v>
      </c>
      <c r="C1052" s="3">
        <f t="shared" si="115"/>
        <v>45728</v>
      </c>
      <c r="D1052" s="4">
        <f t="shared" ca="1" si="117"/>
        <v>89</v>
      </c>
      <c r="E1052" s="2">
        <f t="shared" ca="1" si="118"/>
        <v>7759</v>
      </c>
      <c r="F1052" s="2">
        <f t="shared" ca="1" si="119"/>
        <v>23334</v>
      </c>
      <c r="G1052" s="2">
        <f t="shared" ca="1" si="120"/>
        <v>905</v>
      </c>
    </row>
    <row r="1053" spans="1:7" x14ac:dyDescent="0.3">
      <c r="A1053" s="5" t="str">
        <f t="shared" si="114"/>
        <v>Puma</v>
      </c>
      <c r="B1053" s="5" t="str">
        <f t="shared" si="116"/>
        <v>Cali Dream</v>
      </c>
      <c r="C1053" s="3">
        <f t="shared" si="115"/>
        <v>45728</v>
      </c>
      <c r="D1053" s="4">
        <f t="shared" ca="1" si="117"/>
        <v>29</v>
      </c>
      <c r="E1053" s="2">
        <f t="shared" ca="1" si="118"/>
        <v>10715</v>
      </c>
      <c r="F1053" s="2">
        <f t="shared" ca="1" si="119"/>
        <v>28474</v>
      </c>
      <c r="G1053" s="2">
        <f t="shared" ca="1" si="120"/>
        <v>865</v>
      </c>
    </row>
    <row r="1054" spans="1:7" x14ac:dyDescent="0.3">
      <c r="A1054" s="5" t="str">
        <f t="shared" si="114"/>
        <v>New Balance</v>
      </c>
      <c r="B1054" s="5" t="str">
        <f t="shared" si="116"/>
        <v>9060</v>
      </c>
      <c r="C1054" s="3">
        <f t="shared" si="115"/>
        <v>45728</v>
      </c>
      <c r="D1054" s="4">
        <f t="shared" ca="1" si="117"/>
        <v>129</v>
      </c>
      <c r="E1054" s="2">
        <f t="shared" ca="1" si="118"/>
        <v>4449</v>
      </c>
      <c r="F1054" s="2">
        <f t="shared" ca="1" si="119"/>
        <v>20283</v>
      </c>
      <c r="G1054" s="2">
        <f t="shared" ca="1" si="120"/>
        <v>1423</v>
      </c>
    </row>
    <row r="1055" spans="1:7" x14ac:dyDescent="0.3">
      <c r="A1055" s="5" t="str">
        <f t="shared" si="114"/>
        <v>Reebok</v>
      </c>
      <c r="B1055" s="5" t="str">
        <f t="shared" si="116"/>
        <v>Zig Kinetica</v>
      </c>
      <c r="C1055" s="3">
        <f t="shared" si="115"/>
        <v>45728</v>
      </c>
      <c r="D1055" s="4">
        <f t="shared" ca="1" si="117"/>
        <v>53</v>
      </c>
      <c r="E1055" s="2">
        <f t="shared" ca="1" si="118"/>
        <v>9158</v>
      </c>
      <c r="F1055" s="2">
        <f t="shared" ca="1" si="119"/>
        <v>18371</v>
      </c>
      <c r="G1055" s="2">
        <f t="shared" ca="1" si="120"/>
        <v>535</v>
      </c>
    </row>
    <row r="1056" spans="1:7" x14ac:dyDescent="0.3">
      <c r="A1056" s="5" t="str">
        <f t="shared" si="114"/>
        <v>Nike</v>
      </c>
      <c r="B1056" s="5" t="str">
        <f t="shared" si="116"/>
        <v>Jordan 1</v>
      </c>
      <c r="C1056" s="3">
        <f t="shared" si="115"/>
        <v>45728</v>
      </c>
      <c r="D1056" s="4">
        <f t="shared" ca="1" si="117"/>
        <v>39</v>
      </c>
      <c r="E1056" s="2">
        <f t="shared" ca="1" si="118"/>
        <v>5255</v>
      </c>
      <c r="F1056" s="2">
        <f t="shared" ca="1" si="119"/>
        <v>19018</v>
      </c>
      <c r="G1056" s="2">
        <f t="shared" ca="1" si="120"/>
        <v>1516</v>
      </c>
    </row>
    <row r="1057" spans="1:7" x14ac:dyDescent="0.3">
      <c r="A1057" s="5" t="str">
        <f t="shared" si="114"/>
        <v>Adidas</v>
      </c>
      <c r="B1057" s="5" t="str">
        <f t="shared" si="116"/>
        <v>Ultraboost 23</v>
      </c>
      <c r="C1057" s="3">
        <f t="shared" si="115"/>
        <v>45728</v>
      </c>
      <c r="D1057" s="4">
        <f t="shared" ca="1" si="117"/>
        <v>20</v>
      </c>
      <c r="E1057" s="2">
        <f t="shared" ca="1" si="118"/>
        <v>5591</v>
      </c>
      <c r="F1057" s="2">
        <f t="shared" ca="1" si="119"/>
        <v>8658</v>
      </c>
      <c r="G1057" s="2">
        <f t="shared" ca="1" si="120"/>
        <v>458</v>
      </c>
    </row>
    <row r="1058" spans="1:7" x14ac:dyDescent="0.3">
      <c r="A1058" s="5" t="str">
        <f t="shared" si="114"/>
        <v>Puma</v>
      </c>
      <c r="B1058" s="5" t="str">
        <f t="shared" si="116"/>
        <v>RS-X</v>
      </c>
      <c r="C1058" s="3">
        <f t="shared" si="115"/>
        <v>45728</v>
      </c>
      <c r="D1058" s="4">
        <f t="shared" ca="1" si="117"/>
        <v>56</v>
      </c>
      <c r="E1058" s="2">
        <f t="shared" ca="1" si="118"/>
        <v>5666</v>
      </c>
      <c r="F1058" s="2">
        <f t="shared" ca="1" si="119"/>
        <v>19671</v>
      </c>
      <c r="G1058" s="2">
        <f t="shared" ca="1" si="120"/>
        <v>534</v>
      </c>
    </row>
    <row r="1059" spans="1:7" x14ac:dyDescent="0.3">
      <c r="A1059" s="5" t="str">
        <f t="shared" si="114"/>
        <v>New Balance</v>
      </c>
      <c r="B1059" s="5" t="str">
        <f t="shared" si="116"/>
        <v>2002R</v>
      </c>
      <c r="C1059" s="3">
        <f t="shared" si="115"/>
        <v>45728</v>
      </c>
      <c r="D1059" s="4">
        <f t="shared" ca="1" si="117"/>
        <v>147</v>
      </c>
      <c r="E1059" s="2">
        <f t="shared" ca="1" si="118"/>
        <v>8129</v>
      </c>
      <c r="F1059" s="2">
        <f t="shared" ca="1" si="119"/>
        <v>28256</v>
      </c>
      <c r="G1059" s="2">
        <f t="shared" ca="1" si="120"/>
        <v>1451</v>
      </c>
    </row>
    <row r="1060" spans="1:7" x14ac:dyDescent="0.3">
      <c r="A1060" s="5" t="str">
        <f t="shared" si="114"/>
        <v>Reebok</v>
      </c>
      <c r="B1060" s="5" t="str">
        <f t="shared" si="116"/>
        <v>Instapump Fury</v>
      </c>
      <c r="C1060" s="3">
        <f t="shared" si="115"/>
        <v>45728</v>
      </c>
      <c r="D1060" s="4">
        <f t="shared" ca="1" si="117"/>
        <v>247</v>
      </c>
      <c r="E1060" s="2">
        <f t="shared" ca="1" si="118"/>
        <v>4954</v>
      </c>
      <c r="F1060" s="2">
        <f t="shared" ca="1" si="119"/>
        <v>16818</v>
      </c>
      <c r="G1060" s="2">
        <f t="shared" ca="1" si="120"/>
        <v>1113</v>
      </c>
    </row>
    <row r="1061" spans="1:7" x14ac:dyDescent="0.3">
      <c r="A1061" s="5" t="str">
        <f t="shared" si="114"/>
        <v>Nike</v>
      </c>
      <c r="B1061" s="5" t="str">
        <f t="shared" si="116"/>
        <v>Cortez</v>
      </c>
      <c r="C1061" s="3">
        <f t="shared" si="115"/>
        <v>45728</v>
      </c>
      <c r="D1061" s="4">
        <f t="shared" ca="1" si="117"/>
        <v>91</v>
      </c>
      <c r="E1061" s="2">
        <f t="shared" ca="1" si="118"/>
        <v>3673</v>
      </c>
      <c r="F1061" s="2">
        <f t="shared" ca="1" si="119"/>
        <v>16897</v>
      </c>
      <c r="G1061" s="2">
        <f t="shared" ca="1" si="120"/>
        <v>1312</v>
      </c>
    </row>
    <row r="1062" spans="1:7" x14ac:dyDescent="0.3">
      <c r="A1062" s="5" t="str">
        <f t="shared" si="114"/>
        <v>Adidas</v>
      </c>
      <c r="B1062" s="5" t="str">
        <f t="shared" si="116"/>
        <v>NMD S1</v>
      </c>
      <c r="C1062" s="3">
        <f t="shared" si="115"/>
        <v>45728</v>
      </c>
      <c r="D1062" s="4">
        <f t="shared" ca="1" si="117"/>
        <v>191</v>
      </c>
      <c r="E1062" s="2">
        <f t="shared" ca="1" si="118"/>
        <v>7360</v>
      </c>
      <c r="F1062" s="2">
        <f t="shared" ca="1" si="119"/>
        <v>34853</v>
      </c>
      <c r="G1062" s="2">
        <f t="shared" ca="1" si="120"/>
        <v>2535</v>
      </c>
    </row>
    <row r="1063" spans="1:7" x14ac:dyDescent="0.3">
      <c r="A1063" s="5" t="str">
        <f t="shared" si="114"/>
        <v>Puma</v>
      </c>
      <c r="B1063" s="5" t="str">
        <f t="shared" si="116"/>
        <v>Suede Classic</v>
      </c>
      <c r="C1063" s="3">
        <f t="shared" si="115"/>
        <v>45728</v>
      </c>
      <c r="D1063" s="4">
        <f t="shared" ca="1" si="117"/>
        <v>203</v>
      </c>
      <c r="E1063" s="2">
        <f t="shared" ca="1" si="118"/>
        <v>11355</v>
      </c>
      <c r="F1063" s="2">
        <f t="shared" ca="1" si="119"/>
        <v>27952</v>
      </c>
      <c r="G1063" s="2">
        <f t="shared" ca="1" si="120"/>
        <v>1367</v>
      </c>
    </row>
    <row r="1064" spans="1:7" x14ac:dyDescent="0.3">
      <c r="A1064" s="5" t="str">
        <f t="shared" si="114"/>
        <v>New Balance</v>
      </c>
      <c r="B1064" s="5" t="str">
        <f t="shared" si="116"/>
        <v>990v6</v>
      </c>
      <c r="C1064" s="3">
        <f t="shared" si="115"/>
        <v>45728</v>
      </c>
      <c r="D1064" s="4">
        <f t="shared" ca="1" si="117"/>
        <v>67</v>
      </c>
      <c r="E1064" s="2">
        <f t="shared" ca="1" si="118"/>
        <v>6234</v>
      </c>
      <c r="F1064" s="2">
        <f t="shared" ca="1" si="119"/>
        <v>14748</v>
      </c>
      <c r="G1064" s="2">
        <f t="shared" ca="1" si="120"/>
        <v>864</v>
      </c>
    </row>
    <row r="1065" spans="1:7" x14ac:dyDescent="0.3">
      <c r="A1065" s="5" t="str">
        <f t="shared" si="114"/>
        <v>Reebok</v>
      </c>
      <c r="B1065" s="5" t="str">
        <f t="shared" si="116"/>
        <v>Nano X3</v>
      </c>
      <c r="C1065" s="3">
        <f t="shared" si="115"/>
        <v>45728</v>
      </c>
      <c r="D1065" s="4">
        <f t="shared" ca="1" si="117"/>
        <v>240</v>
      </c>
      <c r="E1065" s="2">
        <f t="shared" ca="1" si="118"/>
        <v>9849</v>
      </c>
      <c r="F1065" s="2">
        <f t="shared" ca="1" si="119"/>
        <v>24932</v>
      </c>
      <c r="G1065" s="2">
        <f t="shared" ca="1" si="120"/>
        <v>1875</v>
      </c>
    </row>
    <row r="1066" spans="1:7" x14ac:dyDescent="0.3">
      <c r="A1066" s="5" t="str">
        <f t="shared" si="114"/>
        <v>Nike</v>
      </c>
      <c r="B1066" s="5" t="str">
        <f t="shared" si="116"/>
        <v>Vaporfly 3</v>
      </c>
      <c r="C1066" s="3">
        <f t="shared" si="115"/>
        <v>45728</v>
      </c>
      <c r="D1066" s="4">
        <f t="shared" ca="1" si="117"/>
        <v>21</v>
      </c>
      <c r="E1066" s="2">
        <f t="shared" ca="1" si="118"/>
        <v>6983</v>
      </c>
      <c r="F1066" s="2">
        <f t="shared" ca="1" si="119"/>
        <v>13684</v>
      </c>
      <c r="G1066" s="2">
        <f t="shared" ca="1" si="120"/>
        <v>812</v>
      </c>
    </row>
    <row r="1067" spans="1:7" x14ac:dyDescent="0.3">
      <c r="A1067" s="5" t="str">
        <f t="shared" ref="A1067:A1130" si="121">CHOOSE(MOD(ROW(A1066),5)+1,"Nike","Adidas","Puma","New Balance","Reebok")</f>
        <v>Adidas</v>
      </c>
      <c r="B1067" s="5" t="str">
        <f t="shared" si="116"/>
        <v>Samba</v>
      </c>
      <c r="C1067" s="3">
        <f t="shared" ref="C1067:C1130" si="122">DATE(2025,1,1)+INT((ROW(A1067)-2)/15)</f>
        <v>45729</v>
      </c>
      <c r="D1067" s="4">
        <f t="shared" ca="1" si="117"/>
        <v>102</v>
      </c>
      <c r="E1067" s="2">
        <f t="shared" ca="1" si="118"/>
        <v>4098</v>
      </c>
      <c r="F1067" s="2">
        <f t="shared" ca="1" si="119"/>
        <v>18288</v>
      </c>
      <c r="G1067" s="2">
        <f t="shared" ca="1" si="120"/>
        <v>1282</v>
      </c>
    </row>
    <row r="1068" spans="1:7" x14ac:dyDescent="0.3">
      <c r="A1068" s="5" t="str">
        <f t="shared" si="121"/>
        <v>Puma</v>
      </c>
      <c r="B1068" s="5" t="str">
        <f t="shared" si="116"/>
        <v>Mayze</v>
      </c>
      <c r="C1068" s="3">
        <f t="shared" si="122"/>
        <v>45729</v>
      </c>
      <c r="D1068" s="4">
        <f t="shared" ca="1" si="117"/>
        <v>42</v>
      </c>
      <c r="E1068" s="2">
        <f t="shared" ca="1" si="118"/>
        <v>7007</v>
      </c>
      <c r="F1068" s="2">
        <f t="shared" ca="1" si="119"/>
        <v>21506</v>
      </c>
      <c r="G1068" s="2">
        <f t="shared" ca="1" si="120"/>
        <v>1369</v>
      </c>
    </row>
    <row r="1069" spans="1:7" x14ac:dyDescent="0.3">
      <c r="A1069" s="5" t="str">
        <f t="shared" si="121"/>
        <v>New Balance</v>
      </c>
      <c r="B1069" s="5" t="str">
        <f t="shared" si="116"/>
        <v>574 Core</v>
      </c>
      <c r="C1069" s="3">
        <f t="shared" si="122"/>
        <v>45729</v>
      </c>
      <c r="D1069" s="4">
        <f t="shared" ca="1" si="117"/>
        <v>194</v>
      </c>
      <c r="E1069" s="2">
        <f t="shared" ca="1" si="118"/>
        <v>9262</v>
      </c>
      <c r="F1069" s="2">
        <f t="shared" ca="1" si="119"/>
        <v>15561</v>
      </c>
      <c r="G1069" s="2">
        <f t="shared" ca="1" si="120"/>
        <v>572</v>
      </c>
    </row>
    <row r="1070" spans="1:7" x14ac:dyDescent="0.3">
      <c r="A1070" s="5" t="str">
        <f t="shared" si="121"/>
        <v>Reebok</v>
      </c>
      <c r="B1070" s="5" t="str">
        <f t="shared" si="116"/>
        <v>Club C 85</v>
      </c>
      <c r="C1070" s="3">
        <f t="shared" si="122"/>
        <v>45729</v>
      </c>
      <c r="D1070" s="4">
        <f t="shared" ca="1" si="117"/>
        <v>238</v>
      </c>
      <c r="E1070" s="2">
        <f t="shared" ca="1" si="118"/>
        <v>5434</v>
      </c>
      <c r="F1070" s="2">
        <f t="shared" ca="1" si="119"/>
        <v>10396</v>
      </c>
      <c r="G1070" s="2">
        <f t="shared" ca="1" si="120"/>
        <v>702</v>
      </c>
    </row>
    <row r="1071" spans="1:7" x14ac:dyDescent="0.3">
      <c r="A1071" s="5" t="str">
        <f t="shared" si="121"/>
        <v>Nike</v>
      </c>
      <c r="B1071" s="5" t="str">
        <f t="shared" si="116"/>
        <v>Pegasus 40</v>
      </c>
      <c r="C1071" s="3">
        <f t="shared" si="122"/>
        <v>45729</v>
      </c>
      <c r="D1071" s="4">
        <f t="shared" ca="1" si="117"/>
        <v>159</v>
      </c>
      <c r="E1071" s="2">
        <f t="shared" ca="1" si="118"/>
        <v>2319</v>
      </c>
      <c r="F1071" s="2">
        <f t="shared" ca="1" si="119"/>
        <v>21477</v>
      </c>
      <c r="G1071" s="2">
        <f t="shared" ca="1" si="120"/>
        <v>527</v>
      </c>
    </row>
    <row r="1072" spans="1:7" x14ac:dyDescent="0.3">
      <c r="A1072" s="5" t="str">
        <f t="shared" si="121"/>
        <v>Adidas</v>
      </c>
      <c r="B1072" s="5" t="str">
        <f t="shared" si="116"/>
        <v>Gazelle</v>
      </c>
      <c r="C1072" s="3">
        <f t="shared" si="122"/>
        <v>45729</v>
      </c>
      <c r="D1072" s="4">
        <f t="shared" ca="1" si="117"/>
        <v>144</v>
      </c>
      <c r="E1072" s="2">
        <f t="shared" ca="1" si="118"/>
        <v>3882</v>
      </c>
      <c r="F1072" s="2">
        <f t="shared" ca="1" si="119"/>
        <v>21059</v>
      </c>
      <c r="G1072" s="2">
        <f t="shared" ca="1" si="120"/>
        <v>1267</v>
      </c>
    </row>
    <row r="1073" spans="1:7" x14ac:dyDescent="0.3">
      <c r="A1073" s="5" t="str">
        <f t="shared" si="121"/>
        <v>Puma</v>
      </c>
      <c r="B1073" s="5" t="str">
        <f t="shared" si="116"/>
        <v>Slipstream</v>
      </c>
      <c r="C1073" s="3">
        <f t="shared" si="122"/>
        <v>45729</v>
      </c>
      <c r="D1073" s="4">
        <f t="shared" ca="1" si="117"/>
        <v>224</v>
      </c>
      <c r="E1073" s="2">
        <f t="shared" ca="1" si="118"/>
        <v>7398</v>
      </c>
      <c r="F1073" s="2">
        <f t="shared" ca="1" si="119"/>
        <v>28896</v>
      </c>
      <c r="G1073" s="2">
        <f t="shared" ca="1" si="120"/>
        <v>638</v>
      </c>
    </row>
    <row r="1074" spans="1:7" x14ac:dyDescent="0.3">
      <c r="A1074" s="5" t="str">
        <f t="shared" si="121"/>
        <v>New Balance</v>
      </c>
      <c r="B1074" s="5" t="str">
        <f t="shared" si="116"/>
        <v>550</v>
      </c>
      <c r="C1074" s="3">
        <f t="shared" si="122"/>
        <v>45729</v>
      </c>
      <c r="D1074" s="4">
        <f t="shared" ca="1" si="117"/>
        <v>218</v>
      </c>
      <c r="E1074" s="2">
        <f t="shared" ca="1" si="118"/>
        <v>10964</v>
      </c>
      <c r="F1074" s="2">
        <f t="shared" ca="1" si="119"/>
        <v>23737</v>
      </c>
      <c r="G1074" s="2">
        <f t="shared" ca="1" si="120"/>
        <v>1366</v>
      </c>
    </row>
    <row r="1075" spans="1:7" x14ac:dyDescent="0.3">
      <c r="A1075" s="5" t="str">
        <f t="shared" si="121"/>
        <v>Reebok</v>
      </c>
      <c r="B1075" s="5" t="str">
        <f t="shared" si="116"/>
        <v>Classic Leather</v>
      </c>
      <c r="C1075" s="3">
        <f t="shared" si="122"/>
        <v>45729</v>
      </c>
      <c r="D1075" s="4">
        <f t="shared" ca="1" si="117"/>
        <v>186</v>
      </c>
      <c r="E1075" s="2">
        <f t="shared" ca="1" si="118"/>
        <v>3548</v>
      </c>
      <c r="F1075" s="2">
        <f t="shared" ca="1" si="119"/>
        <v>8481</v>
      </c>
      <c r="G1075" s="2">
        <f t="shared" ca="1" si="120"/>
        <v>327</v>
      </c>
    </row>
    <row r="1076" spans="1:7" x14ac:dyDescent="0.3">
      <c r="A1076" s="5" t="str">
        <f t="shared" si="121"/>
        <v>Nike</v>
      </c>
      <c r="B1076" s="5" t="str">
        <f t="shared" si="116"/>
        <v>Air Force 1</v>
      </c>
      <c r="C1076" s="3">
        <f t="shared" si="122"/>
        <v>45729</v>
      </c>
      <c r="D1076" s="4">
        <f t="shared" ca="1" si="117"/>
        <v>98</v>
      </c>
      <c r="E1076" s="2">
        <f t="shared" ca="1" si="118"/>
        <v>3869</v>
      </c>
      <c r="F1076" s="2">
        <f t="shared" ca="1" si="119"/>
        <v>26581</v>
      </c>
      <c r="G1076" s="2">
        <f t="shared" ca="1" si="120"/>
        <v>2022</v>
      </c>
    </row>
    <row r="1077" spans="1:7" x14ac:dyDescent="0.3">
      <c r="A1077" s="5" t="str">
        <f t="shared" si="121"/>
        <v>Adidas</v>
      </c>
      <c r="B1077" s="5" t="str">
        <f t="shared" si="116"/>
        <v>Superstar</v>
      </c>
      <c r="C1077" s="3">
        <f t="shared" si="122"/>
        <v>45729</v>
      </c>
      <c r="D1077" s="4">
        <f t="shared" ca="1" si="117"/>
        <v>24</v>
      </c>
      <c r="E1077" s="2">
        <f t="shared" ca="1" si="118"/>
        <v>8376</v>
      </c>
      <c r="F1077" s="2">
        <f t="shared" ca="1" si="119"/>
        <v>7652</v>
      </c>
      <c r="G1077" s="2">
        <f t="shared" ca="1" si="120"/>
        <v>194</v>
      </c>
    </row>
    <row r="1078" spans="1:7" x14ac:dyDescent="0.3">
      <c r="A1078" s="5" t="str">
        <f t="shared" si="121"/>
        <v>Puma</v>
      </c>
      <c r="B1078" s="5" t="str">
        <f t="shared" si="116"/>
        <v>Rider Vintage</v>
      </c>
      <c r="C1078" s="3">
        <f t="shared" si="122"/>
        <v>45729</v>
      </c>
      <c r="D1078" s="4">
        <f t="shared" ca="1" si="117"/>
        <v>159</v>
      </c>
      <c r="E1078" s="2">
        <f t="shared" ca="1" si="118"/>
        <v>2612</v>
      </c>
      <c r="F1078" s="2">
        <f t="shared" ca="1" si="119"/>
        <v>7974</v>
      </c>
      <c r="G1078" s="2">
        <f t="shared" ca="1" si="120"/>
        <v>550</v>
      </c>
    </row>
    <row r="1079" spans="1:7" x14ac:dyDescent="0.3">
      <c r="A1079" s="5" t="str">
        <f t="shared" si="121"/>
        <v>New Balance</v>
      </c>
      <c r="B1079" s="5" t="str">
        <f t="shared" si="116"/>
        <v>327</v>
      </c>
      <c r="C1079" s="3">
        <f t="shared" si="122"/>
        <v>45729</v>
      </c>
      <c r="D1079" s="4">
        <f t="shared" ca="1" si="117"/>
        <v>228</v>
      </c>
      <c r="E1079" s="2">
        <f t="shared" ca="1" si="118"/>
        <v>3696</v>
      </c>
      <c r="F1079" s="2">
        <f t="shared" ca="1" si="119"/>
        <v>27367</v>
      </c>
      <c r="G1079" s="2">
        <f t="shared" ca="1" si="120"/>
        <v>1202</v>
      </c>
    </row>
    <row r="1080" spans="1:7" x14ac:dyDescent="0.3">
      <c r="A1080" s="5" t="str">
        <f t="shared" si="121"/>
        <v>Reebok</v>
      </c>
      <c r="B1080" s="5" t="str">
        <f t="shared" si="116"/>
        <v>Question Mid</v>
      </c>
      <c r="C1080" s="3">
        <f t="shared" si="122"/>
        <v>45729</v>
      </c>
      <c r="D1080" s="4">
        <f t="shared" ca="1" si="117"/>
        <v>168</v>
      </c>
      <c r="E1080" s="2">
        <f t="shared" ca="1" si="118"/>
        <v>5009</v>
      </c>
      <c r="F1080" s="2">
        <f t="shared" ca="1" si="119"/>
        <v>34408</v>
      </c>
      <c r="G1080" s="2">
        <f t="shared" ca="1" si="120"/>
        <v>1238</v>
      </c>
    </row>
    <row r="1081" spans="1:7" x14ac:dyDescent="0.3">
      <c r="A1081" s="5" t="str">
        <f t="shared" si="121"/>
        <v>Nike</v>
      </c>
      <c r="B1081" s="5" t="str">
        <f t="shared" si="116"/>
        <v>Air Max 270</v>
      </c>
      <c r="C1081" s="3">
        <f t="shared" si="122"/>
        <v>45729</v>
      </c>
      <c r="D1081" s="4">
        <f t="shared" ca="1" si="117"/>
        <v>168</v>
      </c>
      <c r="E1081" s="2">
        <f t="shared" ca="1" si="118"/>
        <v>5703</v>
      </c>
      <c r="F1081" s="2">
        <f t="shared" ca="1" si="119"/>
        <v>30661</v>
      </c>
      <c r="G1081" s="2">
        <f t="shared" ca="1" si="120"/>
        <v>1576</v>
      </c>
    </row>
    <row r="1082" spans="1:7" x14ac:dyDescent="0.3">
      <c r="A1082" s="5" t="str">
        <f t="shared" si="121"/>
        <v>Adidas</v>
      </c>
      <c r="B1082" s="5" t="str">
        <f t="shared" si="116"/>
        <v>Stan Smith</v>
      </c>
      <c r="C1082" s="3">
        <f t="shared" si="122"/>
        <v>45730</v>
      </c>
      <c r="D1082" s="4">
        <f t="shared" ca="1" si="117"/>
        <v>243</v>
      </c>
      <c r="E1082" s="2">
        <f t="shared" ca="1" si="118"/>
        <v>10649</v>
      </c>
      <c r="F1082" s="2">
        <f t="shared" ca="1" si="119"/>
        <v>18510</v>
      </c>
      <c r="G1082" s="2">
        <f t="shared" ca="1" si="120"/>
        <v>995</v>
      </c>
    </row>
    <row r="1083" spans="1:7" x14ac:dyDescent="0.3">
      <c r="A1083" s="5" t="str">
        <f t="shared" si="121"/>
        <v>Puma</v>
      </c>
      <c r="B1083" s="5" t="str">
        <f t="shared" si="116"/>
        <v>Cali Dream</v>
      </c>
      <c r="C1083" s="3">
        <f t="shared" si="122"/>
        <v>45730</v>
      </c>
      <c r="D1083" s="4">
        <f t="shared" ca="1" si="117"/>
        <v>78</v>
      </c>
      <c r="E1083" s="2">
        <f t="shared" ca="1" si="118"/>
        <v>8473</v>
      </c>
      <c r="F1083" s="2">
        <f t="shared" ca="1" si="119"/>
        <v>24258</v>
      </c>
      <c r="G1083" s="2">
        <f t="shared" ca="1" si="120"/>
        <v>624</v>
      </c>
    </row>
    <row r="1084" spans="1:7" x14ac:dyDescent="0.3">
      <c r="A1084" s="5" t="str">
        <f t="shared" si="121"/>
        <v>New Balance</v>
      </c>
      <c r="B1084" s="5" t="str">
        <f t="shared" si="116"/>
        <v>9060</v>
      </c>
      <c r="C1084" s="3">
        <f t="shared" si="122"/>
        <v>45730</v>
      </c>
      <c r="D1084" s="4">
        <f t="shared" ca="1" si="117"/>
        <v>152</v>
      </c>
      <c r="E1084" s="2">
        <f t="shared" ca="1" si="118"/>
        <v>7180</v>
      </c>
      <c r="F1084" s="2">
        <f t="shared" ca="1" si="119"/>
        <v>16554</v>
      </c>
      <c r="G1084" s="2">
        <f t="shared" ca="1" si="120"/>
        <v>870</v>
      </c>
    </row>
    <row r="1085" spans="1:7" x14ac:dyDescent="0.3">
      <c r="A1085" s="5" t="str">
        <f t="shared" si="121"/>
        <v>Reebok</v>
      </c>
      <c r="B1085" s="5" t="str">
        <f t="shared" si="116"/>
        <v>Zig Kinetica</v>
      </c>
      <c r="C1085" s="3">
        <f t="shared" si="122"/>
        <v>45730</v>
      </c>
      <c r="D1085" s="4">
        <f t="shared" ca="1" si="117"/>
        <v>31</v>
      </c>
      <c r="E1085" s="2">
        <f t="shared" ca="1" si="118"/>
        <v>5395</v>
      </c>
      <c r="F1085" s="2">
        <f t="shared" ca="1" si="119"/>
        <v>18631</v>
      </c>
      <c r="G1085" s="2">
        <f t="shared" ca="1" si="120"/>
        <v>556</v>
      </c>
    </row>
    <row r="1086" spans="1:7" x14ac:dyDescent="0.3">
      <c r="A1086" s="5" t="str">
        <f t="shared" si="121"/>
        <v>Nike</v>
      </c>
      <c r="B1086" s="5" t="str">
        <f t="shared" si="116"/>
        <v>Jordan 1</v>
      </c>
      <c r="C1086" s="3">
        <f t="shared" si="122"/>
        <v>45730</v>
      </c>
      <c r="D1086" s="4">
        <f t="shared" ca="1" si="117"/>
        <v>184</v>
      </c>
      <c r="E1086" s="2">
        <f t="shared" ca="1" si="118"/>
        <v>11059</v>
      </c>
      <c r="F1086" s="2">
        <f t="shared" ca="1" si="119"/>
        <v>22742</v>
      </c>
      <c r="G1086" s="2">
        <f t="shared" ca="1" si="120"/>
        <v>1035</v>
      </c>
    </row>
    <row r="1087" spans="1:7" x14ac:dyDescent="0.3">
      <c r="A1087" s="5" t="str">
        <f t="shared" si="121"/>
        <v>Adidas</v>
      </c>
      <c r="B1087" s="5" t="str">
        <f t="shared" si="116"/>
        <v>Ultraboost 23</v>
      </c>
      <c r="C1087" s="3">
        <f t="shared" si="122"/>
        <v>45730</v>
      </c>
      <c r="D1087" s="4">
        <f t="shared" ca="1" si="117"/>
        <v>225</v>
      </c>
      <c r="E1087" s="2">
        <f t="shared" ca="1" si="118"/>
        <v>5353</v>
      </c>
      <c r="F1087" s="2">
        <f t="shared" ca="1" si="119"/>
        <v>20745</v>
      </c>
      <c r="G1087" s="2">
        <f t="shared" ca="1" si="120"/>
        <v>1248</v>
      </c>
    </row>
    <row r="1088" spans="1:7" x14ac:dyDescent="0.3">
      <c r="A1088" s="5" t="str">
        <f t="shared" si="121"/>
        <v>Puma</v>
      </c>
      <c r="B1088" s="5" t="str">
        <f t="shared" si="116"/>
        <v>RS-X</v>
      </c>
      <c r="C1088" s="3">
        <f t="shared" si="122"/>
        <v>45730</v>
      </c>
      <c r="D1088" s="4">
        <f t="shared" ca="1" si="117"/>
        <v>31</v>
      </c>
      <c r="E1088" s="2">
        <f t="shared" ca="1" si="118"/>
        <v>7161</v>
      </c>
      <c r="F1088" s="2">
        <f t="shared" ca="1" si="119"/>
        <v>27748</v>
      </c>
      <c r="G1088" s="2">
        <f t="shared" ca="1" si="120"/>
        <v>1852</v>
      </c>
    </row>
    <row r="1089" spans="1:7" x14ac:dyDescent="0.3">
      <c r="A1089" s="5" t="str">
        <f t="shared" si="121"/>
        <v>New Balance</v>
      </c>
      <c r="B1089" s="5" t="str">
        <f t="shared" si="116"/>
        <v>2002R</v>
      </c>
      <c r="C1089" s="3">
        <f t="shared" si="122"/>
        <v>45730</v>
      </c>
      <c r="D1089" s="4">
        <f t="shared" ca="1" si="117"/>
        <v>221</v>
      </c>
      <c r="E1089" s="2">
        <f t="shared" ca="1" si="118"/>
        <v>1330</v>
      </c>
      <c r="F1089" s="2">
        <f t="shared" ca="1" si="119"/>
        <v>22608</v>
      </c>
      <c r="G1089" s="2">
        <f t="shared" ca="1" si="120"/>
        <v>1655</v>
      </c>
    </row>
    <row r="1090" spans="1:7" x14ac:dyDescent="0.3">
      <c r="A1090" s="5" t="str">
        <f t="shared" si="121"/>
        <v>Reebok</v>
      </c>
      <c r="B1090" s="5" t="str">
        <f t="shared" si="116"/>
        <v>Instapump Fury</v>
      </c>
      <c r="C1090" s="3">
        <f t="shared" si="122"/>
        <v>45730</v>
      </c>
      <c r="D1090" s="4">
        <f t="shared" ca="1" si="117"/>
        <v>77</v>
      </c>
      <c r="E1090" s="2">
        <f t="shared" ca="1" si="118"/>
        <v>4054</v>
      </c>
      <c r="F1090" s="2">
        <f t="shared" ca="1" si="119"/>
        <v>26183</v>
      </c>
      <c r="G1090" s="2">
        <f t="shared" ca="1" si="120"/>
        <v>1561</v>
      </c>
    </row>
    <row r="1091" spans="1:7" x14ac:dyDescent="0.3">
      <c r="A1091" s="5" t="str">
        <f t="shared" si="121"/>
        <v>Nike</v>
      </c>
      <c r="B1091" s="5" t="str">
        <f t="shared" ref="B1091:B1154" si="123">IF(A1091="Nike",CHOOSE(MOD(ROW(A1090),6)+1,"Air Max 270","Air Force 1","Pegasus 40","Vaporfly 3","Cortez","Jordan 1"),
 IF(A1091="Adidas",CHOOSE(MOD(ROW(A1090),6)+1,"Ultraboost 23","Stan Smith","Superstar","Gazelle","Samba","NMD S1"),
 IF(A1091="Puma",CHOOSE(MOD(ROW(A1090),6)+1,"Suede Classic","RS-X","Cali Dream","Rider Vintage","Slipstream","Mayze"),
 IF(A1091="New Balance",CHOOSE(MOD(ROW(A1090),6)+1,"574 Core","990v6","2002R","9060","327","550"),
 IF(A1091="Reebok",CHOOSE(MOD(ROW(A1090),6)+1,"Classic Leather","Club C 85","Nano X3","Instapump Fury","Zig Kinetica","Question Mid"),"")))))</f>
        <v>Cortez</v>
      </c>
      <c r="C1091" s="3">
        <f t="shared" si="122"/>
        <v>45730</v>
      </c>
      <c r="D1091" s="4">
        <f t="shared" ref="D1091:D1154" ca="1" si="124">RANDBETWEEN(20,250)</f>
        <v>69</v>
      </c>
      <c r="E1091" s="2">
        <f t="shared" ref="E1091:E1154" ca="1" si="125">ROUND(RANDBETWEEN(1500,12000)+(RANDBETWEEN(-200,200)),2)</f>
        <v>7497</v>
      </c>
      <c r="F1091" s="2">
        <f t="shared" ref="F1091:F1154" ca="1" si="126">RANDBETWEEN(5000,35000)</f>
        <v>18586</v>
      </c>
      <c r="G1091" s="2">
        <f t="shared" ref="G1091:G1154" ca="1" si="127">RANDBETWEEN(ROUND(F1091*0.02,0),ROUND(F1091*0.08,0))</f>
        <v>1076</v>
      </c>
    </row>
    <row r="1092" spans="1:7" x14ac:dyDescent="0.3">
      <c r="A1092" s="5" t="str">
        <f t="shared" si="121"/>
        <v>Adidas</v>
      </c>
      <c r="B1092" s="5" t="str">
        <f t="shared" si="123"/>
        <v>NMD S1</v>
      </c>
      <c r="C1092" s="3">
        <f t="shared" si="122"/>
        <v>45730</v>
      </c>
      <c r="D1092" s="4">
        <f t="shared" ca="1" si="124"/>
        <v>117</v>
      </c>
      <c r="E1092" s="2">
        <f t="shared" ca="1" si="125"/>
        <v>9012</v>
      </c>
      <c r="F1092" s="2">
        <f t="shared" ca="1" si="126"/>
        <v>34744</v>
      </c>
      <c r="G1092" s="2">
        <f t="shared" ca="1" si="127"/>
        <v>2546</v>
      </c>
    </row>
    <row r="1093" spans="1:7" x14ac:dyDescent="0.3">
      <c r="A1093" s="5" t="str">
        <f t="shared" si="121"/>
        <v>Puma</v>
      </c>
      <c r="B1093" s="5" t="str">
        <f t="shared" si="123"/>
        <v>Suede Classic</v>
      </c>
      <c r="C1093" s="3">
        <f t="shared" si="122"/>
        <v>45730</v>
      </c>
      <c r="D1093" s="4">
        <f t="shared" ca="1" si="124"/>
        <v>133</v>
      </c>
      <c r="E1093" s="2">
        <f t="shared" ca="1" si="125"/>
        <v>1661</v>
      </c>
      <c r="F1093" s="2">
        <f t="shared" ca="1" si="126"/>
        <v>32796</v>
      </c>
      <c r="G1093" s="2">
        <f t="shared" ca="1" si="127"/>
        <v>1804</v>
      </c>
    </row>
    <row r="1094" spans="1:7" x14ac:dyDescent="0.3">
      <c r="A1094" s="5" t="str">
        <f t="shared" si="121"/>
        <v>New Balance</v>
      </c>
      <c r="B1094" s="5" t="str">
        <f t="shared" si="123"/>
        <v>990v6</v>
      </c>
      <c r="C1094" s="3">
        <f t="shared" si="122"/>
        <v>45730</v>
      </c>
      <c r="D1094" s="4">
        <f t="shared" ca="1" si="124"/>
        <v>81</v>
      </c>
      <c r="E1094" s="2">
        <f t="shared" ca="1" si="125"/>
        <v>6384</v>
      </c>
      <c r="F1094" s="2">
        <f t="shared" ca="1" si="126"/>
        <v>24117</v>
      </c>
      <c r="G1094" s="2">
        <f t="shared" ca="1" si="127"/>
        <v>952</v>
      </c>
    </row>
    <row r="1095" spans="1:7" x14ac:dyDescent="0.3">
      <c r="A1095" s="5" t="str">
        <f t="shared" si="121"/>
        <v>Reebok</v>
      </c>
      <c r="B1095" s="5" t="str">
        <f t="shared" si="123"/>
        <v>Nano X3</v>
      </c>
      <c r="C1095" s="3">
        <f t="shared" si="122"/>
        <v>45730</v>
      </c>
      <c r="D1095" s="4">
        <f t="shared" ca="1" si="124"/>
        <v>162</v>
      </c>
      <c r="E1095" s="2">
        <f t="shared" ca="1" si="125"/>
        <v>3872</v>
      </c>
      <c r="F1095" s="2">
        <f t="shared" ca="1" si="126"/>
        <v>31990</v>
      </c>
      <c r="G1095" s="2">
        <f t="shared" ca="1" si="127"/>
        <v>1090</v>
      </c>
    </row>
    <row r="1096" spans="1:7" x14ac:dyDescent="0.3">
      <c r="A1096" s="5" t="str">
        <f t="shared" si="121"/>
        <v>Nike</v>
      </c>
      <c r="B1096" s="5" t="str">
        <f t="shared" si="123"/>
        <v>Vaporfly 3</v>
      </c>
      <c r="C1096" s="3">
        <f t="shared" si="122"/>
        <v>45730</v>
      </c>
      <c r="D1096" s="4">
        <f t="shared" ca="1" si="124"/>
        <v>219</v>
      </c>
      <c r="E1096" s="2">
        <f t="shared" ca="1" si="125"/>
        <v>9172</v>
      </c>
      <c r="F1096" s="2">
        <f t="shared" ca="1" si="126"/>
        <v>22917</v>
      </c>
      <c r="G1096" s="2">
        <f t="shared" ca="1" si="127"/>
        <v>1694</v>
      </c>
    </row>
    <row r="1097" spans="1:7" x14ac:dyDescent="0.3">
      <c r="A1097" s="5" t="str">
        <f t="shared" si="121"/>
        <v>Adidas</v>
      </c>
      <c r="B1097" s="5" t="str">
        <f t="shared" si="123"/>
        <v>Samba</v>
      </c>
      <c r="C1097" s="3">
        <f t="shared" si="122"/>
        <v>45731</v>
      </c>
      <c r="D1097" s="4">
        <f t="shared" ca="1" si="124"/>
        <v>166</v>
      </c>
      <c r="E1097" s="2">
        <f t="shared" ca="1" si="125"/>
        <v>10318</v>
      </c>
      <c r="F1097" s="2">
        <f t="shared" ca="1" si="126"/>
        <v>33034</v>
      </c>
      <c r="G1097" s="2">
        <f t="shared" ca="1" si="127"/>
        <v>2381</v>
      </c>
    </row>
    <row r="1098" spans="1:7" x14ac:dyDescent="0.3">
      <c r="A1098" s="5" t="str">
        <f t="shared" si="121"/>
        <v>Puma</v>
      </c>
      <c r="B1098" s="5" t="str">
        <f t="shared" si="123"/>
        <v>Mayze</v>
      </c>
      <c r="C1098" s="3">
        <f t="shared" si="122"/>
        <v>45731</v>
      </c>
      <c r="D1098" s="4">
        <f t="shared" ca="1" si="124"/>
        <v>146</v>
      </c>
      <c r="E1098" s="2">
        <f t="shared" ca="1" si="125"/>
        <v>11478</v>
      </c>
      <c r="F1098" s="2">
        <f t="shared" ca="1" si="126"/>
        <v>23508</v>
      </c>
      <c r="G1098" s="2">
        <f t="shared" ca="1" si="127"/>
        <v>1740</v>
      </c>
    </row>
    <row r="1099" spans="1:7" x14ac:dyDescent="0.3">
      <c r="A1099" s="5" t="str">
        <f t="shared" si="121"/>
        <v>New Balance</v>
      </c>
      <c r="B1099" s="5" t="str">
        <f t="shared" si="123"/>
        <v>574 Core</v>
      </c>
      <c r="C1099" s="3">
        <f t="shared" si="122"/>
        <v>45731</v>
      </c>
      <c r="D1099" s="4">
        <f t="shared" ca="1" si="124"/>
        <v>78</v>
      </c>
      <c r="E1099" s="2">
        <f t="shared" ca="1" si="125"/>
        <v>6404</v>
      </c>
      <c r="F1099" s="2">
        <f t="shared" ca="1" si="126"/>
        <v>5531</v>
      </c>
      <c r="G1099" s="2">
        <f t="shared" ca="1" si="127"/>
        <v>261</v>
      </c>
    </row>
    <row r="1100" spans="1:7" x14ac:dyDescent="0.3">
      <c r="A1100" s="5" t="str">
        <f t="shared" si="121"/>
        <v>Reebok</v>
      </c>
      <c r="B1100" s="5" t="str">
        <f t="shared" si="123"/>
        <v>Club C 85</v>
      </c>
      <c r="C1100" s="3">
        <f t="shared" si="122"/>
        <v>45731</v>
      </c>
      <c r="D1100" s="4">
        <f t="shared" ca="1" si="124"/>
        <v>99</v>
      </c>
      <c r="E1100" s="2">
        <f t="shared" ca="1" si="125"/>
        <v>2740</v>
      </c>
      <c r="F1100" s="2">
        <f t="shared" ca="1" si="126"/>
        <v>27343</v>
      </c>
      <c r="G1100" s="2">
        <f t="shared" ca="1" si="127"/>
        <v>695</v>
      </c>
    </row>
    <row r="1101" spans="1:7" x14ac:dyDescent="0.3">
      <c r="A1101" s="5" t="str">
        <f t="shared" si="121"/>
        <v>Nike</v>
      </c>
      <c r="B1101" s="5" t="str">
        <f t="shared" si="123"/>
        <v>Pegasus 40</v>
      </c>
      <c r="C1101" s="3">
        <f t="shared" si="122"/>
        <v>45731</v>
      </c>
      <c r="D1101" s="4">
        <f t="shared" ca="1" si="124"/>
        <v>20</v>
      </c>
      <c r="E1101" s="2">
        <f t="shared" ca="1" si="125"/>
        <v>7534</v>
      </c>
      <c r="F1101" s="2">
        <f t="shared" ca="1" si="126"/>
        <v>33285</v>
      </c>
      <c r="G1101" s="2">
        <f t="shared" ca="1" si="127"/>
        <v>1958</v>
      </c>
    </row>
    <row r="1102" spans="1:7" x14ac:dyDescent="0.3">
      <c r="A1102" s="5" t="str">
        <f t="shared" si="121"/>
        <v>Adidas</v>
      </c>
      <c r="B1102" s="5" t="str">
        <f t="shared" si="123"/>
        <v>Gazelle</v>
      </c>
      <c r="C1102" s="3">
        <f t="shared" si="122"/>
        <v>45731</v>
      </c>
      <c r="D1102" s="4">
        <f t="shared" ca="1" si="124"/>
        <v>249</v>
      </c>
      <c r="E1102" s="2">
        <f t="shared" ca="1" si="125"/>
        <v>6923</v>
      </c>
      <c r="F1102" s="2">
        <f t="shared" ca="1" si="126"/>
        <v>18372</v>
      </c>
      <c r="G1102" s="2">
        <f t="shared" ca="1" si="127"/>
        <v>1281</v>
      </c>
    </row>
    <row r="1103" spans="1:7" x14ac:dyDescent="0.3">
      <c r="A1103" s="5" t="str">
        <f t="shared" si="121"/>
        <v>Puma</v>
      </c>
      <c r="B1103" s="5" t="str">
        <f t="shared" si="123"/>
        <v>Slipstream</v>
      </c>
      <c r="C1103" s="3">
        <f t="shared" si="122"/>
        <v>45731</v>
      </c>
      <c r="D1103" s="4">
        <f t="shared" ca="1" si="124"/>
        <v>218</v>
      </c>
      <c r="E1103" s="2">
        <f t="shared" ca="1" si="125"/>
        <v>6379</v>
      </c>
      <c r="F1103" s="2">
        <f t="shared" ca="1" si="126"/>
        <v>26551</v>
      </c>
      <c r="G1103" s="2">
        <f t="shared" ca="1" si="127"/>
        <v>1177</v>
      </c>
    </row>
    <row r="1104" spans="1:7" x14ac:dyDescent="0.3">
      <c r="A1104" s="5" t="str">
        <f t="shared" si="121"/>
        <v>New Balance</v>
      </c>
      <c r="B1104" s="5" t="str">
        <f t="shared" si="123"/>
        <v>550</v>
      </c>
      <c r="C1104" s="3">
        <f t="shared" si="122"/>
        <v>45731</v>
      </c>
      <c r="D1104" s="4">
        <f t="shared" ca="1" si="124"/>
        <v>197</v>
      </c>
      <c r="E1104" s="2">
        <f t="shared" ca="1" si="125"/>
        <v>4755</v>
      </c>
      <c r="F1104" s="2">
        <f t="shared" ca="1" si="126"/>
        <v>19348</v>
      </c>
      <c r="G1104" s="2">
        <f t="shared" ca="1" si="127"/>
        <v>440</v>
      </c>
    </row>
    <row r="1105" spans="1:7" x14ac:dyDescent="0.3">
      <c r="A1105" s="5" t="str">
        <f t="shared" si="121"/>
        <v>Reebok</v>
      </c>
      <c r="B1105" s="5" t="str">
        <f t="shared" si="123"/>
        <v>Classic Leather</v>
      </c>
      <c r="C1105" s="3">
        <f t="shared" si="122"/>
        <v>45731</v>
      </c>
      <c r="D1105" s="4">
        <f t="shared" ca="1" si="124"/>
        <v>156</v>
      </c>
      <c r="E1105" s="2">
        <f t="shared" ca="1" si="125"/>
        <v>1836</v>
      </c>
      <c r="F1105" s="2">
        <f t="shared" ca="1" si="126"/>
        <v>30209</v>
      </c>
      <c r="G1105" s="2">
        <f t="shared" ca="1" si="127"/>
        <v>1559</v>
      </c>
    </row>
    <row r="1106" spans="1:7" x14ac:dyDescent="0.3">
      <c r="A1106" s="5" t="str">
        <f t="shared" si="121"/>
        <v>Nike</v>
      </c>
      <c r="B1106" s="5" t="str">
        <f t="shared" si="123"/>
        <v>Air Force 1</v>
      </c>
      <c r="C1106" s="3">
        <f t="shared" si="122"/>
        <v>45731</v>
      </c>
      <c r="D1106" s="4">
        <f t="shared" ca="1" si="124"/>
        <v>95</v>
      </c>
      <c r="E1106" s="2">
        <f t="shared" ca="1" si="125"/>
        <v>6010</v>
      </c>
      <c r="F1106" s="2">
        <f t="shared" ca="1" si="126"/>
        <v>17392</v>
      </c>
      <c r="G1106" s="2">
        <f t="shared" ca="1" si="127"/>
        <v>1276</v>
      </c>
    </row>
    <row r="1107" spans="1:7" x14ac:dyDescent="0.3">
      <c r="A1107" s="5" t="str">
        <f t="shared" si="121"/>
        <v>Adidas</v>
      </c>
      <c r="B1107" s="5" t="str">
        <f t="shared" si="123"/>
        <v>Superstar</v>
      </c>
      <c r="C1107" s="3">
        <f t="shared" si="122"/>
        <v>45731</v>
      </c>
      <c r="D1107" s="4">
        <f t="shared" ca="1" si="124"/>
        <v>37</v>
      </c>
      <c r="E1107" s="2">
        <f t="shared" ca="1" si="125"/>
        <v>1459</v>
      </c>
      <c r="F1107" s="2">
        <f t="shared" ca="1" si="126"/>
        <v>14669</v>
      </c>
      <c r="G1107" s="2">
        <f t="shared" ca="1" si="127"/>
        <v>1143</v>
      </c>
    </row>
    <row r="1108" spans="1:7" x14ac:dyDescent="0.3">
      <c r="A1108" s="5" t="str">
        <f t="shared" si="121"/>
        <v>Puma</v>
      </c>
      <c r="B1108" s="5" t="str">
        <f t="shared" si="123"/>
        <v>Rider Vintage</v>
      </c>
      <c r="C1108" s="3">
        <f t="shared" si="122"/>
        <v>45731</v>
      </c>
      <c r="D1108" s="4">
        <f t="shared" ca="1" si="124"/>
        <v>149</v>
      </c>
      <c r="E1108" s="2">
        <f t="shared" ca="1" si="125"/>
        <v>2212</v>
      </c>
      <c r="F1108" s="2">
        <f t="shared" ca="1" si="126"/>
        <v>7298</v>
      </c>
      <c r="G1108" s="2">
        <f t="shared" ca="1" si="127"/>
        <v>176</v>
      </c>
    </row>
    <row r="1109" spans="1:7" x14ac:dyDescent="0.3">
      <c r="A1109" s="5" t="str">
        <f t="shared" si="121"/>
        <v>New Balance</v>
      </c>
      <c r="B1109" s="5" t="str">
        <f t="shared" si="123"/>
        <v>327</v>
      </c>
      <c r="C1109" s="3">
        <f t="shared" si="122"/>
        <v>45731</v>
      </c>
      <c r="D1109" s="4">
        <f t="shared" ca="1" si="124"/>
        <v>43</v>
      </c>
      <c r="E1109" s="2">
        <f t="shared" ca="1" si="125"/>
        <v>4897</v>
      </c>
      <c r="F1109" s="2">
        <f t="shared" ca="1" si="126"/>
        <v>32939</v>
      </c>
      <c r="G1109" s="2">
        <f t="shared" ca="1" si="127"/>
        <v>781</v>
      </c>
    </row>
    <row r="1110" spans="1:7" x14ac:dyDescent="0.3">
      <c r="A1110" s="5" t="str">
        <f t="shared" si="121"/>
        <v>Reebok</v>
      </c>
      <c r="B1110" s="5" t="str">
        <f t="shared" si="123"/>
        <v>Question Mid</v>
      </c>
      <c r="C1110" s="3">
        <f t="shared" si="122"/>
        <v>45731</v>
      </c>
      <c r="D1110" s="4">
        <f t="shared" ca="1" si="124"/>
        <v>77</v>
      </c>
      <c r="E1110" s="2">
        <f t="shared" ca="1" si="125"/>
        <v>9154</v>
      </c>
      <c r="F1110" s="2">
        <f t="shared" ca="1" si="126"/>
        <v>12729</v>
      </c>
      <c r="G1110" s="2">
        <f t="shared" ca="1" si="127"/>
        <v>612</v>
      </c>
    </row>
    <row r="1111" spans="1:7" x14ac:dyDescent="0.3">
      <c r="A1111" s="5" t="str">
        <f t="shared" si="121"/>
        <v>Nike</v>
      </c>
      <c r="B1111" s="5" t="str">
        <f t="shared" si="123"/>
        <v>Air Max 270</v>
      </c>
      <c r="C1111" s="3">
        <f t="shared" si="122"/>
        <v>45731</v>
      </c>
      <c r="D1111" s="4">
        <f t="shared" ca="1" si="124"/>
        <v>74</v>
      </c>
      <c r="E1111" s="2">
        <f t="shared" ca="1" si="125"/>
        <v>6792</v>
      </c>
      <c r="F1111" s="2">
        <f t="shared" ca="1" si="126"/>
        <v>6627</v>
      </c>
      <c r="G1111" s="2">
        <f t="shared" ca="1" si="127"/>
        <v>516</v>
      </c>
    </row>
    <row r="1112" spans="1:7" x14ac:dyDescent="0.3">
      <c r="A1112" s="5" t="str">
        <f t="shared" si="121"/>
        <v>Adidas</v>
      </c>
      <c r="B1112" s="5" t="str">
        <f t="shared" si="123"/>
        <v>Stan Smith</v>
      </c>
      <c r="C1112" s="3">
        <f t="shared" si="122"/>
        <v>45732</v>
      </c>
      <c r="D1112" s="4">
        <f t="shared" ca="1" si="124"/>
        <v>86</v>
      </c>
      <c r="E1112" s="2">
        <f t="shared" ca="1" si="125"/>
        <v>3401</v>
      </c>
      <c r="F1112" s="2">
        <f t="shared" ca="1" si="126"/>
        <v>27873</v>
      </c>
      <c r="G1112" s="2">
        <f t="shared" ca="1" si="127"/>
        <v>584</v>
      </c>
    </row>
    <row r="1113" spans="1:7" x14ac:dyDescent="0.3">
      <c r="A1113" s="5" t="str">
        <f t="shared" si="121"/>
        <v>Puma</v>
      </c>
      <c r="B1113" s="5" t="str">
        <f t="shared" si="123"/>
        <v>Cali Dream</v>
      </c>
      <c r="C1113" s="3">
        <f t="shared" si="122"/>
        <v>45732</v>
      </c>
      <c r="D1113" s="4">
        <f t="shared" ca="1" si="124"/>
        <v>42</v>
      </c>
      <c r="E1113" s="2">
        <f t="shared" ca="1" si="125"/>
        <v>7942</v>
      </c>
      <c r="F1113" s="2">
        <f t="shared" ca="1" si="126"/>
        <v>25709</v>
      </c>
      <c r="G1113" s="2">
        <f t="shared" ca="1" si="127"/>
        <v>1064</v>
      </c>
    </row>
    <row r="1114" spans="1:7" x14ac:dyDescent="0.3">
      <c r="A1114" s="5" t="str">
        <f t="shared" si="121"/>
        <v>New Balance</v>
      </c>
      <c r="B1114" s="5" t="str">
        <f t="shared" si="123"/>
        <v>9060</v>
      </c>
      <c r="C1114" s="3">
        <f t="shared" si="122"/>
        <v>45732</v>
      </c>
      <c r="D1114" s="4">
        <f t="shared" ca="1" si="124"/>
        <v>25</v>
      </c>
      <c r="E1114" s="2">
        <f t="shared" ca="1" si="125"/>
        <v>4191</v>
      </c>
      <c r="F1114" s="2">
        <f t="shared" ca="1" si="126"/>
        <v>8101</v>
      </c>
      <c r="G1114" s="2">
        <f t="shared" ca="1" si="127"/>
        <v>459</v>
      </c>
    </row>
    <row r="1115" spans="1:7" x14ac:dyDescent="0.3">
      <c r="A1115" s="5" t="str">
        <f t="shared" si="121"/>
        <v>Reebok</v>
      </c>
      <c r="B1115" s="5" t="str">
        <f t="shared" si="123"/>
        <v>Zig Kinetica</v>
      </c>
      <c r="C1115" s="3">
        <f t="shared" si="122"/>
        <v>45732</v>
      </c>
      <c r="D1115" s="4">
        <f t="shared" ca="1" si="124"/>
        <v>116</v>
      </c>
      <c r="E1115" s="2">
        <f t="shared" ca="1" si="125"/>
        <v>10402</v>
      </c>
      <c r="F1115" s="2">
        <f t="shared" ca="1" si="126"/>
        <v>23066</v>
      </c>
      <c r="G1115" s="2">
        <f t="shared" ca="1" si="127"/>
        <v>1811</v>
      </c>
    </row>
    <row r="1116" spans="1:7" x14ac:dyDescent="0.3">
      <c r="A1116" s="5" t="str">
        <f t="shared" si="121"/>
        <v>Nike</v>
      </c>
      <c r="B1116" s="5" t="str">
        <f t="shared" si="123"/>
        <v>Jordan 1</v>
      </c>
      <c r="C1116" s="3">
        <f t="shared" si="122"/>
        <v>45732</v>
      </c>
      <c r="D1116" s="4">
        <f t="shared" ca="1" si="124"/>
        <v>90</v>
      </c>
      <c r="E1116" s="2">
        <f t="shared" ca="1" si="125"/>
        <v>8684</v>
      </c>
      <c r="F1116" s="2">
        <f t="shared" ca="1" si="126"/>
        <v>21377</v>
      </c>
      <c r="G1116" s="2">
        <f t="shared" ca="1" si="127"/>
        <v>1190</v>
      </c>
    </row>
    <row r="1117" spans="1:7" x14ac:dyDescent="0.3">
      <c r="A1117" s="5" t="str">
        <f t="shared" si="121"/>
        <v>Adidas</v>
      </c>
      <c r="B1117" s="5" t="str">
        <f t="shared" si="123"/>
        <v>Ultraboost 23</v>
      </c>
      <c r="C1117" s="3">
        <f t="shared" si="122"/>
        <v>45732</v>
      </c>
      <c r="D1117" s="4">
        <f t="shared" ca="1" si="124"/>
        <v>78</v>
      </c>
      <c r="E1117" s="2">
        <f t="shared" ca="1" si="125"/>
        <v>11206</v>
      </c>
      <c r="F1117" s="2">
        <f t="shared" ca="1" si="126"/>
        <v>27577</v>
      </c>
      <c r="G1117" s="2">
        <f t="shared" ca="1" si="127"/>
        <v>1336</v>
      </c>
    </row>
    <row r="1118" spans="1:7" x14ac:dyDescent="0.3">
      <c r="A1118" s="5" t="str">
        <f t="shared" si="121"/>
        <v>Puma</v>
      </c>
      <c r="B1118" s="5" t="str">
        <f t="shared" si="123"/>
        <v>RS-X</v>
      </c>
      <c r="C1118" s="3">
        <f t="shared" si="122"/>
        <v>45732</v>
      </c>
      <c r="D1118" s="4">
        <f t="shared" ca="1" si="124"/>
        <v>63</v>
      </c>
      <c r="E1118" s="2">
        <f t="shared" ca="1" si="125"/>
        <v>6658</v>
      </c>
      <c r="F1118" s="2">
        <f t="shared" ca="1" si="126"/>
        <v>13546</v>
      </c>
      <c r="G1118" s="2">
        <f t="shared" ca="1" si="127"/>
        <v>908</v>
      </c>
    </row>
    <row r="1119" spans="1:7" x14ac:dyDescent="0.3">
      <c r="A1119" s="5" t="str">
        <f t="shared" si="121"/>
        <v>New Balance</v>
      </c>
      <c r="B1119" s="5" t="str">
        <f t="shared" si="123"/>
        <v>2002R</v>
      </c>
      <c r="C1119" s="3">
        <f t="shared" si="122"/>
        <v>45732</v>
      </c>
      <c r="D1119" s="4">
        <f t="shared" ca="1" si="124"/>
        <v>152</v>
      </c>
      <c r="E1119" s="2">
        <f t="shared" ca="1" si="125"/>
        <v>4390</v>
      </c>
      <c r="F1119" s="2">
        <f t="shared" ca="1" si="126"/>
        <v>17946</v>
      </c>
      <c r="G1119" s="2">
        <f t="shared" ca="1" si="127"/>
        <v>678</v>
      </c>
    </row>
    <row r="1120" spans="1:7" x14ac:dyDescent="0.3">
      <c r="A1120" s="5" t="str">
        <f t="shared" si="121"/>
        <v>Reebok</v>
      </c>
      <c r="B1120" s="5" t="str">
        <f t="shared" si="123"/>
        <v>Instapump Fury</v>
      </c>
      <c r="C1120" s="3">
        <f t="shared" si="122"/>
        <v>45732</v>
      </c>
      <c r="D1120" s="4">
        <f t="shared" ca="1" si="124"/>
        <v>152</v>
      </c>
      <c r="E1120" s="2">
        <f t="shared" ca="1" si="125"/>
        <v>5416</v>
      </c>
      <c r="F1120" s="2">
        <f t="shared" ca="1" si="126"/>
        <v>16513</v>
      </c>
      <c r="G1120" s="2">
        <f t="shared" ca="1" si="127"/>
        <v>1313</v>
      </c>
    </row>
    <row r="1121" spans="1:7" x14ac:dyDescent="0.3">
      <c r="A1121" s="5" t="str">
        <f t="shared" si="121"/>
        <v>Nike</v>
      </c>
      <c r="B1121" s="5" t="str">
        <f t="shared" si="123"/>
        <v>Cortez</v>
      </c>
      <c r="C1121" s="3">
        <f t="shared" si="122"/>
        <v>45732</v>
      </c>
      <c r="D1121" s="4">
        <f t="shared" ca="1" si="124"/>
        <v>204</v>
      </c>
      <c r="E1121" s="2">
        <f t="shared" ca="1" si="125"/>
        <v>6193</v>
      </c>
      <c r="F1121" s="2">
        <f t="shared" ca="1" si="126"/>
        <v>13548</v>
      </c>
      <c r="G1121" s="2">
        <f t="shared" ca="1" si="127"/>
        <v>516</v>
      </c>
    </row>
    <row r="1122" spans="1:7" x14ac:dyDescent="0.3">
      <c r="A1122" s="5" t="str">
        <f t="shared" si="121"/>
        <v>Adidas</v>
      </c>
      <c r="B1122" s="5" t="str">
        <f t="shared" si="123"/>
        <v>NMD S1</v>
      </c>
      <c r="C1122" s="3">
        <f t="shared" si="122"/>
        <v>45732</v>
      </c>
      <c r="D1122" s="4">
        <f t="shared" ca="1" si="124"/>
        <v>161</v>
      </c>
      <c r="E1122" s="2">
        <f t="shared" ca="1" si="125"/>
        <v>10904</v>
      </c>
      <c r="F1122" s="2">
        <f t="shared" ca="1" si="126"/>
        <v>22427</v>
      </c>
      <c r="G1122" s="2">
        <f t="shared" ca="1" si="127"/>
        <v>1517</v>
      </c>
    </row>
    <row r="1123" spans="1:7" x14ac:dyDescent="0.3">
      <c r="A1123" s="5" t="str">
        <f t="shared" si="121"/>
        <v>Puma</v>
      </c>
      <c r="B1123" s="5" t="str">
        <f t="shared" si="123"/>
        <v>Suede Classic</v>
      </c>
      <c r="C1123" s="3">
        <f t="shared" si="122"/>
        <v>45732</v>
      </c>
      <c r="D1123" s="4">
        <f t="shared" ca="1" si="124"/>
        <v>95</v>
      </c>
      <c r="E1123" s="2">
        <f t="shared" ca="1" si="125"/>
        <v>5610</v>
      </c>
      <c r="F1123" s="2">
        <f t="shared" ca="1" si="126"/>
        <v>26120</v>
      </c>
      <c r="G1123" s="2">
        <f t="shared" ca="1" si="127"/>
        <v>713</v>
      </c>
    </row>
    <row r="1124" spans="1:7" x14ac:dyDescent="0.3">
      <c r="A1124" s="5" t="str">
        <f t="shared" si="121"/>
        <v>New Balance</v>
      </c>
      <c r="B1124" s="5" t="str">
        <f t="shared" si="123"/>
        <v>990v6</v>
      </c>
      <c r="C1124" s="3">
        <f t="shared" si="122"/>
        <v>45732</v>
      </c>
      <c r="D1124" s="4">
        <f t="shared" ca="1" si="124"/>
        <v>165</v>
      </c>
      <c r="E1124" s="2">
        <f t="shared" ca="1" si="125"/>
        <v>6303</v>
      </c>
      <c r="F1124" s="2">
        <f t="shared" ca="1" si="126"/>
        <v>25908</v>
      </c>
      <c r="G1124" s="2">
        <f t="shared" ca="1" si="127"/>
        <v>1452</v>
      </c>
    </row>
    <row r="1125" spans="1:7" x14ac:dyDescent="0.3">
      <c r="A1125" s="5" t="str">
        <f t="shared" si="121"/>
        <v>Reebok</v>
      </c>
      <c r="B1125" s="5" t="str">
        <f t="shared" si="123"/>
        <v>Nano X3</v>
      </c>
      <c r="C1125" s="3">
        <f t="shared" si="122"/>
        <v>45732</v>
      </c>
      <c r="D1125" s="4">
        <f t="shared" ca="1" si="124"/>
        <v>80</v>
      </c>
      <c r="E1125" s="2">
        <f t="shared" ca="1" si="125"/>
        <v>2100</v>
      </c>
      <c r="F1125" s="2">
        <f t="shared" ca="1" si="126"/>
        <v>24378</v>
      </c>
      <c r="G1125" s="2">
        <f t="shared" ca="1" si="127"/>
        <v>510</v>
      </c>
    </row>
    <row r="1126" spans="1:7" x14ac:dyDescent="0.3">
      <c r="A1126" s="5" t="str">
        <f t="shared" si="121"/>
        <v>Nike</v>
      </c>
      <c r="B1126" s="5" t="str">
        <f t="shared" si="123"/>
        <v>Vaporfly 3</v>
      </c>
      <c r="C1126" s="3">
        <f t="shared" si="122"/>
        <v>45732</v>
      </c>
      <c r="D1126" s="4">
        <f t="shared" ca="1" si="124"/>
        <v>105</v>
      </c>
      <c r="E1126" s="2">
        <f t="shared" ca="1" si="125"/>
        <v>7652</v>
      </c>
      <c r="F1126" s="2">
        <f t="shared" ca="1" si="126"/>
        <v>17082</v>
      </c>
      <c r="G1126" s="2">
        <f t="shared" ca="1" si="127"/>
        <v>465</v>
      </c>
    </row>
    <row r="1127" spans="1:7" x14ac:dyDescent="0.3">
      <c r="A1127" s="5" t="str">
        <f t="shared" si="121"/>
        <v>Adidas</v>
      </c>
      <c r="B1127" s="5" t="str">
        <f t="shared" si="123"/>
        <v>Samba</v>
      </c>
      <c r="C1127" s="3">
        <f t="shared" si="122"/>
        <v>45733</v>
      </c>
      <c r="D1127" s="4">
        <f t="shared" ca="1" si="124"/>
        <v>140</v>
      </c>
      <c r="E1127" s="2">
        <f t="shared" ca="1" si="125"/>
        <v>9649</v>
      </c>
      <c r="F1127" s="2">
        <f t="shared" ca="1" si="126"/>
        <v>24498</v>
      </c>
      <c r="G1127" s="2">
        <f t="shared" ca="1" si="127"/>
        <v>783</v>
      </c>
    </row>
    <row r="1128" spans="1:7" x14ac:dyDescent="0.3">
      <c r="A1128" s="5" t="str">
        <f t="shared" si="121"/>
        <v>Puma</v>
      </c>
      <c r="B1128" s="5" t="str">
        <f t="shared" si="123"/>
        <v>Mayze</v>
      </c>
      <c r="C1128" s="3">
        <f t="shared" si="122"/>
        <v>45733</v>
      </c>
      <c r="D1128" s="4">
        <f t="shared" ca="1" si="124"/>
        <v>98</v>
      </c>
      <c r="E1128" s="2">
        <f t="shared" ca="1" si="125"/>
        <v>6807</v>
      </c>
      <c r="F1128" s="2">
        <f t="shared" ca="1" si="126"/>
        <v>14916</v>
      </c>
      <c r="G1128" s="2">
        <f t="shared" ca="1" si="127"/>
        <v>468</v>
      </c>
    </row>
    <row r="1129" spans="1:7" x14ac:dyDescent="0.3">
      <c r="A1129" s="5" t="str">
        <f t="shared" si="121"/>
        <v>New Balance</v>
      </c>
      <c r="B1129" s="5" t="str">
        <f t="shared" si="123"/>
        <v>574 Core</v>
      </c>
      <c r="C1129" s="3">
        <f t="shared" si="122"/>
        <v>45733</v>
      </c>
      <c r="D1129" s="4">
        <f t="shared" ca="1" si="124"/>
        <v>56</v>
      </c>
      <c r="E1129" s="2">
        <f t="shared" ca="1" si="125"/>
        <v>5276</v>
      </c>
      <c r="F1129" s="2">
        <f t="shared" ca="1" si="126"/>
        <v>31729</v>
      </c>
      <c r="G1129" s="2">
        <f t="shared" ca="1" si="127"/>
        <v>1386</v>
      </c>
    </row>
    <row r="1130" spans="1:7" x14ac:dyDescent="0.3">
      <c r="A1130" s="5" t="str">
        <f t="shared" si="121"/>
        <v>Reebok</v>
      </c>
      <c r="B1130" s="5" t="str">
        <f t="shared" si="123"/>
        <v>Club C 85</v>
      </c>
      <c r="C1130" s="3">
        <f t="shared" si="122"/>
        <v>45733</v>
      </c>
      <c r="D1130" s="4">
        <f t="shared" ca="1" si="124"/>
        <v>110</v>
      </c>
      <c r="E1130" s="2">
        <f t="shared" ca="1" si="125"/>
        <v>3284</v>
      </c>
      <c r="F1130" s="2">
        <f t="shared" ca="1" si="126"/>
        <v>13273</v>
      </c>
      <c r="G1130" s="2">
        <f t="shared" ca="1" si="127"/>
        <v>747</v>
      </c>
    </row>
    <row r="1131" spans="1:7" x14ac:dyDescent="0.3">
      <c r="A1131" s="5" t="str">
        <f t="shared" ref="A1131:A1194" si="128">CHOOSE(MOD(ROW(A1130),5)+1,"Nike","Adidas","Puma","New Balance","Reebok")</f>
        <v>Nike</v>
      </c>
      <c r="B1131" s="5" t="str">
        <f t="shared" si="123"/>
        <v>Pegasus 40</v>
      </c>
      <c r="C1131" s="3">
        <f t="shared" ref="C1131:C1194" si="129">DATE(2025,1,1)+INT((ROW(A1131)-2)/15)</f>
        <v>45733</v>
      </c>
      <c r="D1131" s="4">
        <f t="shared" ca="1" si="124"/>
        <v>223</v>
      </c>
      <c r="E1131" s="2">
        <f t="shared" ca="1" si="125"/>
        <v>8689</v>
      </c>
      <c r="F1131" s="2">
        <f t="shared" ca="1" si="126"/>
        <v>14765</v>
      </c>
      <c r="G1131" s="2">
        <f t="shared" ca="1" si="127"/>
        <v>1059</v>
      </c>
    </row>
    <row r="1132" spans="1:7" x14ac:dyDescent="0.3">
      <c r="A1132" s="5" t="str">
        <f t="shared" si="128"/>
        <v>Adidas</v>
      </c>
      <c r="B1132" s="5" t="str">
        <f t="shared" si="123"/>
        <v>Gazelle</v>
      </c>
      <c r="C1132" s="3">
        <f t="shared" si="129"/>
        <v>45733</v>
      </c>
      <c r="D1132" s="4">
        <f t="shared" ca="1" si="124"/>
        <v>186</v>
      </c>
      <c r="E1132" s="2">
        <f t="shared" ca="1" si="125"/>
        <v>8052</v>
      </c>
      <c r="F1132" s="2">
        <f t="shared" ca="1" si="126"/>
        <v>16035</v>
      </c>
      <c r="G1132" s="2">
        <f t="shared" ca="1" si="127"/>
        <v>878</v>
      </c>
    </row>
    <row r="1133" spans="1:7" x14ac:dyDescent="0.3">
      <c r="A1133" s="5" t="str">
        <f t="shared" si="128"/>
        <v>Puma</v>
      </c>
      <c r="B1133" s="5" t="str">
        <f t="shared" si="123"/>
        <v>Slipstream</v>
      </c>
      <c r="C1133" s="3">
        <f t="shared" si="129"/>
        <v>45733</v>
      </c>
      <c r="D1133" s="4">
        <f t="shared" ca="1" si="124"/>
        <v>135</v>
      </c>
      <c r="E1133" s="2">
        <f t="shared" ca="1" si="125"/>
        <v>1592</v>
      </c>
      <c r="F1133" s="2">
        <f t="shared" ca="1" si="126"/>
        <v>34636</v>
      </c>
      <c r="G1133" s="2">
        <f t="shared" ca="1" si="127"/>
        <v>859</v>
      </c>
    </row>
    <row r="1134" spans="1:7" x14ac:dyDescent="0.3">
      <c r="A1134" s="5" t="str">
        <f t="shared" si="128"/>
        <v>New Balance</v>
      </c>
      <c r="B1134" s="5" t="str">
        <f t="shared" si="123"/>
        <v>550</v>
      </c>
      <c r="C1134" s="3">
        <f t="shared" si="129"/>
        <v>45733</v>
      </c>
      <c r="D1134" s="4">
        <f t="shared" ca="1" si="124"/>
        <v>36</v>
      </c>
      <c r="E1134" s="2">
        <f t="shared" ca="1" si="125"/>
        <v>3719</v>
      </c>
      <c r="F1134" s="2">
        <f t="shared" ca="1" si="126"/>
        <v>27954</v>
      </c>
      <c r="G1134" s="2">
        <f t="shared" ca="1" si="127"/>
        <v>565</v>
      </c>
    </row>
    <row r="1135" spans="1:7" x14ac:dyDescent="0.3">
      <c r="A1135" s="5" t="str">
        <f t="shared" si="128"/>
        <v>Reebok</v>
      </c>
      <c r="B1135" s="5" t="str">
        <f t="shared" si="123"/>
        <v>Classic Leather</v>
      </c>
      <c r="C1135" s="3">
        <f t="shared" si="129"/>
        <v>45733</v>
      </c>
      <c r="D1135" s="4">
        <f t="shared" ca="1" si="124"/>
        <v>66</v>
      </c>
      <c r="E1135" s="2">
        <f t="shared" ca="1" si="125"/>
        <v>5698</v>
      </c>
      <c r="F1135" s="2">
        <f t="shared" ca="1" si="126"/>
        <v>24996</v>
      </c>
      <c r="G1135" s="2">
        <f t="shared" ca="1" si="127"/>
        <v>1457</v>
      </c>
    </row>
    <row r="1136" spans="1:7" x14ac:dyDescent="0.3">
      <c r="A1136" s="5" t="str">
        <f t="shared" si="128"/>
        <v>Nike</v>
      </c>
      <c r="B1136" s="5" t="str">
        <f t="shared" si="123"/>
        <v>Air Force 1</v>
      </c>
      <c r="C1136" s="3">
        <f t="shared" si="129"/>
        <v>45733</v>
      </c>
      <c r="D1136" s="4">
        <f t="shared" ca="1" si="124"/>
        <v>68</v>
      </c>
      <c r="E1136" s="2">
        <f t="shared" ca="1" si="125"/>
        <v>9760</v>
      </c>
      <c r="F1136" s="2">
        <f t="shared" ca="1" si="126"/>
        <v>16279</v>
      </c>
      <c r="G1136" s="2">
        <f t="shared" ca="1" si="127"/>
        <v>786</v>
      </c>
    </row>
    <row r="1137" spans="1:7" x14ac:dyDescent="0.3">
      <c r="A1137" s="5" t="str">
        <f t="shared" si="128"/>
        <v>Adidas</v>
      </c>
      <c r="B1137" s="5" t="str">
        <f t="shared" si="123"/>
        <v>Superstar</v>
      </c>
      <c r="C1137" s="3">
        <f t="shared" si="129"/>
        <v>45733</v>
      </c>
      <c r="D1137" s="4">
        <f t="shared" ca="1" si="124"/>
        <v>234</v>
      </c>
      <c r="E1137" s="2">
        <f t="shared" ca="1" si="125"/>
        <v>5255</v>
      </c>
      <c r="F1137" s="2">
        <f t="shared" ca="1" si="126"/>
        <v>33472</v>
      </c>
      <c r="G1137" s="2">
        <f t="shared" ca="1" si="127"/>
        <v>2285</v>
      </c>
    </row>
    <row r="1138" spans="1:7" x14ac:dyDescent="0.3">
      <c r="A1138" s="5" t="str">
        <f t="shared" si="128"/>
        <v>Puma</v>
      </c>
      <c r="B1138" s="5" t="str">
        <f t="shared" si="123"/>
        <v>Rider Vintage</v>
      </c>
      <c r="C1138" s="3">
        <f t="shared" si="129"/>
        <v>45733</v>
      </c>
      <c r="D1138" s="4">
        <f t="shared" ca="1" si="124"/>
        <v>65</v>
      </c>
      <c r="E1138" s="2">
        <f t="shared" ca="1" si="125"/>
        <v>9872</v>
      </c>
      <c r="F1138" s="2">
        <f t="shared" ca="1" si="126"/>
        <v>30130</v>
      </c>
      <c r="G1138" s="2">
        <f t="shared" ca="1" si="127"/>
        <v>1286</v>
      </c>
    </row>
    <row r="1139" spans="1:7" x14ac:dyDescent="0.3">
      <c r="A1139" s="5" t="str">
        <f t="shared" si="128"/>
        <v>New Balance</v>
      </c>
      <c r="B1139" s="5" t="str">
        <f t="shared" si="123"/>
        <v>327</v>
      </c>
      <c r="C1139" s="3">
        <f t="shared" si="129"/>
        <v>45733</v>
      </c>
      <c r="D1139" s="4">
        <f t="shared" ca="1" si="124"/>
        <v>50</v>
      </c>
      <c r="E1139" s="2">
        <f t="shared" ca="1" si="125"/>
        <v>9099</v>
      </c>
      <c r="F1139" s="2">
        <f t="shared" ca="1" si="126"/>
        <v>31169</v>
      </c>
      <c r="G1139" s="2">
        <f t="shared" ca="1" si="127"/>
        <v>1180</v>
      </c>
    </row>
    <row r="1140" spans="1:7" x14ac:dyDescent="0.3">
      <c r="A1140" s="5" t="str">
        <f t="shared" si="128"/>
        <v>Reebok</v>
      </c>
      <c r="B1140" s="5" t="str">
        <f t="shared" si="123"/>
        <v>Question Mid</v>
      </c>
      <c r="C1140" s="3">
        <f t="shared" si="129"/>
        <v>45733</v>
      </c>
      <c r="D1140" s="4">
        <f t="shared" ca="1" si="124"/>
        <v>235</v>
      </c>
      <c r="E1140" s="2">
        <f t="shared" ca="1" si="125"/>
        <v>9316</v>
      </c>
      <c r="F1140" s="2">
        <f t="shared" ca="1" si="126"/>
        <v>9416</v>
      </c>
      <c r="G1140" s="2">
        <f t="shared" ca="1" si="127"/>
        <v>580</v>
      </c>
    </row>
    <row r="1141" spans="1:7" x14ac:dyDescent="0.3">
      <c r="A1141" s="5" t="str">
        <f t="shared" si="128"/>
        <v>Nike</v>
      </c>
      <c r="B1141" s="5" t="str">
        <f t="shared" si="123"/>
        <v>Air Max 270</v>
      </c>
      <c r="C1141" s="3">
        <f t="shared" si="129"/>
        <v>45733</v>
      </c>
      <c r="D1141" s="4">
        <f t="shared" ca="1" si="124"/>
        <v>118</v>
      </c>
      <c r="E1141" s="2">
        <f t="shared" ca="1" si="125"/>
        <v>6842</v>
      </c>
      <c r="F1141" s="2">
        <f t="shared" ca="1" si="126"/>
        <v>12892</v>
      </c>
      <c r="G1141" s="2">
        <f t="shared" ca="1" si="127"/>
        <v>301</v>
      </c>
    </row>
    <row r="1142" spans="1:7" x14ac:dyDescent="0.3">
      <c r="A1142" s="5" t="str">
        <f t="shared" si="128"/>
        <v>Adidas</v>
      </c>
      <c r="B1142" s="5" t="str">
        <f t="shared" si="123"/>
        <v>Stan Smith</v>
      </c>
      <c r="C1142" s="3">
        <f t="shared" si="129"/>
        <v>45734</v>
      </c>
      <c r="D1142" s="4">
        <f t="shared" ca="1" si="124"/>
        <v>130</v>
      </c>
      <c r="E1142" s="2">
        <f t="shared" ca="1" si="125"/>
        <v>1904</v>
      </c>
      <c r="F1142" s="2">
        <f t="shared" ca="1" si="126"/>
        <v>27090</v>
      </c>
      <c r="G1142" s="2">
        <f t="shared" ca="1" si="127"/>
        <v>1102</v>
      </c>
    </row>
    <row r="1143" spans="1:7" x14ac:dyDescent="0.3">
      <c r="A1143" s="5" t="str">
        <f t="shared" si="128"/>
        <v>Puma</v>
      </c>
      <c r="B1143" s="5" t="str">
        <f t="shared" si="123"/>
        <v>Cali Dream</v>
      </c>
      <c r="C1143" s="3">
        <f t="shared" si="129"/>
        <v>45734</v>
      </c>
      <c r="D1143" s="4">
        <f t="shared" ca="1" si="124"/>
        <v>216</v>
      </c>
      <c r="E1143" s="2">
        <f t="shared" ca="1" si="125"/>
        <v>8854</v>
      </c>
      <c r="F1143" s="2">
        <f t="shared" ca="1" si="126"/>
        <v>7197</v>
      </c>
      <c r="G1143" s="2">
        <f t="shared" ca="1" si="127"/>
        <v>516</v>
      </c>
    </row>
    <row r="1144" spans="1:7" x14ac:dyDescent="0.3">
      <c r="A1144" s="5" t="str">
        <f t="shared" si="128"/>
        <v>New Balance</v>
      </c>
      <c r="B1144" s="5" t="str">
        <f t="shared" si="123"/>
        <v>9060</v>
      </c>
      <c r="C1144" s="3">
        <f t="shared" si="129"/>
        <v>45734</v>
      </c>
      <c r="D1144" s="4">
        <f t="shared" ca="1" si="124"/>
        <v>160</v>
      </c>
      <c r="E1144" s="2">
        <f t="shared" ca="1" si="125"/>
        <v>5198</v>
      </c>
      <c r="F1144" s="2">
        <f t="shared" ca="1" si="126"/>
        <v>30690</v>
      </c>
      <c r="G1144" s="2">
        <f t="shared" ca="1" si="127"/>
        <v>1964</v>
      </c>
    </row>
    <row r="1145" spans="1:7" x14ac:dyDescent="0.3">
      <c r="A1145" s="5" t="str">
        <f t="shared" si="128"/>
        <v>Reebok</v>
      </c>
      <c r="B1145" s="5" t="str">
        <f t="shared" si="123"/>
        <v>Zig Kinetica</v>
      </c>
      <c r="C1145" s="3">
        <f t="shared" si="129"/>
        <v>45734</v>
      </c>
      <c r="D1145" s="4">
        <f t="shared" ca="1" si="124"/>
        <v>131</v>
      </c>
      <c r="E1145" s="2">
        <f t="shared" ca="1" si="125"/>
        <v>7481</v>
      </c>
      <c r="F1145" s="2">
        <f t="shared" ca="1" si="126"/>
        <v>29172</v>
      </c>
      <c r="G1145" s="2">
        <f t="shared" ca="1" si="127"/>
        <v>1374</v>
      </c>
    </row>
    <row r="1146" spans="1:7" x14ac:dyDescent="0.3">
      <c r="A1146" s="5" t="str">
        <f t="shared" si="128"/>
        <v>Nike</v>
      </c>
      <c r="B1146" s="5" t="str">
        <f t="shared" si="123"/>
        <v>Jordan 1</v>
      </c>
      <c r="C1146" s="3">
        <f t="shared" si="129"/>
        <v>45734</v>
      </c>
      <c r="D1146" s="4">
        <f t="shared" ca="1" si="124"/>
        <v>130</v>
      </c>
      <c r="E1146" s="2">
        <f t="shared" ca="1" si="125"/>
        <v>7265</v>
      </c>
      <c r="F1146" s="2">
        <f t="shared" ca="1" si="126"/>
        <v>31212</v>
      </c>
      <c r="G1146" s="2">
        <f t="shared" ca="1" si="127"/>
        <v>2078</v>
      </c>
    </row>
    <row r="1147" spans="1:7" x14ac:dyDescent="0.3">
      <c r="A1147" s="5" t="str">
        <f t="shared" si="128"/>
        <v>Adidas</v>
      </c>
      <c r="B1147" s="5" t="str">
        <f t="shared" si="123"/>
        <v>Ultraboost 23</v>
      </c>
      <c r="C1147" s="3">
        <f t="shared" si="129"/>
        <v>45734</v>
      </c>
      <c r="D1147" s="4">
        <f t="shared" ca="1" si="124"/>
        <v>225</v>
      </c>
      <c r="E1147" s="2">
        <f t="shared" ca="1" si="125"/>
        <v>3564</v>
      </c>
      <c r="F1147" s="2">
        <f t="shared" ca="1" si="126"/>
        <v>22035</v>
      </c>
      <c r="G1147" s="2">
        <f t="shared" ca="1" si="127"/>
        <v>1491</v>
      </c>
    </row>
    <row r="1148" spans="1:7" x14ac:dyDescent="0.3">
      <c r="A1148" s="5" t="str">
        <f t="shared" si="128"/>
        <v>Puma</v>
      </c>
      <c r="B1148" s="5" t="str">
        <f t="shared" si="123"/>
        <v>RS-X</v>
      </c>
      <c r="C1148" s="3">
        <f t="shared" si="129"/>
        <v>45734</v>
      </c>
      <c r="D1148" s="4">
        <f t="shared" ca="1" si="124"/>
        <v>126</v>
      </c>
      <c r="E1148" s="2">
        <f t="shared" ca="1" si="125"/>
        <v>5111</v>
      </c>
      <c r="F1148" s="2">
        <f t="shared" ca="1" si="126"/>
        <v>29543</v>
      </c>
      <c r="G1148" s="2">
        <f t="shared" ca="1" si="127"/>
        <v>903</v>
      </c>
    </row>
    <row r="1149" spans="1:7" x14ac:dyDescent="0.3">
      <c r="A1149" s="5" t="str">
        <f t="shared" si="128"/>
        <v>New Balance</v>
      </c>
      <c r="B1149" s="5" t="str">
        <f t="shared" si="123"/>
        <v>2002R</v>
      </c>
      <c r="C1149" s="3">
        <f t="shared" si="129"/>
        <v>45734</v>
      </c>
      <c r="D1149" s="4">
        <f t="shared" ca="1" si="124"/>
        <v>120</v>
      </c>
      <c r="E1149" s="2">
        <f t="shared" ca="1" si="125"/>
        <v>10887</v>
      </c>
      <c r="F1149" s="2">
        <f t="shared" ca="1" si="126"/>
        <v>26884</v>
      </c>
      <c r="G1149" s="2">
        <f t="shared" ca="1" si="127"/>
        <v>1250</v>
      </c>
    </row>
    <row r="1150" spans="1:7" x14ac:dyDescent="0.3">
      <c r="A1150" s="5" t="str">
        <f t="shared" si="128"/>
        <v>Reebok</v>
      </c>
      <c r="B1150" s="5" t="str">
        <f t="shared" si="123"/>
        <v>Instapump Fury</v>
      </c>
      <c r="C1150" s="3">
        <f t="shared" si="129"/>
        <v>45734</v>
      </c>
      <c r="D1150" s="4">
        <f t="shared" ca="1" si="124"/>
        <v>235</v>
      </c>
      <c r="E1150" s="2">
        <f t="shared" ca="1" si="125"/>
        <v>10667</v>
      </c>
      <c r="F1150" s="2">
        <f t="shared" ca="1" si="126"/>
        <v>33972</v>
      </c>
      <c r="G1150" s="2">
        <f t="shared" ca="1" si="127"/>
        <v>2000</v>
      </c>
    </row>
    <row r="1151" spans="1:7" x14ac:dyDescent="0.3">
      <c r="A1151" s="5" t="str">
        <f t="shared" si="128"/>
        <v>Nike</v>
      </c>
      <c r="B1151" s="5" t="str">
        <f t="shared" si="123"/>
        <v>Cortez</v>
      </c>
      <c r="C1151" s="3">
        <f t="shared" si="129"/>
        <v>45734</v>
      </c>
      <c r="D1151" s="4">
        <f t="shared" ca="1" si="124"/>
        <v>62</v>
      </c>
      <c r="E1151" s="2">
        <f t="shared" ca="1" si="125"/>
        <v>7383</v>
      </c>
      <c r="F1151" s="2">
        <f t="shared" ca="1" si="126"/>
        <v>6068</v>
      </c>
      <c r="G1151" s="2">
        <f t="shared" ca="1" si="127"/>
        <v>291</v>
      </c>
    </row>
    <row r="1152" spans="1:7" x14ac:dyDescent="0.3">
      <c r="A1152" s="5" t="str">
        <f t="shared" si="128"/>
        <v>Adidas</v>
      </c>
      <c r="B1152" s="5" t="str">
        <f t="shared" si="123"/>
        <v>NMD S1</v>
      </c>
      <c r="C1152" s="3">
        <f t="shared" si="129"/>
        <v>45734</v>
      </c>
      <c r="D1152" s="4">
        <f t="shared" ca="1" si="124"/>
        <v>40</v>
      </c>
      <c r="E1152" s="2">
        <f t="shared" ca="1" si="125"/>
        <v>10728</v>
      </c>
      <c r="F1152" s="2">
        <f t="shared" ca="1" si="126"/>
        <v>28975</v>
      </c>
      <c r="G1152" s="2">
        <f t="shared" ca="1" si="127"/>
        <v>971</v>
      </c>
    </row>
    <row r="1153" spans="1:7" x14ac:dyDescent="0.3">
      <c r="A1153" s="5" t="str">
        <f t="shared" si="128"/>
        <v>Puma</v>
      </c>
      <c r="B1153" s="5" t="str">
        <f t="shared" si="123"/>
        <v>Suede Classic</v>
      </c>
      <c r="C1153" s="3">
        <f t="shared" si="129"/>
        <v>45734</v>
      </c>
      <c r="D1153" s="4">
        <f t="shared" ca="1" si="124"/>
        <v>36</v>
      </c>
      <c r="E1153" s="2">
        <f t="shared" ca="1" si="125"/>
        <v>10568</v>
      </c>
      <c r="F1153" s="2">
        <f t="shared" ca="1" si="126"/>
        <v>27676</v>
      </c>
      <c r="G1153" s="2">
        <f t="shared" ca="1" si="127"/>
        <v>1345</v>
      </c>
    </row>
    <row r="1154" spans="1:7" x14ac:dyDescent="0.3">
      <c r="A1154" s="5" t="str">
        <f t="shared" si="128"/>
        <v>New Balance</v>
      </c>
      <c r="B1154" s="5" t="str">
        <f t="shared" si="123"/>
        <v>990v6</v>
      </c>
      <c r="C1154" s="3">
        <f t="shared" si="129"/>
        <v>45734</v>
      </c>
      <c r="D1154" s="4">
        <f t="shared" ca="1" si="124"/>
        <v>135</v>
      </c>
      <c r="E1154" s="2">
        <f t="shared" ca="1" si="125"/>
        <v>3771</v>
      </c>
      <c r="F1154" s="2">
        <f t="shared" ca="1" si="126"/>
        <v>19705</v>
      </c>
      <c r="G1154" s="2">
        <f t="shared" ca="1" si="127"/>
        <v>413</v>
      </c>
    </row>
    <row r="1155" spans="1:7" x14ac:dyDescent="0.3">
      <c r="A1155" s="5" t="str">
        <f t="shared" si="128"/>
        <v>Reebok</v>
      </c>
      <c r="B1155" s="5" t="str">
        <f t="shared" ref="B1155:B1218" si="130">IF(A1155="Nike",CHOOSE(MOD(ROW(A1154),6)+1,"Air Max 270","Air Force 1","Pegasus 40","Vaporfly 3","Cortez","Jordan 1"),
 IF(A1155="Adidas",CHOOSE(MOD(ROW(A1154),6)+1,"Ultraboost 23","Stan Smith","Superstar","Gazelle","Samba","NMD S1"),
 IF(A1155="Puma",CHOOSE(MOD(ROW(A1154),6)+1,"Suede Classic","RS-X","Cali Dream","Rider Vintage","Slipstream","Mayze"),
 IF(A1155="New Balance",CHOOSE(MOD(ROW(A1154),6)+1,"574 Core","990v6","2002R","9060","327","550"),
 IF(A1155="Reebok",CHOOSE(MOD(ROW(A1154),6)+1,"Classic Leather","Club C 85","Nano X3","Instapump Fury","Zig Kinetica","Question Mid"),"")))))</f>
        <v>Nano X3</v>
      </c>
      <c r="C1155" s="3">
        <f t="shared" si="129"/>
        <v>45734</v>
      </c>
      <c r="D1155" s="4">
        <f t="shared" ref="D1155:D1218" ca="1" si="131">RANDBETWEEN(20,250)</f>
        <v>169</v>
      </c>
      <c r="E1155" s="2">
        <f t="shared" ref="E1155:E1218" ca="1" si="132">ROUND(RANDBETWEEN(1500,12000)+(RANDBETWEEN(-200,200)),2)</f>
        <v>3981</v>
      </c>
      <c r="F1155" s="2">
        <f t="shared" ref="F1155:F1218" ca="1" si="133">RANDBETWEEN(5000,35000)</f>
        <v>18857</v>
      </c>
      <c r="G1155" s="2">
        <f t="shared" ref="G1155:G1218" ca="1" si="134">RANDBETWEEN(ROUND(F1155*0.02,0),ROUND(F1155*0.08,0))</f>
        <v>584</v>
      </c>
    </row>
    <row r="1156" spans="1:7" x14ac:dyDescent="0.3">
      <c r="A1156" s="5" t="str">
        <f t="shared" si="128"/>
        <v>Nike</v>
      </c>
      <c r="B1156" s="5" t="str">
        <f t="shared" si="130"/>
        <v>Vaporfly 3</v>
      </c>
      <c r="C1156" s="3">
        <f t="shared" si="129"/>
        <v>45734</v>
      </c>
      <c r="D1156" s="4">
        <f t="shared" ca="1" si="131"/>
        <v>73</v>
      </c>
      <c r="E1156" s="2">
        <f t="shared" ca="1" si="132"/>
        <v>5894</v>
      </c>
      <c r="F1156" s="2">
        <f t="shared" ca="1" si="133"/>
        <v>16487</v>
      </c>
      <c r="G1156" s="2">
        <f t="shared" ca="1" si="134"/>
        <v>1073</v>
      </c>
    </row>
    <row r="1157" spans="1:7" x14ac:dyDescent="0.3">
      <c r="A1157" s="5" t="str">
        <f t="shared" si="128"/>
        <v>Adidas</v>
      </c>
      <c r="B1157" s="5" t="str">
        <f t="shared" si="130"/>
        <v>Samba</v>
      </c>
      <c r="C1157" s="3">
        <f t="shared" si="129"/>
        <v>45735</v>
      </c>
      <c r="D1157" s="4">
        <f t="shared" ca="1" si="131"/>
        <v>32</v>
      </c>
      <c r="E1157" s="2">
        <f t="shared" ca="1" si="132"/>
        <v>1677</v>
      </c>
      <c r="F1157" s="2">
        <f t="shared" ca="1" si="133"/>
        <v>10206</v>
      </c>
      <c r="G1157" s="2">
        <f t="shared" ca="1" si="134"/>
        <v>554</v>
      </c>
    </row>
    <row r="1158" spans="1:7" x14ac:dyDescent="0.3">
      <c r="A1158" s="5" t="str">
        <f t="shared" si="128"/>
        <v>Puma</v>
      </c>
      <c r="B1158" s="5" t="str">
        <f t="shared" si="130"/>
        <v>Mayze</v>
      </c>
      <c r="C1158" s="3">
        <f t="shared" si="129"/>
        <v>45735</v>
      </c>
      <c r="D1158" s="4">
        <f t="shared" ca="1" si="131"/>
        <v>107</v>
      </c>
      <c r="E1158" s="2">
        <f t="shared" ca="1" si="132"/>
        <v>2864</v>
      </c>
      <c r="F1158" s="2">
        <f t="shared" ca="1" si="133"/>
        <v>30133</v>
      </c>
      <c r="G1158" s="2">
        <f t="shared" ca="1" si="134"/>
        <v>899</v>
      </c>
    </row>
    <row r="1159" spans="1:7" x14ac:dyDescent="0.3">
      <c r="A1159" s="5" t="str">
        <f t="shared" si="128"/>
        <v>New Balance</v>
      </c>
      <c r="B1159" s="5" t="str">
        <f t="shared" si="130"/>
        <v>574 Core</v>
      </c>
      <c r="C1159" s="3">
        <f t="shared" si="129"/>
        <v>45735</v>
      </c>
      <c r="D1159" s="4">
        <f t="shared" ca="1" si="131"/>
        <v>183</v>
      </c>
      <c r="E1159" s="2">
        <f t="shared" ca="1" si="132"/>
        <v>1571</v>
      </c>
      <c r="F1159" s="2">
        <f t="shared" ca="1" si="133"/>
        <v>27490</v>
      </c>
      <c r="G1159" s="2">
        <f t="shared" ca="1" si="134"/>
        <v>1538</v>
      </c>
    </row>
    <row r="1160" spans="1:7" x14ac:dyDescent="0.3">
      <c r="A1160" s="5" t="str">
        <f t="shared" si="128"/>
        <v>Reebok</v>
      </c>
      <c r="B1160" s="5" t="str">
        <f t="shared" si="130"/>
        <v>Club C 85</v>
      </c>
      <c r="C1160" s="3">
        <f t="shared" si="129"/>
        <v>45735</v>
      </c>
      <c r="D1160" s="4">
        <f t="shared" ca="1" si="131"/>
        <v>97</v>
      </c>
      <c r="E1160" s="2">
        <f t="shared" ca="1" si="132"/>
        <v>9212</v>
      </c>
      <c r="F1160" s="2">
        <f t="shared" ca="1" si="133"/>
        <v>19374</v>
      </c>
      <c r="G1160" s="2">
        <f t="shared" ca="1" si="134"/>
        <v>1179</v>
      </c>
    </row>
    <row r="1161" spans="1:7" x14ac:dyDescent="0.3">
      <c r="A1161" s="5" t="str">
        <f t="shared" si="128"/>
        <v>Nike</v>
      </c>
      <c r="B1161" s="5" t="str">
        <f t="shared" si="130"/>
        <v>Pegasus 40</v>
      </c>
      <c r="C1161" s="3">
        <f t="shared" si="129"/>
        <v>45735</v>
      </c>
      <c r="D1161" s="4">
        <f t="shared" ca="1" si="131"/>
        <v>137</v>
      </c>
      <c r="E1161" s="2">
        <f t="shared" ca="1" si="132"/>
        <v>4895</v>
      </c>
      <c r="F1161" s="2">
        <f t="shared" ca="1" si="133"/>
        <v>7913</v>
      </c>
      <c r="G1161" s="2">
        <f t="shared" ca="1" si="134"/>
        <v>463</v>
      </c>
    </row>
    <row r="1162" spans="1:7" x14ac:dyDescent="0.3">
      <c r="A1162" s="5" t="str">
        <f t="shared" si="128"/>
        <v>Adidas</v>
      </c>
      <c r="B1162" s="5" t="str">
        <f t="shared" si="130"/>
        <v>Gazelle</v>
      </c>
      <c r="C1162" s="3">
        <f t="shared" si="129"/>
        <v>45735</v>
      </c>
      <c r="D1162" s="4">
        <f t="shared" ca="1" si="131"/>
        <v>229</v>
      </c>
      <c r="E1162" s="2">
        <f t="shared" ca="1" si="132"/>
        <v>10763</v>
      </c>
      <c r="F1162" s="2">
        <f t="shared" ca="1" si="133"/>
        <v>31284</v>
      </c>
      <c r="G1162" s="2">
        <f t="shared" ca="1" si="134"/>
        <v>2385</v>
      </c>
    </row>
    <row r="1163" spans="1:7" x14ac:dyDescent="0.3">
      <c r="A1163" s="5" t="str">
        <f t="shared" si="128"/>
        <v>Puma</v>
      </c>
      <c r="B1163" s="5" t="str">
        <f t="shared" si="130"/>
        <v>Slipstream</v>
      </c>
      <c r="C1163" s="3">
        <f t="shared" si="129"/>
        <v>45735</v>
      </c>
      <c r="D1163" s="4">
        <f t="shared" ca="1" si="131"/>
        <v>220</v>
      </c>
      <c r="E1163" s="2">
        <f t="shared" ca="1" si="132"/>
        <v>8775</v>
      </c>
      <c r="F1163" s="2">
        <f t="shared" ca="1" si="133"/>
        <v>19413</v>
      </c>
      <c r="G1163" s="2">
        <f t="shared" ca="1" si="134"/>
        <v>1106</v>
      </c>
    </row>
    <row r="1164" spans="1:7" x14ac:dyDescent="0.3">
      <c r="A1164" s="5" t="str">
        <f t="shared" si="128"/>
        <v>New Balance</v>
      </c>
      <c r="B1164" s="5" t="str">
        <f t="shared" si="130"/>
        <v>550</v>
      </c>
      <c r="C1164" s="3">
        <f t="shared" si="129"/>
        <v>45735</v>
      </c>
      <c r="D1164" s="4">
        <f t="shared" ca="1" si="131"/>
        <v>26</v>
      </c>
      <c r="E1164" s="2">
        <f t="shared" ca="1" si="132"/>
        <v>3678</v>
      </c>
      <c r="F1164" s="2">
        <f t="shared" ca="1" si="133"/>
        <v>11745</v>
      </c>
      <c r="G1164" s="2">
        <f t="shared" ca="1" si="134"/>
        <v>436</v>
      </c>
    </row>
    <row r="1165" spans="1:7" x14ac:dyDescent="0.3">
      <c r="A1165" s="5" t="str">
        <f t="shared" si="128"/>
        <v>Reebok</v>
      </c>
      <c r="B1165" s="5" t="str">
        <f t="shared" si="130"/>
        <v>Classic Leather</v>
      </c>
      <c r="C1165" s="3">
        <f t="shared" si="129"/>
        <v>45735</v>
      </c>
      <c r="D1165" s="4">
        <f t="shared" ca="1" si="131"/>
        <v>217</v>
      </c>
      <c r="E1165" s="2">
        <f t="shared" ca="1" si="132"/>
        <v>11785</v>
      </c>
      <c r="F1165" s="2">
        <f t="shared" ca="1" si="133"/>
        <v>7643</v>
      </c>
      <c r="G1165" s="2">
        <f t="shared" ca="1" si="134"/>
        <v>227</v>
      </c>
    </row>
    <row r="1166" spans="1:7" x14ac:dyDescent="0.3">
      <c r="A1166" s="5" t="str">
        <f t="shared" si="128"/>
        <v>Nike</v>
      </c>
      <c r="B1166" s="5" t="str">
        <f t="shared" si="130"/>
        <v>Air Force 1</v>
      </c>
      <c r="C1166" s="3">
        <f t="shared" si="129"/>
        <v>45735</v>
      </c>
      <c r="D1166" s="4">
        <f t="shared" ca="1" si="131"/>
        <v>233</v>
      </c>
      <c r="E1166" s="2">
        <f t="shared" ca="1" si="132"/>
        <v>7837</v>
      </c>
      <c r="F1166" s="2">
        <f t="shared" ca="1" si="133"/>
        <v>32204</v>
      </c>
      <c r="G1166" s="2">
        <f t="shared" ca="1" si="134"/>
        <v>2572</v>
      </c>
    </row>
    <row r="1167" spans="1:7" x14ac:dyDescent="0.3">
      <c r="A1167" s="5" t="str">
        <f t="shared" si="128"/>
        <v>Adidas</v>
      </c>
      <c r="B1167" s="5" t="str">
        <f t="shared" si="130"/>
        <v>Superstar</v>
      </c>
      <c r="C1167" s="3">
        <f t="shared" si="129"/>
        <v>45735</v>
      </c>
      <c r="D1167" s="4">
        <f t="shared" ca="1" si="131"/>
        <v>105</v>
      </c>
      <c r="E1167" s="2">
        <f t="shared" ca="1" si="132"/>
        <v>7970</v>
      </c>
      <c r="F1167" s="2">
        <f t="shared" ca="1" si="133"/>
        <v>26353</v>
      </c>
      <c r="G1167" s="2">
        <f t="shared" ca="1" si="134"/>
        <v>943</v>
      </c>
    </row>
    <row r="1168" spans="1:7" x14ac:dyDescent="0.3">
      <c r="A1168" s="5" t="str">
        <f t="shared" si="128"/>
        <v>Puma</v>
      </c>
      <c r="B1168" s="5" t="str">
        <f t="shared" si="130"/>
        <v>Rider Vintage</v>
      </c>
      <c r="C1168" s="3">
        <f t="shared" si="129"/>
        <v>45735</v>
      </c>
      <c r="D1168" s="4">
        <f t="shared" ca="1" si="131"/>
        <v>243</v>
      </c>
      <c r="E1168" s="2">
        <f t="shared" ca="1" si="132"/>
        <v>8400</v>
      </c>
      <c r="F1168" s="2">
        <f t="shared" ca="1" si="133"/>
        <v>14123</v>
      </c>
      <c r="G1168" s="2">
        <f t="shared" ca="1" si="134"/>
        <v>852</v>
      </c>
    </row>
    <row r="1169" spans="1:7" x14ac:dyDescent="0.3">
      <c r="A1169" s="5" t="str">
        <f t="shared" si="128"/>
        <v>New Balance</v>
      </c>
      <c r="B1169" s="5" t="str">
        <f t="shared" si="130"/>
        <v>327</v>
      </c>
      <c r="C1169" s="3">
        <f t="shared" si="129"/>
        <v>45735</v>
      </c>
      <c r="D1169" s="4">
        <f t="shared" ca="1" si="131"/>
        <v>76</v>
      </c>
      <c r="E1169" s="2">
        <f t="shared" ca="1" si="132"/>
        <v>11911</v>
      </c>
      <c r="F1169" s="2">
        <f t="shared" ca="1" si="133"/>
        <v>18042</v>
      </c>
      <c r="G1169" s="2">
        <f t="shared" ca="1" si="134"/>
        <v>568</v>
      </c>
    </row>
    <row r="1170" spans="1:7" x14ac:dyDescent="0.3">
      <c r="A1170" s="5" t="str">
        <f t="shared" si="128"/>
        <v>Reebok</v>
      </c>
      <c r="B1170" s="5" t="str">
        <f t="shared" si="130"/>
        <v>Question Mid</v>
      </c>
      <c r="C1170" s="3">
        <f t="shared" si="129"/>
        <v>45735</v>
      </c>
      <c r="D1170" s="4">
        <f t="shared" ca="1" si="131"/>
        <v>220</v>
      </c>
      <c r="E1170" s="2">
        <f t="shared" ca="1" si="132"/>
        <v>3460</v>
      </c>
      <c r="F1170" s="2">
        <f t="shared" ca="1" si="133"/>
        <v>29894</v>
      </c>
      <c r="G1170" s="2">
        <f t="shared" ca="1" si="134"/>
        <v>889</v>
      </c>
    </row>
    <row r="1171" spans="1:7" x14ac:dyDescent="0.3">
      <c r="A1171" s="5" t="str">
        <f t="shared" si="128"/>
        <v>Nike</v>
      </c>
      <c r="B1171" s="5" t="str">
        <f t="shared" si="130"/>
        <v>Air Max 270</v>
      </c>
      <c r="C1171" s="3">
        <f t="shared" si="129"/>
        <v>45735</v>
      </c>
      <c r="D1171" s="4">
        <f t="shared" ca="1" si="131"/>
        <v>81</v>
      </c>
      <c r="E1171" s="2">
        <f t="shared" ca="1" si="132"/>
        <v>4331</v>
      </c>
      <c r="F1171" s="2">
        <f t="shared" ca="1" si="133"/>
        <v>16200</v>
      </c>
      <c r="G1171" s="2">
        <f t="shared" ca="1" si="134"/>
        <v>1107</v>
      </c>
    </row>
    <row r="1172" spans="1:7" x14ac:dyDescent="0.3">
      <c r="A1172" s="5" t="str">
        <f t="shared" si="128"/>
        <v>Adidas</v>
      </c>
      <c r="B1172" s="5" t="str">
        <f t="shared" si="130"/>
        <v>Stan Smith</v>
      </c>
      <c r="C1172" s="3">
        <f t="shared" si="129"/>
        <v>45736</v>
      </c>
      <c r="D1172" s="4">
        <f t="shared" ca="1" si="131"/>
        <v>235</v>
      </c>
      <c r="E1172" s="2">
        <f t="shared" ca="1" si="132"/>
        <v>6549</v>
      </c>
      <c r="F1172" s="2">
        <f t="shared" ca="1" si="133"/>
        <v>7567</v>
      </c>
      <c r="G1172" s="2">
        <f t="shared" ca="1" si="134"/>
        <v>500</v>
      </c>
    </row>
    <row r="1173" spans="1:7" x14ac:dyDescent="0.3">
      <c r="A1173" s="5" t="str">
        <f t="shared" si="128"/>
        <v>Puma</v>
      </c>
      <c r="B1173" s="5" t="str">
        <f t="shared" si="130"/>
        <v>Cali Dream</v>
      </c>
      <c r="C1173" s="3">
        <f t="shared" si="129"/>
        <v>45736</v>
      </c>
      <c r="D1173" s="4">
        <f t="shared" ca="1" si="131"/>
        <v>157</v>
      </c>
      <c r="E1173" s="2">
        <f t="shared" ca="1" si="132"/>
        <v>7904</v>
      </c>
      <c r="F1173" s="2">
        <f t="shared" ca="1" si="133"/>
        <v>32351</v>
      </c>
      <c r="G1173" s="2">
        <f t="shared" ca="1" si="134"/>
        <v>1122</v>
      </c>
    </row>
    <row r="1174" spans="1:7" x14ac:dyDescent="0.3">
      <c r="A1174" s="5" t="str">
        <f t="shared" si="128"/>
        <v>New Balance</v>
      </c>
      <c r="B1174" s="5" t="str">
        <f t="shared" si="130"/>
        <v>9060</v>
      </c>
      <c r="C1174" s="3">
        <f t="shared" si="129"/>
        <v>45736</v>
      </c>
      <c r="D1174" s="4">
        <f t="shared" ca="1" si="131"/>
        <v>139</v>
      </c>
      <c r="E1174" s="2">
        <f t="shared" ca="1" si="132"/>
        <v>2996</v>
      </c>
      <c r="F1174" s="2">
        <f t="shared" ca="1" si="133"/>
        <v>32704</v>
      </c>
      <c r="G1174" s="2">
        <f t="shared" ca="1" si="134"/>
        <v>2005</v>
      </c>
    </row>
    <row r="1175" spans="1:7" x14ac:dyDescent="0.3">
      <c r="A1175" s="5" t="str">
        <f t="shared" si="128"/>
        <v>Reebok</v>
      </c>
      <c r="B1175" s="5" t="str">
        <f t="shared" si="130"/>
        <v>Zig Kinetica</v>
      </c>
      <c r="C1175" s="3">
        <f t="shared" si="129"/>
        <v>45736</v>
      </c>
      <c r="D1175" s="4">
        <f t="shared" ca="1" si="131"/>
        <v>236</v>
      </c>
      <c r="E1175" s="2">
        <f t="shared" ca="1" si="132"/>
        <v>8829</v>
      </c>
      <c r="F1175" s="2">
        <f t="shared" ca="1" si="133"/>
        <v>8707</v>
      </c>
      <c r="G1175" s="2">
        <f t="shared" ca="1" si="134"/>
        <v>238</v>
      </c>
    </row>
    <row r="1176" spans="1:7" x14ac:dyDescent="0.3">
      <c r="A1176" s="5" t="str">
        <f t="shared" si="128"/>
        <v>Nike</v>
      </c>
      <c r="B1176" s="5" t="str">
        <f t="shared" si="130"/>
        <v>Jordan 1</v>
      </c>
      <c r="C1176" s="3">
        <f t="shared" si="129"/>
        <v>45736</v>
      </c>
      <c r="D1176" s="4">
        <f t="shared" ca="1" si="131"/>
        <v>84</v>
      </c>
      <c r="E1176" s="2">
        <f t="shared" ca="1" si="132"/>
        <v>1472</v>
      </c>
      <c r="F1176" s="2">
        <f t="shared" ca="1" si="133"/>
        <v>27734</v>
      </c>
      <c r="G1176" s="2">
        <f t="shared" ca="1" si="134"/>
        <v>1855</v>
      </c>
    </row>
    <row r="1177" spans="1:7" x14ac:dyDescent="0.3">
      <c r="A1177" s="5" t="str">
        <f t="shared" si="128"/>
        <v>Adidas</v>
      </c>
      <c r="B1177" s="5" t="str">
        <f t="shared" si="130"/>
        <v>Ultraboost 23</v>
      </c>
      <c r="C1177" s="3">
        <f t="shared" si="129"/>
        <v>45736</v>
      </c>
      <c r="D1177" s="4">
        <f t="shared" ca="1" si="131"/>
        <v>160</v>
      </c>
      <c r="E1177" s="2">
        <f t="shared" ca="1" si="132"/>
        <v>5796</v>
      </c>
      <c r="F1177" s="2">
        <f t="shared" ca="1" si="133"/>
        <v>7823</v>
      </c>
      <c r="G1177" s="2">
        <f t="shared" ca="1" si="134"/>
        <v>447</v>
      </c>
    </row>
    <row r="1178" spans="1:7" x14ac:dyDescent="0.3">
      <c r="A1178" s="5" t="str">
        <f t="shared" si="128"/>
        <v>Puma</v>
      </c>
      <c r="B1178" s="5" t="str">
        <f t="shared" si="130"/>
        <v>RS-X</v>
      </c>
      <c r="C1178" s="3">
        <f t="shared" si="129"/>
        <v>45736</v>
      </c>
      <c r="D1178" s="4">
        <f t="shared" ca="1" si="131"/>
        <v>88</v>
      </c>
      <c r="E1178" s="2">
        <f t="shared" ca="1" si="132"/>
        <v>2476</v>
      </c>
      <c r="F1178" s="2">
        <f t="shared" ca="1" si="133"/>
        <v>6907</v>
      </c>
      <c r="G1178" s="2">
        <f t="shared" ca="1" si="134"/>
        <v>254</v>
      </c>
    </row>
    <row r="1179" spans="1:7" x14ac:dyDescent="0.3">
      <c r="A1179" s="5" t="str">
        <f t="shared" si="128"/>
        <v>New Balance</v>
      </c>
      <c r="B1179" s="5" t="str">
        <f t="shared" si="130"/>
        <v>2002R</v>
      </c>
      <c r="C1179" s="3">
        <f t="shared" si="129"/>
        <v>45736</v>
      </c>
      <c r="D1179" s="4">
        <f t="shared" ca="1" si="131"/>
        <v>127</v>
      </c>
      <c r="E1179" s="2">
        <f t="shared" ca="1" si="132"/>
        <v>4716</v>
      </c>
      <c r="F1179" s="2">
        <f t="shared" ca="1" si="133"/>
        <v>19433</v>
      </c>
      <c r="G1179" s="2">
        <f t="shared" ca="1" si="134"/>
        <v>694</v>
      </c>
    </row>
    <row r="1180" spans="1:7" x14ac:dyDescent="0.3">
      <c r="A1180" s="5" t="str">
        <f t="shared" si="128"/>
        <v>Reebok</v>
      </c>
      <c r="B1180" s="5" t="str">
        <f t="shared" si="130"/>
        <v>Instapump Fury</v>
      </c>
      <c r="C1180" s="3">
        <f t="shared" si="129"/>
        <v>45736</v>
      </c>
      <c r="D1180" s="4">
        <f t="shared" ca="1" si="131"/>
        <v>33</v>
      </c>
      <c r="E1180" s="2">
        <f t="shared" ca="1" si="132"/>
        <v>7654</v>
      </c>
      <c r="F1180" s="2">
        <f t="shared" ca="1" si="133"/>
        <v>31643</v>
      </c>
      <c r="G1180" s="2">
        <f t="shared" ca="1" si="134"/>
        <v>696</v>
      </c>
    </row>
    <row r="1181" spans="1:7" x14ac:dyDescent="0.3">
      <c r="A1181" s="5" t="str">
        <f t="shared" si="128"/>
        <v>Nike</v>
      </c>
      <c r="B1181" s="5" t="str">
        <f t="shared" si="130"/>
        <v>Cortez</v>
      </c>
      <c r="C1181" s="3">
        <f t="shared" si="129"/>
        <v>45736</v>
      </c>
      <c r="D1181" s="4">
        <f t="shared" ca="1" si="131"/>
        <v>104</v>
      </c>
      <c r="E1181" s="2">
        <f t="shared" ca="1" si="132"/>
        <v>2052</v>
      </c>
      <c r="F1181" s="2">
        <f t="shared" ca="1" si="133"/>
        <v>12442</v>
      </c>
      <c r="G1181" s="2">
        <f t="shared" ca="1" si="134"/>
        <v>356</v>
      </c>
    </row>
    <row r="1182" spans="1:7" x14ac:dyDescent="0.3">
      <c r="A1182" s="5" t="str">
        <f t="shared" si="128"/>
        <v>Adidas</v>
      </c>
      <c r="B1182" s="5" t="str">
        <f t="shared" si="130"/>
        <v>NMD S1</v>
      </c>
      <c r="C1182" s="3">
        <f t="shared" si="129"/>
        <v>45736</v>
      </c>
      <c r="D1182" s="4">
        <f t="shared" ca="1" si="131"/>
        <v>232</v>
      </c>
      <c r="E1182" s="2">
        <f t="shared" ca="1" si="132"/>
        <v>10647</v>
      </c>
      <c r="F1182" s="2">
        <f t="shared" ca="1" si="133"/>
        <v>9149</v>
      </c>
      <c r="G1182" s="2">
        <f t="shared" ca="1" si="134"/>
        <v>729</v>
      </c>
    </row>
    <row r="1183" spans="1:7" x14ac:dyDescent="0.3">
      <c r="A1183" s="5" t="str">
        <f t="shared" si="128"/>
        <v>Puma</v>
      </c>
      <c r="B1183" s="5" t="str">
        <f t="shared" si="130"/>
        <v>Suede Classic</v>
      </c>
      <c r="C1183" s="3">
        <f t="shared" si="129"/>
        <v>45736</v>
      </c>
      <c r="D1183" s="4">
        <f t="shared" ca="1" si="131"/>
        <v>208</v>
      </c>
      <c r="E1183" s="2">
        <f t="shared" ca="1" si="132"/>
        <v>2932</v>
      </c>
      <c r="F1183" s="2">
        <f t="shared" ca="1" si="133"/>
        <v>9308</v>
      </c>
      <c r="G1183" s="2">
        <f t="shared" ca="1" si="134"/>
        <v>661</v>
      </c>
    </row>
    <row r="1184" spans="1:7" x14ac:dyDescent="0.3">
      <c r="A1184" s="5" t="str">
        <f t="shared" si="128"/>
        <v>New Balance</v>
      </c>
      <c r="B1184" s="5" t="str">
        <f t="shared" si="130"/>
        <v>990v6</v>
      </c>
      <c r="C1184" s="3">
        <f t="shared" si="129"/>
        <v>45736</v>
      </c>
      <c r="D1184" s="4">
        <f t="shared" ca="1" si="131"/>
        <v>192</v>
      </c>
      <c r="E1184" s="2">
        <f t="shared" ca="1" si="132"/>
        <v>8331</v>
      </c>
      <c r="F1184" s="2">
        <f t="shared" ca="1" si="133"/>
        <v>8162</v>
      </c>
      <c r="G1184" s="2">
        <f t="shared" ca="1" si="134"/>
        <v>484</v>
      </c>
    </row>
    <row r="1185" spans="1:7" x14ac:dyDescent="0.3">
      <c r="A1185" s="5" t="str">
        <f t="shared" si="128"/>
        <v>Reebok</v>
      </c>
      <c r="B1185" s="5" t="str">
        <f t="shared" si="130"/>
        <v>Nano X3</v>
      </c>
      <c r="C1185" s="3">
        <f t="shared" si="129"/>
        <v>45736</v>
      </c>
      <c r="D1185" s="4">
        <f t="shared" ca="1" si="131"/>
        <v>215</v>
      </c>
      <c r="E1185" s="2">
        <f t="shared" ca="1" si="132"/>
        <v>6548</v>
      </c>
      <c r="F1185" s="2">
        <f t="shared" ca="1" si="133"/>
        <v>6929</v>
      </c>
      <c r="G1185" s="2">
        <f t="shared" ca="1" si="134"/>
        <v>427</v>
      </c>
    </row>
    <row r="1186" spans="1:7" x14ac:dyDescent="0.3">
      <c r="A1186" s="5" t="str">
        <f t="shared" si="128"/>
        <v>Nike</v>
      </c>
      <c r="B1186" s="5" t="str">
        <f t="shared" si="130"/>
        <v>Vaporfly 3</v>
      </c>
      <c r="C1186" s="3">
        <f t="shared" si="129"/>
        <v>45736</v>
      </c>
      <c r="D1186" s="4">
        <f t="shared" ca="1" si="131"/>
        <v>212</v>
      </c>
      <c r="E1186" s="2">
        <f t="shared" ca="1" si="132"/>
        <v>7355</v>
      </c>
      <c r="F1186" s="2">
        <f t="shared" ca="1" si="133"/>
        <v>24275</v>
      </c>
      <c r="G1186" s="2">
        <f t="shared" ca="1" si="134"/>
        <v>1749</v>
      </c>
    </row>
    <row r="1187" spans="1:7" x14ac:dyDescent="0.3">
      <c r="A1187" s="5" t="str">
        <f t="shared" si="128"/>
        <v>Adidas</v>
      </c>
      <c r="B1187" s="5" t="str">
        <f t="shared" si="130"/>
        <v>Samba</v>
      </c>
      <c r="C1187" s="3">
        <f t="shared" si="129"/>
        <v>45737</v>
      </c>
      <c r="D1187" s="4">
        <f t="shared" ca="1" si="131"/>
        <v>155</v>
      </c>
      <c r="E1187" s="2">
        <f t="shared" ca="1" si="132"/>
        <v>3629</v>
      </c>
      <c r="F1187" s="2">
        <f t="shared" ca="1" si="133"/>
        <v>25587</v>
      </c>
      <c r="G1187" s="2">
        <f t="shared" ca="1" si="134"/>
        <v>980</v>
      </c>
    </row>
    <row r="1188" spans="1:7" x14ac:dyDescent="0.3">
      <c r="A1188" s="5" t="str">
        <f t="shared" si="128"/>
        <v>Puma</v>
      </c>
      <c r="B1188" s="5" t="str">
        <f t="shared" si="130"/>
        <v>Mayze</v>
      </c>
      <c r="C1188" s="3">
        <f t="shared" si="129"/>
        <v>45737</v>
      </c>
      <c r="D1188" s="4">
        <f t="shared" ca="1" si="131"/>
        <v>38</v>
      </c>
      <c r="E1188" s="2">
        <f t="shared" ca="1" si="132"/>
        <v>9936</v>
      </c>
      <c r="F1188" s="2">
        <f t="shared" ca="1" si="133"/>
        <v>34992</v>
      </c>
      <c r="G1188" s="2">
        <f t="shared" ca="1" si="134"/>
        <v>843</v>
      </c>
    </row>
    <row r="1189" spans="1:7" x14ac:dyDescent="0.3">
      <c r="A1189" s="5" t="str">
        <f t="shared" si="128"/>
        <v>New Balance</v>
      </c>
      <c r="B1189" s="5" t="str">
        <f t="shared" si="130"/>
        <v>574 Core</v>
      </c>
      <c r="C1189" s="3">
        <f t="shared" si="129"/>
        <v>45737</v>
      </c>
      <c r="D1189" s="4">
        <f t="shared" ca="1" si="131"/>
        <v>155</v>
      </c>
      <c r="E1189" s="2">
        <f t="shared" ca="1" si="132"/>
        <v>3931</v>
      </c>
      <c r="F1189" s="2">
        <f t="shared" ca="1" si="133"/>
        <v>22177</v>
      </c>
      <c r="G1189" s="2">
        <f t="shared" ca="1" si="134"/>
        <v>1678</v>
      </c>
    </row>
    <row r="1190" spans="1:7" x14ac:dyDescent="0.3">
      <c r="A1190" s="5" t="str">
        <f t="shared" si="128"/>
        <v>Reebok</v>
      </c>
      <c r="B1190" s="5" t="str">
        <f t="shared" si="130"/>
        <v>Club C 85</v>
      </c>
      <c r="C1190" s="3">
        <f t="shared" si="129"/>
        <v>45737</v>
      </c>
      <c r="D1190" s="4">
        <f t="shared" ca="1" si="131"/>
        <v>96</v>
      </c>
      <c r="E1190" s="2">
        <f t="shared" ca="1" si="132"/>
        <v>6571</v>
      </c>
      <c r="F1190" s="2">
        <f t="shared" ca="1" si="133"/>
        <v>25838</v>
      </c>
      <c r="G1190" s="2">
        <f t="shared" ca="1" si="134"/>
        <v>770</v>
      </c>
    </row>
    <row r="1191" spans="1:7" x14ac:dyDescent="0.3">
      <c r="A1191" s="5" t="str">
        <f t="shared" si="128"/>
        <v>Nike</v>
      </c>
      <c r="B1191" s="5" t="str">
        <f t="shared" si="130"/>
        <v>Pegasus 40</v>
      </c>
      <c r="C1191" s="3">
        <f t="shared" si="129"/>
        <v>45737</v>
      </c>
      <c r="D1191" s="4">
        <f t="shared" ca="1" si="131"/>
        <v>202</v>
      </c>
      <c r="E1191" s="2">
        <f t="shared" ca="1" si="132"/>
        <v>3317</v>
      </c>
      <c r="F1191" s="2">
        <f t="shared" ca="1" si="133"/>
        <v>15652</v>
      </c>
      <c r="G1191" s="2">
        <f t="shared" ca="1" si="134"/>
        <v>1178</v>
      </c>
    </row>
    <row r="1192" spans="1:7" x14ac:dyDescent="0.3">
      <c r="A1192" s="5" t="str">
        <f t="shared" si="128"/>
        <v>Adidas</v>
      </c>
      <c r="B1192" s="5" t="str">
        <f t="shared" si="130"/>
        <v>Gazelle</v>
      </c>
      <c r="C1192" s="3">
        <f t="shared" si="129"/>
        <v>45737</v>
      </c>
      <c r="D1192" s="4">
        <f t="shared" ca="1" si="131"/>
        <v>69</v>
      </c>
      <c r="E1192" s="2">
        <f t="shared" ca="1" si="132"/>
        <v>8773</v>
      </c>
      <c r="F1192" s="2">
        <f t="shared" ca="1" si="133"/>
        <v>19666</v>
      </c>
      <c r="G1192" s="2">
        <f t="shared" ca="1" si="134"/>
        <v>1145</v>
      </c>
    </row>
    <row r="1193" spans="1:7" x14ac:dyDescent="0.3">
      <c r="A1193" s="5" t="str">
        <f t="shared" si="128"/>
        <v>Puma</v>
      </c>
      <c r="B1193" s="5" t="str">
        <f t="shared" si="130"/>
        <v>Slipstream</v>
      </c>
      <c r="C1193" s="3">
        <f t="shared" si="129"/>
        <v>45737</v>
      </c>
      <c r="D1193" s="4">
        <f t="shared" ca="1" si="131"/>
        <v>53</v>
      </c>
      <c r="E1193" s="2">
        <f t="shared" ca="1" si="132"/>
        <v>7627</v>
      </c>
      <c r="F1193" s="2">
        <f t="shared" ca="1" si="133"/>
        <v>10838</v>
      </c>
      <c r="G1193" s="2">
        <f t="shared" ca="1" si="134"/>
        <v>595</v>
      </c>
    </row>
    <row r="1194" spans="1:7" x14ac:dyDescent="0.3">
      <c r="A1194" s="5" t="str">
        <f t="shared" si="128"/>
        <v>New Balance</v>
      </c>
      <c r="B1194" s="5" t="str">
        <f t="shared" si="130"/>
        <v>550</v>
      </c>
      <c r="C1194" s="3">
        <f t="shared" si="129"/>
        <v>45737</v>
      </c>
      <c r="D1194" s="4">
        <f t="shared" ca="1" si="131"/>
        <v>183</v>
      </c>
      <c r="E1194" s="2">
        <f t="shared" ca="1" si="132"/>
        <v>11029</v>
      </c>
      <c r="F1194" s="2">
        <f t="shared" ca="1" si="133"/>
        <v>16474</v>
      </c>
      <c r="G1194" s="2">
        <f t="shared" ca="1" si="134"/>
        <v>474</v>
      </c>
    </row>
    <row r="1195" spans="1:7" x14ac:dyDescent="0.3">
      <c r="A1195" s="5" t="str">
        <f t="shared" ref="A1195:A1258" si="135">CHOOSE(MOD(ROW(A1194),5)+1,"Nike","Adidas","Puma","New Balance","Reebok")</f>
        <v>Reebok</v>
      </c>
      <c r="B1195" s="5" t="str">
        <f t="shared" si="130"/>
        <v>Classic Leather</v>
      </c>
      <c r="C1195" s="3">
        <f t="shared" ref="C1195:C1258" si="136">DATE(2025,1,1)+INT((ROW(A1195)-2)/15)</f>
        <v>45737</v>
      </c>
      <c r="D1195" s="4">
        <f t="shared" ca="1" si="131"/>
        <v>93</v>
      </c>
      <c r="E1195" s="2">
        <f t="shared" ca="1" si="132"/>
        <v>3519</v>
      </c>
      <c r="F1195" s="2">
        <f t="shared" ca="1" si="133"/>
        <v>23094</v>
      </c>
      <c r="G1195" s="2">
        <f t="shared" ca="1" si="134"/>
        <v>1091</v>
      </c>
    </row>
    <row r="1196" spans="1:7" x14ac:dyDescent="0.3">
      <c r="A1196" s="5" t="str">
        <f t="shared" si="135"/>
        <v>Nike</v>
      </c>
      <c r="B1196" s="5" t="str">
        <f t="shared" si="130"/>
        <v>Air Force 1</v>
      </c>
      <c r="C1196" s="3">
        <f t="shared" si="136"/>
        <v>45737</v>
      </c>
      <c r="D1196" s="4">
        <f t="shared" ca="1" si="131"/>
        <v>24</v>
      </c>
      <c r="E1196" s="2">
        <f t="shared" ca="1" si="132"/>
        <v>4488</v>
      </c>
      <c r="F1196" s="2">
        <f t="shared" ca="1" si="133"/>
        <v>34502</v>
      </c>
      <c r="G1196" s="2">
        <f t="shared" ca="1" si="134"/>
        <v>2523</v>
      </c>
    </row>
    <row r="1197" spans="1:7" x14ac:dyDescent="0.3">
      <c r="A1197" s="5" t="str">
        <f t="shared" si="135"/>
        <v>Adidas</v>
      </c>
      <c r="B1197" s="5" t="str">
        <f t="shared" si="130"/>
        <v>Superstar</v>
      </c>
      <c r="C1197" s="3">
        <f t="shared" si="136"/>
        <v>45737</v>
      </c>
      <c r="D1197" s="4">
        <f t="shared" ca="1" si="131"/>
        <v>204</v>
      </c>
      <c r="E1197" s="2">
        <f t="shared" ca="1" si="132"/>
        <v>10857</v>
      </c>
      <c r="F1197" s="2">
        <f t="shared" ca="1" si="133"/>
        <v>12628</v>
      </c>
      <c r="G1197" s="2">
        <f t="shared" ca="1" si="134"/>
        <v>928</v>
      </c>
    </row>
    <row r="1198" spans="1:7" x14ac:dyDescent="0.3">
      <c r="A1198" s="5" t="str">
        <f t="shared" si="135"/>
        <v>Puma</v>
      </c>
      <c r="B1198" s="5" t="str">
        <f t="shared" si="130"/>
        <v>Rider Vintage</v>
      </c>
      <c r="C1198" s="3">
        <f t="shared" si="136"/>
        <v>45737</v>
      </c>
      <c r="D1198" s="4">
        <f t="shared" ca="1" si="131"/>
        <v>50</v>
      </c>
      <c r="E1198" s="2">
        <f t="shared" ca="1" si="132"/>
        <v>3083</v>
      </c>
      <c r="F1198" s="2">
        <f t="shared" ca="1" si="133"/>
        <v>22124</v>
      </c>
      <c r="G1198" s="2">
        <f t="shared" ca="1" si="134"/>
        <v>992</v>
      </c>
    </row>
    <row r="1199" spans="1:7" x14ac:dyDescent="0.3">
      <c r="A1199" s="5" t="str">
        <f t="shared" si="135"/>
        <v>New Balance</v>
      </c>
      <c r="B1199" s="5" t="str">
        <f t="shared" si="130"/>
        <v>327</v>
      </c>
      <c r="C1199" s="3">
        <f t="shared" si="136"/>
        <v>45737</v>
      </c>
      <c r="D1199" s="4">
        <f t="shared" ca="1" si="131"/>
        <v>143</v>
      </c>
      <c r="E1199" s="2">
        <f t="shared" ca="1" si="132"/>
        <v>5225</v>
      </c>
      <c r="F1199" s="2">
        <f t="shared" ca="1" si="133"/>
        <v>34889</v>
      </c>
      <c r="G1199" s="2">
        <f t="shared" ca="1" si="134"/>
        <v>1602</v>
      </c>
    </row>
    <row r="1200" spans="1:7" x14ac:dyDescent="0.3">
      <c r="A1200" s="5" t="str">
        <f t="shared" si="135"/>
        <v>Reebok</v>
      </c>
      <c r="B1200" s="5" t="str">
        <f t="shared" si="130"/>
        <v>Question Mid</v>
      </c>
      <c r="C1200" s="3">
        <f t="shared" si="136"/>
        <v>45737</v>
      </c>
      <c r="D1200" s="4">
        <f t="shared" ca="1" si="131"/>
        <v>162</v>
      </c>
      <c r="E1200" s="2">
        <f t="shared" ca="1" si="132"/>
        <v>4721</v>
      </c>
      <c r="F1200" s="2">
        <f t="shared" ca="1" si="133"/>
        <v>11653</v>
      </c>
      <c r="G1200" s="2">
        <f t="shared" ca="1" si="134"/>
        <v>580</v>
      </c>
    </row>
    <row r="1201" spans="1:7" x14ac:dyDescent="0.3">
      <c r="A1201" s="5" t="str">
        <f t="shared" si="135"/>
        <v>Nike</v>
      </c>
      <c r="B1201" s="5" t="str">
        <f t="shared" si="130"/>
        <v>Air Max 270</v>
      </c>
      <c r="C1201" s="3">
        <f t="shared" si="136"/>
        <v>45737</v>
      </c>
      <c r="D1201" s="4">
        <f t="shared" ca="1" si="131"/>
        <v>176</v>
      </c>
      <c r="E1201" s="2">
        <f t="shared" ca="1" si="132"/>
        <v>5252</v>
      </c>
      <c r="F1201" s="2">
        <f t="shared" ca="1" si="133"/>
        <v>8802</v>
      </c>
      <c r="G1201" s="2">
        <f t="shared" ca="1" si="134"/>
        <v>659</v>
      </c>
    </row>
    <row r="1202" spans="1:7" x14ac:dyDescent="0.3">
      <c r="A1202" s="5" t="str">
        <f t="shared" si="135"/>
        <v>Adidas</v>
      </c>
      <c r="B1202" s="5" t="str">
        <f t="shared" si="130"/>
        <v>Stan Smith</v>
      </c>
      <c r="C1202" s="3">
        <f t="shared" si="136"/>
        <v>45738</v>
      </c>
      <c r="D1202" s="4">
        <f t="shared" ca="1" si="131"/>
        <v>181</v>
      </c>
      <c r="E1202" s="2">
        <f t="shared" ca="1" si="132"/>
        <v>7681</v>
      </c>
      <c r="F1202" s="2">
        <f t="shared" ca="1" si="133"/>
        <v>17901</v>
      </c>
      <c r="G1202" s="2">
        <f t="shared" ca="1" si="134"/>
        <v>750</v>
      </c>
    </row>
    <row r="1203" spans="1:7" x14ac:dyDescent="0.3">
      <c r="A1203" s="5" t="str">
        <f t="shared" si="135"/>
        <v>Puma</v>
      </c>
      <c r="B1203" s="5" t="str">
        <f t="shared" si="130"/>
        <v>Cali Dream</v>
      </c>
      <c r="C1203" s="3">
        <f t="shared" si="136"/>
        <v>45738</v>
      </c>
      <c r="D1203" s="4">
        <f t="shared" ca="1" si="131"/>
        <v>235</v>
      </c>
      <c r="E1203" s="2">
        <f t="shared" ca="1" si="132"/>
        <v>6284</v>
      </c>
      <c r="F1203" s="2">
        <f t="shared" ca="1" si="133"/>
        <v>19716</v>
      </c>
      <c r="G1203" s="2">
        <f t="shared" ca="1" si="134"/>
        <v>856</v>
      </c>
    </row>
    <row r="1204" spans="1:7" x14ac:dyDescent="0.3">
      <c r="A1204" s="5" t="str">
        <f t="shared" si="135"/>
        <v>New Balance</v>
      </c>
      <c r="B1204" s="5" t="str">
        <f t="shared" si="130"/>
        <v>9060</v>
      </c>
      <c r="C1204" s="3">
        <f t="shared" si="136"/>
        <v>45738</v>
      </c>
      <c r="D1204" s="4">
        <f t="shared" ca="1" si="131"/>
        <v>22</v>
      </c>
      <c r="E1204" s="2">
        <f t="shared" ca="1" si="132"/>
        <v>3116</v>
      </c>
      <c r="F1204" s="2">
        <f t="shared" ca="1" si="133"/>
        <v>15992</v>
      </c>
      <c r="G1204" s="2">
        <f t="shared" ca="1" si="134"/>
        <v>398</v>
      </c>
    </row>
    <row r="1205" spans="1:7" x14ac:dyDescent="0.3">
      <c r="A1205" s="5" t="str">
        <f t="shared" si="135"/>
        <v>Reebok</v>
      </c>
      <c r="B1205" s="5" t="str">
        <f t="shared" si="130"/>
        <v>Zig Kinetica</v>
      </c>
      <c r="C1205" s="3">
        <f t="shared" si="136"/>
        <v>45738</v>
      </c>
      <c r="D1205" s="4">
        <f t="shared" ca="1" si="131"/>
        <v>121</v>
      </c>
      <c r="E1205" s="2">
        <f t="shared" ca="1" si="132"/>
        <v>7111</v>
      </c>
      <c r="F1205" s="2">
        <f t="shared" ca="1" si="133"/>
        <v>26303</v>
      </c>
      <c r="G1205" s="2">
        <f t="shared" ca="1" si="134"/>
        <v>778</v>
      </c>
    </row>
    <row r="1206" spans="1:7" x14ac:dyDescent="0.3">
      <c r="A1206" s="5" t="str">
        <f t="shared" si="135"/>
        <v>Nike</v>
      </c>
      <c r="B1206" s="5" t="str">
        <f t="shared" si="130"/>
        <v>Jordan 1</v>
      </c>
      <c r="C1206" s="3">
        <f t="shared" si="136"/>
        <v>45738</v>
      </c>
      <c r="D1206" s="4">
        <f t="shared" ca="1" si="131"/>
        <v>52</v>
      </c>
      <c r="E1206" s="2">
        <f t="shared" ca="1" si="132"/>
        <v>9970</v>
      </c>
      <c r="F1206" s="2">
        <f t="shared" ca="1" si="133"/>
        <v>19712</v>
      </c>
      <c r="G1206" s="2">
        <f t="shared" ca="1" si="134"/>
        <v>1022</v>
      </c>
    </row>
    <row r="1207" spans="1:7" x14ac:dyDescent="0.3">
      <c r="A1207" s="5" t="str">
        <f t="shared" si="135"/>
        <v>Adidas</v>
      </c>
      <c r="B1207" s="5" t="str">
        <f t="shared" si="130"/>
        <v>Ultraboost 23</v>
      </c>
      <c r="C1207" s="3">
        <f t="shared" si="136"/>
        <v>45738</v>
      </c>
      <c r="D1207" s="4">
        <f t="shared" ca="1" si="131"/>
        <v>206</v>
      </c>
      <c r="E1207" s="2">
        <f t="shared" ca="1" si="132"/>
        <v>2146</v>
      </c>
      <c r="F1207" s="2">
        <f t="shared" ca="1" si="133"/>
        <v>18003</v>
      </c>
      <c r="G1207" s="2">
        <f t="shared" ca="1" si="134"/>
        <v>875</v>
      </c>
    </row>
    <row r="1208" spans="1:7" x14ac:dyDescent="0.3">
      <c r="A1208" s="5" t="str">
        <f t="shared" si="135"/>
        <v>Puma</v>
      </c>
      <c r="B1208" s="5" t="str">
        <f t="shared" si="130"/>
        <v>RS-X</v>
      </c>
      <c r="C1208" s="3">
        <f t="shared" si="136"/>
        <v>45738</v>
      </c>
      <c r="D1208" s="4">
        <f t="shared" ca="1" si="131"/>
        <v>231</v>
      </c>
      <c r="E1208" s="2">
        <f t="shared" ca="1" si="132"/>
        <v>10647</v>
      </c>
      <c r="F1208" s="2">
        <f t="shared" ca="1" si="133"/>
        <v>30809</v>
      </c>
      <c r="G1208" s="2">
        <f t="shared" ca="1" si="134"/>
        <v>1091</v>
      </c>
    </row>
    <row r="1209" spans="1:7" x14ac:dyDescent="0.3">
      <c r="A1209" s="5" t="str">
        <f t="shared" si="135"/>
        <v>New Balance</v>
      </c>
      <c r="B1209" s="5" t="str">
        <f t="shared" si="130"/>
        <v>2002R</v>
      </c>
      <c r="C1209" s="3">
        <f t="shared" si="136"/>
        <v>45738</v>
      </c>
      <c r="D1209" s="4">
        <f t="shared" ca="1" si="131"/>
        <v>130</v>
      </c>
      <c r="E1209" s="2">
        <f t="shared" ca="1" si="132"/>
        <v>8648</v>
      </c>
      <c r="F1209" s="2">
        <f t="shared" ca="1" si="133"/>
        <v>10608</v>
      </c>
      <c r="G1209" s="2">
        <f t="shared" ca="1" si="134"/>
        <v>624</v>
      </c>
    </row>
    <row r="1210" spans="1:7" x14ac:dyDescent="0.3">
      <c r="A1210" s="5" t="str">
        <f t="shared" si="135"/>
        <v>Reebok</v>
      </c>
      <c r="B1210" s="5" t="str">
        <f t="shared" si="130"/>
        <v>Instapump Fury</v>
      </c>
      <c r="C1210" s="3">
        <f t="shared" si="136"/>
        <v>45738</v>
      </c>
      <c r="D1210" s="4">
        <f t="shared" ca="1" si="131"/>
        <v>49</v>
      </c>
      <c r="E1210" s="2">
        <f t="shared" ca="1" si="132"/>
        <v>6428</v>
      </c>
      <c r="F1210" s="2">
        <f t="shared" ca="1" si="133"/>
        <v>30694</v>
      </c>
      <c r="G1210" s="2">
        <f t="shared" ca="1" si="134"/>
        <v>1262</v>
      </c>
    </row>
    <row r="1211" spans="1:7" x14ac:dyDescent="0.3">
      <c r="A1211" s="5" t="str">
        <f t="shared" si="135"/>
        <v>Nike</v>
      </c>
      <c r="B1211" s="5" t="str">
        <f t="shared" si="130"/>
        <v>Cortez</v>
      </c>
      <c r="C1211" s="3">
        <f t="shared" si="136"/>
        <v>45738</v>
      </c>
      <c r="D1211" s="4">
        <f t="shared" ca="1" si="131"/>
        <v>125</v>
      </c>
      <c r="E1211" s="2">
        <f t="shared" ca="1" si="132"/>
        <v>6366</v>
      </c>
      <c r="F1211" s="2">
        <f t="shared" ca="1" si="133"/>
        <v>19618</v>
      </c>
      <c r="G1211" s="2">
        <f t="shared" ca="1" si="134"/>
        <v>530</v>
      </c>
    </row>
    <row r="1212" spans="1:7" x14ac:dyDescent="0.3">
      <c r="A1212" s="5" t="str">
        <f t="shared" si="135"/>
        <v>Adidas</v>
      </c>
      <c r="B1212" s="5" t="str">
        <f t="shared" si="130"/>
        <v>NMD S1</v>
      </c>
      <c r="C1212" s="3">
        <f t="shared" si="136"/>
        <v>45738</v>
      </c>
      <c r="D1212" s="4">
        <f t="shared" ca="1" si="131"/>
        <v>227</v>
      </c>
      <c r="E1212" s="2">
        <f t="shared" ca="1" si="132"/>
        <v>8977</v>
      </c>
      <c r="F1212" s="2">
        <f t="shared" ca="1" si="133"/>
        <v>26825</v>
      </c>
      <c r="G1212" s="2">
        <f t="shared" ca="1" si="134"/>
        <v>2036</v>
      </c>
    </row>
    <row r="1213" spans="1:7" x14ac:dyDescent="0.3">
      <c r="A1213" s="5" t="str">
        <f t="shared" si="135"/>
        <v>Puma</v>
      </c>
      <c r="B1213" s="5" t="str">
        <f t="shared" si="130"/>
        <v>Suede Classic</v>
      </c>
      <c r="C1213" s="3">
        <f t="shared" si="136"/>
        <v>45738</v>
      </c>
      <c r="D1213" s="4">
        <f t="shared" ca="1" si="131"/>
        <v>144</v>
      </c>
      <c r="E1213" s="2">
        <f t="shared" ca="1" si="132"/>
        <v>5644</v>
      </c>
      <c r="F1213" s="2">
        <f t="shared" ca="1" si="133"/>
        <v>21663</v>
      </c>
      <c r="G1213" s="2">
        <f t="shared" ca="1" si="134"/>
        <v>566</v>
      </c>
    </row>
    <row r="1214" spans="1:7" x14ac:dyDescent="0.3">
      <c r="A1214" s="5" t="str">
        <f t="shared" si="135"/>
        <v>New Balance</v>
      </c>
      <c r="B1214" s="5" t="str">
        <f t="shared" si="130"/>
        <v>990v6</v>
      </c>
      <c r="C1214" s="3">
        <f t="shared" si="136"/>
        <v>45738</v>
      </c>
      <c r="D1214" s="4">
        <f t="shared" ca="1" si="131"/>
        <v>111</v>
      </c>
      <c r="E1214" s="2">
        <f t="shared" ca="1" si="132"/>
        <v>3407</v>
      </c>
      <c r="F1214" s="2">
        <f t="shared" ca="1" si="133"/>
        <v>11745</v>
      </c>
      <c r="G1214" s="2">
        <f t="shared" ca="1" si="134"/>
        <v>265</v>
      </c>
    </row>
    <row r="1215" spans="1:7" x14ac:dyDescent="0.3">
      <c r="A1215" s="5" t="str">
        <f t="shared" si="135"/>
        <v>Reebok</v>
      </c>
      <c r="B1215" s="5" t="str">
        <f t="shared" si="130"/>
        <v>Nano X3</v>
      </c>
      <c r="C1215" s="3">
        <f t="shared" si="136"/>
        <v>45738</v>
      </c>
      <c r="D1215" s="4">
        <f t="shared" ca="1" si="131"/>
        <v>197</v>
      </c>
      <c r="E1215" s="2">
        <f t="shared" ca="1" si="132"/>
        <v>9354</v>
      </c>
      <c r="F1215" s="2">
        <f t="shared" ca="1" si="133"/>
        <v>10595</v>
      </c>
      <c r="G1215" s="2">
        <f t="shared" ca="1" si="134"/>
        <v>739</v>
      </c>
    </row>
    <row r="1216" spans="1:7" x14ac:dyDescent="0.3">
      <c r="A1216" s="5" t="str">
        <f t="shared" si="135"/>
        <v>Nike</v>
      </c>
      <c r="B1216" s="5" t="str">
        <f t="shared" si="130"/>
        <v>Vaporfly 3</v>
      </c>
      <c r="C1216" s="3">
        <f t="shared" si="136"/>
        <v>45738</v>
      </c>
      <c r="D1216" s="4">
        <f t="shared" ca="1" si="131"/>
        <v>192</v>
      </c>
      <c r="E1216" s="2">
        <f t="shared" ca="1" si="132"/>
        <v>2127</v>
      </c>
      <c r="F1216" s="2">
        <f t="shared" ca="1" si="133"/>
        <v>18763</v>
      </c>
      <c r="G1216" s="2">
        <f t="shared" ca="1" si="134"/>
        <v>1038</v>
      </c>
    </row>
    <row r="1217" spans="1:7" x14ac:dyDescent="0.3">
      <c r="A1217" s="5" t="str">
        <f t="shared" si="135"/>
        <v>Adidas</v>
      </c>
      <c r="B1217" s="5" t="str">
        <f t="shared" si="130"/>
        <v>Samba</v>
      </c>
      <c r="C1217" s="3">
        <f t="shared" si="136"/>
        <v>45739</v>
      </c>
      <c r="D1217" s="4">
        <f t="shared" ca="1" si="131"/>
        <v>247</v>
      </c>
      <c r="E1217" s="2">
        <f t="shared" ca="1" si="132"/>
        <v>5341</v>
      </c>
      <c r="F1217" s="2">
        <f t="shared" ca="1" si="133"/>
        <v>22135</v>
      </c>
      <c r="G1217" s="2">
        <f t="shared" ca="1" si="134"/>
        <v>1176</v>
      </c>
    </row>
    <row r="1218" spans="1:7" x14ac:dyDescent="0.3">
      <c r="A1218" s="5" t="str">
        <f t="shared" si="135"/>
        <v>Puma</v>
      </c>
      <c r="B1218" s="5" t="str">
        <f t="shared" si="130"/>
        <v>Mayze</v>
      </c>
      <c r="C1218" s="3">
        <f t="shared" si="136"/>
        <v>45739</v>
      </c>
      <c r="D1218" s="4">
        <f t="shared" ca="1" si="131"/>
        <v>93</v>
      </c>
      <c r="E1218" s="2">
        <f t="shared" ca="1" si="132"/>
        <v>11844</v>
      </c>
      <c r="F1218" s="2">
        <f t="shared" ca="1" si="133"/>
        <v>12949</v>
      </c>
      <c r="G1218" s="2">
        <f t="shared" ca="1" si="134"/>
        <v>952</v>
      </c>
    </row>
    <row r="1219" spans="1:7" x14ac:dyDescent="0.3">
      <c r="A1219" s="5" t="str">
        <f t="shared" si="135"/>
        <v>New Balance</v>
      </c>
      <c r="B1219" s="5" t="str">
        <f t="shared" ref="B1219:B1282" si="137">IF(A1219="Nike",CHOOSE(MOD(ROW(A1218),6)+1,"Air Max 270","Air Force 1","Pegasus 40","Vaporfly 3","Cortez","Jordan 1"),
 IF(A1219="Adidas",CHOOSE(MOD(ROW(A1218),6)+1,"Ultraboost 23","Stan Smith","Superstar","Gazelle","Samba","NMD S1"),
 IF(A1219="Puma",CHOOSE(MOD(ROW(A1218),6)+1,"Suede Classic","RS-X","Cali Dream","Rider Vintage","Slipstream","Mayze"),
 IF(A1219="New Balance",CHOOSE(MOD(ROW(A1218),6)+1,"574 Core","990v6","2002R","9060","327","550"),
 IF(A1219="Reebok",CHOOSE(MOD(ROW(A1218),6)+1,"Classic Leather","Club C 85","Nano X3","Instapump Fury","Zig Kinetica","Question Mid"),"")))))</f>
        <v>574 Core</v>
      </c>
      <c r="C1219" s="3">
        <f t="shared" si="136"/>
        <v>45739</v>
      </c>
      <c r="D1219" s="4">
        <f t="shared" ref="D1219:D1282" ca="1" si="138">RANDBETWEEN(20,250)</f>
        <v>165</v>
      </c>
      <c r="E1219" s="2">
        <f t="shared" ref="E1219:E1282" ca="1" si="139">ROUND(RANDBETWEEN(1500,12000)+(RANDBETWEEN(-200,200)),2)</f>
        <v>3777</v>
      </c>
      <c r="F1219" s="2">
        <f t="shared" ref="F1219:F1282" ca="1" si="140">RANDBETWEEN(5000,35000)</f>
        <v>25871</v>
      </c>
      <c r="G1219" s="2">
        <f t="shared" ref="G1219:G1282" ca="1" si="141">RANDBETWEEN(ROUND(F1219*0.02,0),ROUND(F1219*0.08,0))</f>
        <v>563</v>
      </c>
    </row>
    <row r="1220" spans="1:7" x14ac:dyDescent="0.3">
      <c r="A1220" s="5" t="str">
        <f t="shared" si="135"/>
        <v>Reebok</v>
      </c>
      <c r="B1220" s="5" t="str">
        <f t="shared" si="137"/>
        <v>Club C 85</v>
      </c>
      <c r="C1220" s="3">
        <f t="shared" si="136"/>
        <v>45739</v>
      </c>
      <c r="D1220" s="4">
        <f t="shared" ca="1" si="138"/>
        <v>203</v>
      </c>
      <c r="E1220" s="2">
        <f t="shared" ca="1" si="139"/>
        <v>7975</v>
      </c>
      <c r="F1220" s="2">
        <f t="shared" ca="1" si="140"/>
        <v>18359</v>
      </c>
      <c r="G1220" s="2">
        <f t="shared" ca="1" si="141"/>
        <v>1121</v>
      </c>
    </row>
    <row r="1221" spans="1:7" x14ac:dyDescent="0.3">
      <c r="A1221" s="5" t="str">
        <f t="shared" si="135"/>
        <v>Nike</v>
      </c>
      <c r="B1221" s="5" t="str">
        <f t="shared" si="137"/>
        <v>Pegasus 40</v>
      </c>
      <c r="C1221" s="3">
        <f t="shared" si="136"/>
        <v>45739</v>
      </c>
      <c r="D1221" s="4">
        <f t="shared" ca="1" si="138"/>
        <v>81</v>
      </c>
      <c r="E1221" s="2">
        <f t="shared" ca="1" si="139"/>
        <v>5041</v>
      </c>
      <c r="F1221" s="2">
        <f t="shared" ca="1" si="140"/>
        <v>10809</v>
      </c>
      <c r="G1221" s="2">
        <f t="shared" ca="1" si="141"/>
        <v>767</v>
      </c>
    </row>
    <row r="1222" spans="1:7" x14ac:dyDescent="0.3">
      <c r="A1222" s="5" t="str">
        <f t="shared" si="135"/>
        <v>Adidas</v>
      </c>
      <c r="B1222" s="5" t="str">
        <f t="shared" si="137"/>
        <v>Gazelle</v>
      </c>
      <c r="C1222" s="3">
        <f t="shared" si="136"/>
        <v>45739</v>
      </c>
      <c r="D1222" s="4">
        <f t="shared" ca="1" si="138"/>
        <v>98</v>
      </c>
      <c r="E1222" s="2">
        <f t="shared" ca="1" si="139"/>
        <v>11652</v>
      </c>
      <c r="F1222" s="2">
        <f t="shared" ca="1" si="140"/>
        <v>29577</v>
      </c>
      <c r="G1222" s="2">
        <f t="shared" ca="1" si="141"/>
        <v>1150</v>
      </c>
    </row>
    <row r="1223" spans="1:7" x14ac:dyDescent="0.3">
      <c r="A1223" s="5" t="str">
        <f t="shared" si="135"/>
        <v>Puma</v>
      </c>
      <c r="B1223" s="5" t="str">
        <f t="shared" si="137"/>
        <v>Slipstream</v>
      </c>
      <c r="C1223" s="3">
        <f t="shared" si="136"/>
        <v>45739</v>
      </c>
      <c r="D1223" s="4">
        <f t="shared" ca="1" si="138"/>
        <v>115</v>
      </c>
      <c r="E1223" s="2">
        <f t="shared" ca="1" si="139"/>
        <v>8685</v>
      </c>
      <c r="F1223" s="2">
        <f t="shared" ca="1" si="140"/>
        <v>27795</v>
      </c>
      <c r="G1223" s="2">
        <f t="shared" ca="1" si="141"/>
        <v>1668</v>
      </c>
    </row>
    <row r="1224" spans="1:7" x14ac:dyDescent="0.3">
      <c r="A1224" s="5" t="str">
        <f t="shared" si="135"/>
        <v>New Balance</v>
      </c>
      <c r="B1224" s="5" t="str">
        <f t="shared" si="137"/>
        <v>550</v>
      </c>
      <c r="C1224" s="3">
        <f t="shared" si="136"/>
        <v>45739</v>
      </c>
      <c r="D1224" s="4">
        <f t="shared" ca="1" si="138"/>
        <v>103</v>
      </c>
      <c r="E1224" s="2">
        <f t="shared" ca="1" si="139"/>
        <v>4940</v>
      </c>
      <c r="F1224" s="2">
        <f t="shared" ca="1" si="140"/>
        <v>20175</v>
      </c>
      <c r="G1224" s="2">
        <f t="shared" ca="1" si="141"/>
        <v>793</v>
      </c>
    </row>
    <row r="1225" spans="1:7" x14ac:dyDescent="0.3">
      <c r="A1225" s="5" t="str">
        <f t="shared" si="135"/>
        <v>Reebok</v>
      </c>
      <c r="B1225" s="5" t="str">
        <f t="shared" si="137"/>
        <v>Classic Leather</v>
      </c>
      <c r="C1225" s="3">
        <f t="shared" si="136"/>
        <v>45739</v>
      </c>
      <c r="D1225" s="4">
        <f t="shared" ca="1" si="138"/>
        <v>128</v>
      </c>
      <c r="E1225" s="2">
        <f t="shared" ca="1" si="139"/>
        <v>6750</v>
      </c>
      <c r="F1225" s="2">
        <f t="shared" ca="1" si="140"/>
        <v>15204</v>
      </c>
      <c r="G1225" s="2">
        <f t="shared" ca="1" si="141"/>
        <v>343</v>
      </c>
    </row>
    <row r="1226" spans="1:7" x14ac:dyDescent="0.3">
      <c r="A1226" s="5" t="str">
        <f t="shared" si="135"/>
        <v>Nike</v>
      </c>
      <c r="B1226" s="5" t="str">
        <f t="shared" si="137"/>
        <v>Air Force 1</v>
      </c>
      <c r="C1226" s="3">
        <f t="shared" si="136"/>
        <v>45739</v>
      </c>
      <c r="D1226" s="4">
        <f t="shared" ca="1" si="138"/>
        <v>130</v>
      </c>
      <c r="E1226" s="2">
        <f t="shared" ca="1" si="139"/>
        <v>9861</v>
      </c>
      <c r="F1226" s="2">
        <f t="shared" ca="1" si="140"/>
        <v>29103</v>
      </c>
      <c r="G1226" s="2">
        <f t="shared" ca="1" si="141"/>
        <v>1814</v>
      </c>
    </row>
    <row r="1227" spans="1:7" x14ac:dyDescent="0.3">
      <c r="A1227" s="5" t="str">
        <f t="shared" si="135"/>
        <v>Adidas</v>
      </c>
      <c r="B1227" s="5" t="str">
        <f t="shared" si="137"/>
        <v>Superstar</v>
      </c>
      <c r="C1227" s="3">
        <f t="shared" si="136"/>
        <v>45739</v>
      </c>
      <c r="D1227" s="4">
        <f t="shared" ca="1" si="138"/>
        <v>224</v>
      </c>
      <c r="E1227" s="2">
        <f t="shared" ca="1" si="139"/>
        <v>3187</v>
      </c>
      <c r="F1227" s="2">
        <f t="shared" ca="1" si="140"/>
        <v>18975</v>
      </c>
      <c r="G1227" s="2">
        <f t="shared" ca="1" si="141"/>
        <v>1302</v>
      </c>
    </row>
    <row r="1228" spans="1:7" x14ac:dyDescent="0.3">
      <c r="A1228" s="5" t="str">
        <f t="shared" si="135"/>
        <v>Puma</v>
      </c>
      <c r="B1228" s="5" t="str">
        <f t="shared" si="137"/>
        <v>Rider Vintage</v>
      </c>
      <c r="C1228" s="3">
        <f t="shared" si="136"/>
        <v>45739</v>
      </c>
      <c r="D1228" s="4">
        <f t="shared" ca="1" si="138"/>
        <v>249</v>
      </c>
      <c r="E1228" s="2">
        <f t="shared" ca="1" si="139"/>
        <v>8328</v>
      </c>
      <c r="F1228" s="2">
        <f t="shared" ca="1" si="140"/>
        <v>7338</v>
      </c>
      <c r="G1228" s="2">
        <f t="shared" ca="1" si="141"/>
        <v>168</v>
      </c>
    </row>
    <row r="1229" spans="1:7" x14ac:dyDescent="0.3">
      <c r="A1229" s="5" t="str">
        <f t="shared" si="135"/>
        <v>New Balance</v>
      </c>
      <c r="B1229" s="5" t="str">
        <f t="shared" si="137"/>
        <v>327</v>
      </c>
      <c r="C1229" s="3">
        <f t="shared" si="136"/>
        <v>45739</v>
      </c>
      <c r="D1229" s="4">
        <f t="shared" ca="1" si="138"/>
        <v>229</v>
      </c>
      <c r="E1229" s="2">
        <f t="shared" ca="1" si="139"/>
        <v>4486</v>
      </c>
      <c r="F1229" s="2">
        <f t="shared" ca="1" si="140"/>
        <v>5393</v>
      </c>
      <c r="G1229" s="2">
        <f t="shared" ca="1" si="141"/>
        <v>417</v>
      </c>
    </row>
    <row r="1230" spans="1:7" x14ac:dyDescent="0.3">
      <c r="A1230" s="5" t="str">
        <f t="shared" si="135"/>
        <v>Reebok</v>
      </c>
      <c r="B1230" s="5" t="str">
        <f t="shared" si="137"/>
        <v>Question Mid</v>
      </c>
      <c r="C1230" s="3">
        <f t="shared" si="136"/>
        <v>45739</v>
      </c>
      <c r="D1230" s="4">
        <f t="shared" ca="1" si="138"/>
        <v>211</v>
      </c>
      <c r="E1230" s="2">
        <f t="shared" ca="1" si="139"/>
        <v>4326</v>
      </c>
      <c r="F1230" s="2">
        <f t="shared" ca="1" si="140"/>
        <v>7486</v>
      </c>
      <c r="G1230" s="2">
        <f t="shared" ca="1" si="141"/>
        <v>564</v>
      </c>
    </row>
    <row r="1231" spans="1:7" x14ac:dyDescent="0.3">
      <c r="A1231" s="5" t="str">
        <f t="shared" si="135"/>
        <v>Nike</v>
      </c>
      <c r="B1231" s="5" t="str">
        <f t="shared" si="137"/>
        <v>Air Max 270</v>
      </c>
      <c r="C1231" s="3">
        <f t="shared" si="136"/>
        <v>45739</v>
      </c>
      <c r="D1231" s="4">
        <f t="shared" ca="1" si="138"/>
        <v>96</v>
      </c>
      <c r="E1231" s="2">
        <f t="shared" ca="1" si="139"/>
        <v>3440</v>
      </c>
      <c r="F1231" s="2">
        <f t="shared" ca="1" si="140"/>
        <v>6482</v>
      </c>
      <c r="G1231" s="2">
        <f t="shared" ca="1" si="141"/>
        <v>428</v>
      </c>
    </row>
    <row r="1232" spans="1:7" x14ac:dyDescent="0.3">
      <c r="A1232" s="5" t="str">
        <f t="shared" si="135"/>
        <v>Adidas</v>
      </c>
      <c r="B1232" s="5" t="str">
        <f t="shared" si="137"/>
        <v>Stan Smith</v>
      </c>
      <c r="C1232" s="3">
        <f t="shared" si="136"/>
        <v>45740</v>
      </c>
      <c r="D1232" s="4">
        <f t="shared" ca="1" si="138"/>
        <v>28</v>
      </c>
      <c r="E1232" s="2">
        <f t="shared" ca="1" si="139"/>
        <v>7512</v>
      </c>
      <c r="F1232" s="2">
        <f t="shared" ca="1" si="140"/>
        <v>24301</v>
      </c>
      <c r="G1232" s="2">
        <f t="shared" ca="1" si="141"/>
        <v>1298</v>
      </c>
    </row>
    <row r="1233" spans="1:7" x14ac:dyDescent="0.3">
      <c r="A1233" s="5" t="str">
        <f t="shared" si="135"/>
        <v>Puma</v>
      </c>
      <c r="B1233" s="5" t="str">
        <f t="shared" si="137"/>
        <v>Cali Dream</v>
      </c>
      <c r="C1233" s="3">
        <f t="shared" si="136"/>
        <v>45740</v>
      </c>
      <c r="D1233" s="4">
        <f t="shared" ca="1" si="138"/>
        <v>170</v>
      </c>
      <c r="E1233" s="2">
        <f t="shared" ca="1" si="139"/>
        <v>4074</v>
      </c>
      <c r="F1233" s="2">
        <f t="shared" ca="1" si="140"/>
        <v>22077</v>
      </c>
      <c r="G1233" s="2">
        <f t="shared" ca="1" si="141"/>
        <v>1566</v>
      </c>
    </row>
    <row r="1234" spans="1:7" x14ac:dyDescent="0.3">
      <c r="A1234" s="5" t="str">
        <f t="shared" si="135"/>
        <v>New Balance</v>
      </c>
      <c r="B1234" s="5" t="str">
        <f t="shared" si="137"/>
        <v>9060</v>
      </c>
      <c r="C1234" s="3">
        <f t="shared" si="136"/>
        <v>45740</v>
      </c>
      <c r="D1234" s="4">
        <f t="shared" ca="1" si="138"/>
        <v>111</v>
      </c>
      <c r="E1234" s="2">
        <f t="shared" ca="1" si="139"/>
        <v>10200</v>
      </c>
      <c r="F1234" s="2">
        <f t="shared" ca="1" si="140"/>
        <v>13957</v>
      </c>
      <c r="G1234" s="2">
        <f t="shared" ca="1" si="141"/>
        <v>317</v>
      </c>
    </row>
    <row r="1235" spans="1:7" x14ac:dyDescent="0.3">
      <c r="A1235" s="5" t="str">
        <f t="shared" si="135"/>
        <v>Reebok</v>
      </c>
      <c r="B1235" s="5" t="str">
        <f t="shared" si="137"/>
        <v>Zig Kinetica</v>
      </c>
      <c r="C1235" s="3">
        <f t="shared" si="136"/>
        <v>45740</v>
      </c>
      <c r="D1235" s="4">
        <f t="shared" ca="1" si="138"/>
        <v>245</v>
      </c>
      <c r="E1235" s="2">
        <f t="shared" ca="1" si="139"/>
        <v>10357</v>
      </c>
      <c r="F1235" s="2">
        <f t="shared" ca="1" si="140"/>
        <v>8122</v>
      </c>
      <c r="G1235" s="2">
        <f t="shared" ca="1" si="141"/>
        <v>203</v>
      </c>
    </row>
    <row r="1236" spans="1:7" x14ac:dyDescent="0.3">
      <c r="A1236" s="5" t="str">
        <f t="shared" si="135"/>
        <v>Nike</v>
      </c>
      <c r="B1236" s="5" t="str">
        <f t="shared" si="137"/>
        <v>Jordan 1</v>
      </c>
      <c r="C1236" s="3">
        <f t="shared" si="136"/>
        <v>45740</v>
      </c>
      <c r="D1236" s="4">
        <f t="shared" ca="1" si="138"/>
        <v>241</v>
      </c>
      <c r="E1236" s="2">
        <f t="shared" ca="1" si="139"/>
        <v>5098</v>
      </c>
      <c r="F1236" s="2">
        <f t="shared" ca="1" si="140"/>
        <v>17172</v>
      </c>
      <c r="G1236" s="2">
        <f t="shared" ca="1" si="141"/>
        <v>1308</v>
      </c>
    </row>
    <row r="1237" spans="1:7" x14ac:dyDescent="0.3">
      <c r="A1237" s="5" t="str">
        <f t="shared" si="135"/>
        <v>Adidas</v>
      </c>
      <c r="B1237" s="5" t="str">
        <f t="shared" si="137"/>
        <v>Ultraboost 23</v>
      </c>
      <c r="C1237" s="3">
        <f t="shared" si="136"/>
        <v>45740</v>
      </c>
      <c r="D1237" s="4">
        <f t="shared" ca="1" si="138"/>
        <v>45</v>
      </c>
      <c r="E1237" s="2">
        <f t="shared" ca="1" si="139"/>
        <v>10816</v>
      </c>
      <c r="F1237" s="2">
        <f t="shared" ca="1" si="140"/>
        <v>32520</v>
      </c>
      <c r="G1237" s="2">
        <f t="shared" ca="1" si="141"/>
        <v>1622</v>
      </c>
    </row>
    <row r="1238" spans="1:7" x14ac:dyDescent="0.3">
      <c r="A1238" s="5" t="str">
        <f t="shared" si="135"/>
        <v>Puma</v>
      </c>
      <c r="B1238" s="5" t="str">
        <f t="shared" si="137"/>
        <v>RS-X</v>
      </c>
      <c r="C1238" s="3">
        <f t="shared" si="136"/>
        <v>45740</v>
      </c>
      <c r="D1238" s="4">
        <f t="shared" ca="1" si="138"/>
        <v>129</v>
      </c>
      <c r="E1238" s="2">
        <f t="shared" ca="1" si="139"/>
        <v>5929</v>
      </c>
      <c r="F1238" s="2">
        <f t="shared" ca="1" si="140"/>
        <v>10357</v>
      </c>
      <c r="G1238" s="2">
        <f t="shared" ca="1" si="141"/>
        <v>713</v>
      </c>
    </row>
    <row r="1239" spans="1:7" x14ac:dyDescent="0.3">
      <c r="A1239" s="5" t="str">
        <f t="shared" si="135"/>
        <v>New Balance</v>
      </c>
      <c r="B1239" s="5" t="str">
        <f t="shared" si="137"/>
        <v>2002R</v>
      </c>
      <c r="C1239" s="3">
        <f t="shared" si="136"/>
        <v>45740</v>
      </c>
      <c r="D1239" s="4">
        <f t="shared" ca="1" si="138"/>
        <v>187</v>
      </c>
      <c r="E1239" s="2">
        <f t="shared" ca="1" si="139"/>
        <v>7692</v>
      </c>
      <c r="F1239" s="2">
        <f t="shared" ca="1" si="140"/>
        <v>18140</v>
      </c>
      <c r="G1239" s="2">
        <f t="shared" ca="1" si="141"/>
        <v>803</v>
      </c>
    </row>
    <row r="1240" spans="1:7" x14ac:dyDescent="0.3">
      <c r="A1240" s="5" t="str">
        <f t="shared" si="135"/>
        <v>Reebok</v>
      </c>
      <c r="B1240" s="5" t="str">
        <f t="shared" si="137"/>
        <v>Instapump Fury</v>
      </c>
      <c r="C1240" s="3">
        <f t="shared" si="136"/>
        <v>45740</v>
      </c>
      <c r="D1240" s="4">
        <f t="shared" ca="1" si="138"/>
        <v>224</v>
      </c>
      <c r="E1240" s="2">
        <f t="shared" ca="1" si="139"/>
        <v>7903</v>
      </c>
      <c r="F1240" s="2">
        <f t="shared" ca="1" si="140"/>
        <v>6221</v>
      </c>
      <c r="G1240" s="2">
        <f t="shared" ca="1" si="141"/>
        <v>202</v>
      </c>
    </row>
    <row r="1241" spans="1:7" x14ac:dyDescent="0.3">
      <c r="A1241" s="5" t="str">
        <f t="shared" si="135"/>
        <v>Nike</v>
      </c>
      <c r="B1241" s="5" t="str">
        <f t="shared" si="137"/>
        <v>Cortez</v>
      </c>
      <c r="C1241" s="3">
        <f t="shared" si="136"/>
        <v>45740</v>
      </c>
      <c r="D1241" s="4">
        <f t="shared" ca="1" si="138"/>
        <v>160</v>
      </c>
      <c r="E1241" s="2">
        <f t="shared" ca="1" si="139"/>
        <v>5082</v>
      </c>
      <c r="F1241" s="2">
        <f t="shared" ca="1" si="140"/>
        <v>9324</v>
      </c>
      <c r="G1241" s="2">
        <f t="shared" ca="1" si="141"/>
        <v>651</v>
      </c>
    </row>
    <row r="1242" spans="1:7" x14ac:dyDescent="0.3">
      <c r="A1242" s="5" t="str">
        <f t="shared" si="135"/>
        <v>Adidas</v>
      </c>
      <c r="B1242" s="5" t="str">
        <f t="shared" si="137"/>
        <v>NMD S1</v>
      </c>
      <c r="C1242" s="3">
        <f t="shared" si="136"/>
        <v>45740</v>
      </c>
      <c r="D1242" s="4">
        <f t="shared" ca="1" si="138"/>
        <v>112</v>
      </c>
      <c r="E1242" s="2">
        <f t="shared" ca="1" si="139"/>
        <v>2861</v>
      </c>
      <c r="F1242" s="2">
        <f t="shared" ca="1" si="140"/>
        <v>30516</v>
      </c>
      <c r="G1242" s="2">
        <f t="shared" ca="1" si="141"/>
        <v>989</v>
      </c>
    </row>
    <row r="1243" spans="1:7" x14ac:dyDescent="0.3">
      <c r="A1243" s="5" t="str">
        <f t="shared" si="135"/>
        <v>Puma</v>
      </c>
      <c r="B1243" s="5" t="str">
        <f t="shared" si="137"/>
        <v>Suede Classic</v>
      </c>
      <c r="C1243" s="3">
        <f t="shared" si="136"/>
        <v>45740</v>
      </c>
      <c r="D1243" s="4">
        <f t="shared" ca="1" si="138"/>
        <v>57</v>
      </c>
      <c r="E1243" s="2">
        <f t="shared" ca="1" si="139"/>
        <v>3026</v>
      </c>
      <c r="F1243" s="2">
        <f t="shared" ca="1" si="140"/>
        <v>32535</v>
      </c>
      <c r="G1243" s="2">
        <f t="shared" ca="1" si="141"/>
        <v>1368</v>
      </c>
    </row>
    <row r="1244" spans="1:7" x14ac:dyDescent="0.3">
      <c r="A1244" s="5" t="str">
        <f t="shared" si="135"/>
        <v>New Balance</v>
      </c>
      <c r="B1244" s="5" t="str">
        <f t="shared" si="137"/>
        <v>990v6</v>
      </c>
      <c r="C1244" s="3">
        <f t="shared" si="136"/>
        <v>45740</v>
      </c>
      <c r="D1244" s="4">
        <f t="shared" ca="1" si="138"/>
        <v>113</v>
      </c>
      <c r="E1244" s="2">
        <f t="shared" ca="1" si="139"/>
        <v>4973</v>
      </c>
      <c r="F1244" s="2">
        <f t="shared" ca="1" si="140"/>
        <v>6325</v>
      </c>
      <c r="G1244" s="2">
        <f t="shared" ca="1" si="141"/>
        <v>307</v>
      </c>
    </row>
    <row r="1245" spans="1:7" x14ac:dyDescent="0.3">
      <c r="A1245" s="5" t="str">
        <f t="shared" si="135"/>
        <v>Reebok</v>
      </c>
      <c r="B1245" s="5" t="str">
        <f t="shared" si="137"/>
        <v>Nano X3</v>
      </c>
      <c r="C1245" s="3">
        <f t="shared" si="136"/>
        <v>45740</v>
      </c>
      <c r="D1245" s="4">
        <f t="shared" ca="1" si="138"/>
        <v>194</v>
      </c>
      <c r="E1245" s="2">
        <f t="shared" ca="1" si="139"/>
        <v>7803</v>
      </c>
      <c r="F1245" s="2">
        <f t="shared" ca="1" si="140"/>
        <v>32934</v>
      </c>
      <c r="G1245" s="2">
        <f t="shared" ca="1" si="141"/>
        <v>2180</v>
      </c>
    </row>
    <row r="1246" spans="1:7" x14ac:dyDescent="0.3">
      <c r="A1246" s="5" t="str">
        <f t="shared" si="135"/>
        <v>Nike</v>
      </c>
      <c r="B1246" s="5" t="str">
        <f t="shared" si="137"/>
        <v>Vaporfly 3</v>
      </c>
      <c r="C1246" s="3">
        <f t="shared" si="136"/>
        <v>45740</v>
      </c>
      <c r="D1246" s="4">
        <f t="shared" ca="1" si="138"/>
        <v>55</v>
      </c>
      <c r="E1246" s="2">
        <f t="shared" ca="1" si="139"/>
        <v>9233</v>
      </c>
      <c r="F1246" s="2">
        <f t="shared" ca="1" si="140"/>
        <v>5998</v>
      </c>
      <c r="G1246" s="2">
        <f t="shared" ca="1" si="141"/>
        <v>452</v>
      </c>
    </row>
    <row r="1247" spans="1:7" x14ac:dyDescent="0.3">
      <c r="A1247" s="5" t="str">
        <f t="shared" si="135"/>
        <v>Adidas</v>
      </c>
      <c r="B1247" s="5" t="str">
        <f t="shared" si="137"/>
        <v>Samba</v>
      </c>
      <c r="C1247" s="3">
        <f t="shared" si="136"/>
        <v>45741</v>
      </c>
      <c r="D1247" s="4">
        <f t="shared" ca="1" si="138"/>
        <v>230</v>
      </c>
      <c r="E1247" s="2">
        <f t="shared" ca="1" si="139"/>
        <v>11683</v>
      </c>
      <c r="F1247" s="2">
        <f t="shared" ca="1" si="140"/>
        <v>34047</v>
      </c>
      <c r="G1247" s="2">
        <f t="shared" ca="1" si="141"/>
        <v>948</v>
      </c>
    </row>
    <row r="1248" spans="1:7" x14ac:dyDescent="0.3">
      <c r="A1248" s="5" t="str">
        <f t="shared" si="135"/>
        <v>Puma</v>
      </c>
      <c r="B1248" s="5" t="str">
        <f t="shared" si="137"/>
        <v>Mayze</v>
      </c>
      <c r="C1248" s="3">
        <f t="shared" si="136"/>
        <v>45741</v>
      </c>
      <c r="D1248" s="4">
        <f t="shared" ca="1" si="138"/>
        <v>39</v>
      </c>
      <c r="E1248" s="2">
        <f t="shared" ca="1" si="139"/>
        <v>3249</v>
      </c>
      <c r="F1248" s="2">
        <f t="shared" ca="1" si="140"/>
        <v>25662</v>
      </c>
      <c r="G1248" s="2">
        <f t="shared" ca="1" si="141"/>
        <v>1727</v>
      </c>
    </row>
    <row r="1249" spans="1:7" x14ac:dyDescent="0.3">
      <c r="A1249" s="5" t="str">
        <f t="shared" si="135"/>
        <v>New Balance</v>
      </c>
      <c r="B1249" s="5" t="str">
        <f t="shared" si="137"/>
        <v>574 Core</v>
      </c>
      <c r="C1249" s="3">
        <f t="shared" si="136"/>
        <v>45741</v>
      </c>
      <c r="D1249" s="4">
        <f t="shared" ca="1" si="138"/>
        <v>184</v>
      </c>
      <c r="E1249" s="2">
        <f t="shared" ca="1" si="139"/>
        <v>9851</v>
      </c>
      <c r="F1249" s="2">
        <f t="shared" ca="1" si="140"/>
        <v>22668</v>
      </c>
      <c r="G1249" s="2">
        <f t="shared" ca="1" si="141"/>
        <v>570</v>
      </c>
    </row>
    <row r="1250" spans="1:7" x14ac:dyDescent="0.3">
      <c r="A1250" s="5" t="str">
        <f t="shared" si="135"/>
        <v>Reebok</v>
      </c>
      <c r="B1250" s="5" t="str">
        <f t="shared" si="137"/>
        <v>Club C 85</v>
      </c>
      <c r="C1250" s="3">
        <f t="shared" si="136"/>
        <v>45741</v>
      </c>
      <c r="D1250" s="4">
        <f t="shared" ca="1" si="138"/>
        <v>54</v>
      </c>
      <c r="E1250" s="2">
        <f t="shared" ca="1" si="139"/>
        <v>7788</v>
      </c>
      <c r="F1250" s="2">
        <f t="shared" ca="1" si="140"/>
        <v>28725</v>
      </c>
      <c r="G1250" s="2">
        <f t="shared" ca="1" si="141"/>
        <v>1765</v>
      </c>
    </row>
    <row r="1251" spans="1:7" x14ac:dyDescent="0.3">
      <c r="A1251" s="5" t="str">
        <f t="shared" si="135"/>
        <v>Nike</v>
      </c>
      <c r="B1251" s="5" t="str">
        <f t="shared" si="137"/>
        <v>Pegasus 40</v>
      </c>
      <c r="C1251" s="3">
        <f t="shared" si="136"/>
        <v>45741</v>
      </c>
      <c r="D1251" s="4">
        <f t="shared" ca="1" si="138"/>
        <v>20</v>
      </c>
      <c r="E1251" s="2">
        <f t="shared" ca="1" si="139"/>
        <v>2954</v>
      </c>
      <c r="F1251" s="2">
        <f t="shared" ca="1" si="140"/>
        <v>15157</v>
      </c>
      <c r="G1251" s="2">
        <f t="shared" ca="1" si="141"/>
        <v>760</v>
      </c>
    </row>
    <row r="1252" spans="1:7" x14ac:dyDescent="0.3">
      <c r="A1252" s="5" t="str">
        <f t="shared" si="135"/>
        <v>Adidas</v>
      </c>
      <c r="B1252" s="5" t="str">
        <f t="shared" si="137"/>
        <v>Gazelle</v>
      </c>
      <c r="C1252" s="3">
        <f t="shared" si="136"/>
        <v>45741</v>
      </c>
      <c r="D1252" s="4">
        <f t="shared" ca="1" si="138"/>
        <v>192</v>
      </c>
      <c r="E1252" s="2">
        <f t="shared" ca="1" si="139"/>
        <v>9358</v>
      </c>
      <c r="F1252" s="2">
        <f t="shared" ca="1" si="140"/>
        <v>6942</v>
      </c>
      <c r="G1252" s="2">
        <f t="shared" ca="1" si="141"/>
        <v>417</v>
      </c>
    </row>
    <row r="1253" spans="1:7" x14ac:dyDescent="0.3">
      <c r="A1253" s="5" t="str">
        <f t="shared" si="135"/>
        <v>Puma</v>
      </c>
      <c r="B1253" s="5" t="str">
        <f t="shared" si="137"/>
        <v>Slipstream</v>
      </c>
      <c r="C1253" s="3">
        <f t="shared" si="136"/>
        <v>45741</v>
      </c>
      <c r="D1253" s="4">
        <f t="shared" ca="1" si="138"/>
        <v>190</v>
      </c>
      <c r="E1253" s="2">
        <f t="shared" ca="1" si="139"/>
        <v>5941</v>
      </c>
      <c r="F1253" s="2">
        <f t="shared" ca="1" si="140"/>
        <v>33593</v>
      </c>
      <c r="G1253" s="2">
        <f t="shared" ca="1" si="141"/>
        <v>2158</v>
      </c>
    </row>
    <row r="1254" spans="1:7" x14ac:dyDescent="0.3">
      <c r="A1254" s="5" t="str">
        <f t="shared" si="135"/>
        <v>New Balance</v>
      </c>
      <c r="B1254" s="5" t="str">
        <f t="shared" si="137"/>
        <v>550</v>
      </c>
      <c r="C1254" s="3">
        <f t="shared" si="136"/>
        <v>45741</v>
      </c>
      <c r="D1254" s="4">
        <f t="shared" ca="1" si="138"/>
        <v>148</v>
      </c>
      <c r="E1254" s="2">
        <f t="shared" ca="1" si="139"/>
        <v>8325</v>
      </c>
      <c r="F1254" s="2">
        <f t="shared" ca="1" si="140"/>
        <v>8044</v>
      </c>
      <c r="G1254" s="2">
        <f t="shared" ca="1" si="141"/>
        <v>254</v>
      </c>
    </row>
    <row r="1255" spans="1:7" x14ac:dyDescent="0.3">
      <c r="A1255" s="5" t="str">
        <f t="shared" si="135"/>
        <v>Reebok</v>
      </c>
      <c r="B1255" s="5" t="str">
        <f t="shared" si="137"/>
        <v>Classic Leather</v>
      </c>
      <c r="C1255" s="3">
        <f t="shared" si="136"/>
        <v>45741</v>
      </c>
      <c r="D1255" s="4">
        <f t="shared" ca="1" si="138"/>
        <v>127</v>
      </c>
      <c r="E1255" s="2">
        <f t="shared" ca="1" si="139"/>
        <v>5252</v>
      </c>
      <c r="F1255" s="2">
        <f t="shared" ca="1" si="140"/>
        <v>14736</v>
      </c>
      <c r="G1255" s="2">
        <f t="shared" ca="1" si="141"/>
        <v>979</v>
      </c>
    </row>
    <row r="1256" spans="1:7" x14ac:dyDescent="0.3">
      <c r="A1256" s="5" t="str">
        <f t="shared" si="135"/>
        <v>Nike</v>
      </c>
      <c r="B1256" s="5" t="str">
        <f t="shared" si="137"/>
        <v>Air Force 1</v>
      </c>
      <c r="C1256" s="3">
        <f t="shared" si="136"/>
        <v>45741</v>
      </c>
      <c r="D1256" s="4">
        <f t="shared" ca="1" si="138"/>
        <v>44</v>
      </c>
      <c r="E1256" s="2">
        <f t="shared" ca="1" si="139"/>
        <v>11114</v>
      </c>
      <c r="F1256" s="2">
        <f t="shared" ca="1" si="140"/>
        <v>21655</v>
      </c>
      <c r="G1256" s="2">
        <f t="shared" ca="1" si="141"/>
        <v>815</v>
      </c>
    </row>
    <row r="1257" spans="1:7" x14ac:dyDescent="0.3">
      <c r="A1257" s="5" t="str">
        <f t="shared" si="135"/>
        <v>Adidas</v>
      </c>
      <c r="B1257" s="5" t="str">
        <f t="shared" si="137"/>
        <v>Superstar</v>
      </c>
      <c r="C1257" s="3">
        <f t="shared" si="136"/>
        <v>45741</v>
      </c>
      <c r="D1257" s="4">
        <f t="shared" ca="1" si="138"/>
        <v>96</v>
      </c>
      <c r="E1257" s="2">
        <f t="shared" ca="1" si="139"/>
        <v>11706</v>
      </c>
      <c r="F1257" s="2">
        <f t="shared" ca="1" si="140"/>
        <v>18169</v>
      </c>
      <c r="G1257" s="2">
        <f t="shared" ca="1" si="141"/>
        <v>396</v>
      </c>
    </row>
    <row r="1258" spans="1:7" x14ac:dyDescent="0.3">
      <c r="A1258" s="5" t="str">
        <f t="shared" si="135"/>
        <v>Puma</v>
      </c>
      <c r="B1258" s="5" t="str">
        <f t="shared" si="137"/>
        <v>Rider Vintage</v>
      </c>
      <c r="C1258" s="3">
        <f t="shared" si="136"/>
        <v>45741</v>
      </c>
      <c r="D1258" s="4">
        <f t="shared" ca="1" si="138"/>
        <v>131</v>
      </c>
      <c r="E1258" s="2">
        <f t="shared" ca="1" si="139"/>
        <v>3329</v>
      </c>
      <c r="F1258" s="2">
        <f t="shared" ca="1" si="140"/>
        <v>15268</v>
      </c>
      <c r="G1258" s="2">
        <f t="shared" ca="1" si="141"/>
        <v>474</v>
      </c>
    </row>
    <row r="1259" spans="1:7" x14ac:dyDescent="0.3">
      <c r="A1259" s="5" t="str">
        <f t="shared" ref="A1259:A1322" si="142">CHOOSE(MOD(ROW(A1258),5)+1,"Nike","Adidas","Puma","New Balance","Reebok")</f>
        <v>New Balance</v>
      </c>
      <c r="B1259" s="5" t="str">
        <f t="shared" si="137"/>
        <v>327</v>
      </c>
      <c r="C1259" s="3">
        <f t="shared" ref="C1259:C1322" si="143">DATE(2025,1,1)+INT((ROW(A1259)-2)/15)</f>
        <v>45741</v>
      </c>
      <c r="D1259" s="4">
        <f t="shared" ca="1" si="138"/>
        <v>55</v>
      </c>
      <c r="E1259" s="2">
        <f t="shared" ca="1" si="139"/>
        <v>5928</v>
      </c>
      <c r="F1259" s="2">
        <f t="shared" ca="1" si="140"/>
        <v>34788</v>
      </c>
      <c r="G1259" s="2">
        <f t="shared" ca="1" si="141"/>
        <v>1306</v>
      </c>
    </row>
    <row r="1260" spans="1:7" x14ac:dyDescent="0.3">
      <c r="A1260" s="5" t="str">
        <f t="shared" si="142"/>
        <v>Reebok</v>
      </c>
      <c r="B1260" s="5" t="str">
        <f t="shared" si="137"/>
        <v>Question Mid</v>
      </c>
      <c r="C1260" s="3">
        <f t="shared" si="143"/>
        <v>45741</v>
      </c>
      <c r="D1260" s="4">
        <f t="shared" ca="1" si="138"/>
        <v>72</v>
      </c>
      <c r="E1260" s="2">
        <f t="shared" ca="1" si="139"/>
        <v>4759</v>
      </c>
      <c r="F1260" s="2">
        <f t="shared" ca="1" si="140"/>
        <v>25199</v>
      </c>
      <c r="G1260" s="2">
        <f t="shared" ca="1" si="141"/>
        <v>1405</v>
      </c>
    </row>
    <row r="1261" spans="1:7" x14ac:dyDescent="0.3">
      <c r="A1261" s="5" t="str">
        <f t="shared" si="142"/>
        <v>Nike</v>
      </c>
      <c r="B1261" s="5" t="str">
        <f t="shared" si="137"/>
        <v>Air Max 270</v>
      </c>
      <c r="C1261" s="3">
        <f t="shared" si="143"/>
        <v>45741</v>
      </c>
      <c r="D1261" s="4">
        <f t="shared" ca="1" si="138"/>
        <v>247</v>
      </c>
      <c r="E1261" s="2">
        <f t="shared" ca="1" si="139"/>
        <v>2091</v>
      </c>
      <c r="F1261" s="2">
        <f t="shared" ca="1" si="140"/>
        <v>17061</v>
      </c>
      <c r="G1261" s="2">
        <f t="shared" ca="1" si="141"/>
        <v>673</v>
      </c>
    </row>
    <row r="1262" spans="1:7" x14ac:dyDescent="0.3">
      <c r="A1262" s="5" t="str">
        <f t="shared" si="142"/>
        <v>Adidas</v>
      </c>
      <c r="B1262" s="5" t="str">
        <f t="shared" si="137"/>
        <v>Stan Smith</v>
      </c>
      <c r="C1262" s="3">
        <f t="shared" si="143"/>
        <v>45742</v>
      </c>
      <c r="D1262" s="4">
        <f t="shared" ca="1" si="138"/>
        <v>136</v>
      </c>
      <c r="E1262" s="2">
        <f t="shared" ca="1" si="139"/>
        <v>10249</v>
      </c>
      <c r="F1262" s="2">
        <f t="shared" ca="1" si="140"/>
        <v>12962</v>
      </c>
      <c r="G1262" s="2">
        <f t="shared" ca="1" si="141"/>
        <v>1000</v>
      </c>
    </row>
    <row r="1263" spans="1:7" x14ac:dyDescent="0.3">
      <c r="A1263" s="5" t="str">
        <f t="shared" si="142"/>
        <v>Puma</v>
      </c>
      <c r="B1263" s="5" t="str">
        <f t="shared" si="137"/>
        <v>Cali Dream</v>
      </c>
      <c r="C1263" s="3">
        <f t="shared" si="143"/>
        <v>45742</v>
      </c>
      <c r="D1263" s="4">
        <f t="shared" ca="1" si="138"/>
        <v>90</v>
      </c>
      <c r="E1263" s="2">
        <f t="shared" ca="1" si="139"/>
        <v>4266</v>
      </c>
      <c r="F1263" s="2">
        <f t="shared" ca="1" si="140"/>
        <v>31887</v>
      </c>
      <c r="G1263" s="2">
        <f t="shared" ca="1" si="141"/>
        <v>726</v>
      </c>
    </row>
    <row r="1264" spans="1:7" x14ac:dyDescent="0.3">
      <c r="A1264" s="5" t="str">
        <f t="shared" si="142"/>
        <v>New Balance</v>
      </c>
      <c r="B1264" s="5" t="str">
        <f t="shared" si="137"/>
        <v>9060</v>
      </c>
      <c r="C1264" s="3">
        <f t="shared" si="143"/>
        <v>45742</v>
      </c>
      <c r="D1264" s="4">
        <f t="shared" ca="1" si="138"/>
        <v>114</v>
      </c>
      <c r="E1264" s="2">
        <f t="shared" ca="1" si="139"/>
        <v>11871</v>
      </c>
      <c r="F1264" s="2">
        <f t="shared" ca="1" si="140"/>
        <v>7350</v>
      </c>
      <c r="G1264" s="2">
        <f t="shared" ca="1" si="141"/>
        <v>247</v>
      </c>
    </row>
    <row r="1265" spans="1:7" x14ac:dyDescent="0.3">
      <c r="A1265" s="5" t="str">
        <f t="shared" si="142"/>
        <v>Reebok</v>
      </c>
      <c r="B1265" s="5" t="str">
        <f t="shared" si="137"/>
        <v>Zig Kinetica</v>
      </c>
      <c r="C1265" s="3">
        <f t="shared" si="143"/>
        <v>45742</v>
      </c>
      <c r="D1265" s="4">
        <f t="shared" ca="1" si="138"/>
        <v>181</v>
      </c>
      <c r="E1265" s="2">
        <f t="shared" ca="1" si="139"/>
        <v>8298</v>
      </c>
      <c r="F1265" s="2">
        <f t="shared" ca="1" si="140"/>
        <v>5560</v>
      </c>
      <c r="G1265" s="2">
        <f t="shared" ca="1" si="141"/>
        <v>114</v>
      </c>
    </row>
    <row r="1266" spans="1:7" x14ac:dyDescent="0.3">
      <c r="A1266" s="5" t="str">
        <f t="shared" si="142"/>
        <v>Nike</v>
      </c>
      <c r="B1266" s="5" t="str">
        <f t="shared" si="137"/>
        <v>Jordan 1</v>
      </c>
      <c r="C1266" s="3">
        <f t="shared" si="143"/>
        <v>45742</v>
      </c>
      <c r="D1266" s="4">
        <f t="shared" ca="1" si="138"/>
        <v>152</v>
      </c>
      <c r="E1266" s="2">
        <f t="shared" ca="1" si="139"/>
        <v>9467</v>
      </c>
      <c r="F1266" s="2">
        <f t="shared" ca="1" si="140"/>
        <v>34247</v>
      </c>
      <c r="G1266" s="2">
        <f t="shared" ca="1" si="141"/>
        <v>2012</v>
      </c>
    </row>
    <row r="1267" spans="1:7" x14ac:dyDescent="0.3">
      <c r="A1267" s="5" t="str">
        <f t="shared" si="142"/>
        <v>Adidas</v>
      </c>
      <c r="B1267" s="5" t="str">
        <f t="shared" si="137"/>
        <v>Ultraboost 23</v>
      </c>
      <c r="C1267" s="3">
        <f t="shared" si="143"/>
        <v>45742</v>
      </c>
      <c r="D1267" s="4">
        <f t="shared" ca="1" si="138"/>
        <v>67</v>
      </c>
      <c r="E1267" s="2">
        <f t="shared" ca="1" si="139"/>
        <v>5298</v>
      </c>
      <c r="F1267" s="2">
        <f t="shared" ca="1" si="140"/>
        <v>31025</v>
      </c>
      <c r="G1267" s="2">
        <f t="shared" ca="1" si="141"/>
        <v>718</v>
      </c>
    </row>
    <row r="1268" spans="1:7" x14ac:dyDescent="0.3">
      <c r="A1268" s="5" t="str">
        <f t="shared" si="142"/>
        <v>Puma</v>
      </c>
      <c r="B1268" s="5" t="str">
        <f t="shared" si="137"/>
        <v>RS-X</v>
      </c>
      <c r="C1268" s="3">
        <f t="shared" si="143"/>
        <v>45742</v>
      </c>
      <c r="D1268" s="4">
        <f t="shared" ca="1" si="138"/>
        <v>245</v>
      </c>
      <c r="E1268" s="2">
        <f t="shared" ca="1" si="139"/>
        <v>11267</v>
      </c>
      <c r="F1268" s="2">
        <f t="shared" ca="1" si="140"/>
        <v>13784</v>
      </c>
      <c r="G1268" s="2">
        <f t="shared" ca="1" si="141"/>
        <v>561</v>
      </c>
    </row>
    <row r="1269" spans="1:7" x14ac:dyDescent="0.3">
      <c r="A1269" s="5" t="str">
        <f t="shared" si="142"/>
        <v>New Balance</v>
      </c>
      <c r="B1269" s="5" t="str">
        <f t="shared" si="137"/>
        <v>2002R</v>
      </c>
      <c r="C1269" s="3">
        <f t="shared" si="143"/>
        <v>45742</v>
      </c>
      <c r="D1269" s="4">
        <f t="shared" ca="1" si="138"/>
        <v>182</v>
      </c>
      <c r="E1269" s="2">
        <f t="shared" ca="1" si="139"/>
        <v>8474</v>
      </c>
      <c r="F1269" s="2">
        <f t="shared" ca="1" si="140"/>
        <v>16064</v>
      </c>
      <c r="G1269" s="2">
        <f t="shared" ca="1" si="141"/>
        <v>749</v>
      </c>
    </row>
    <row r="1270" spans="1:7" x14ac:dyDescent="0.3">
      <c r="A1270" s="5" t="str">
        <f t="shared" si="142"/>
        <v>Reebok</v>
      </c>
      <c r="B1270" s="5" t="str">
        <f t="shared" si="137"/>
        <v>Instapump Fury</v>
      </c>
      <c r="C1270" s="3">
        <f t="shared" si="143"/>
        <v>45742</v>
      </c>
      <c r="D1270" s="4">
        <f t="shared" ca="1" si="138"/>
        <v>67</v>
      </c>
      <c r="E1270" s="2">
        <f t="shared" ca="1" si="139"/>
        <v>5861</v>
      </c>
      <c r="F1270" s="2">
        <f t="shared" ca="1" si="140"/>
        <v>14688</v>
      </c>
      <c r="G1270" s="2">
        <f t="shared" ca="1" si="141"/>
        <v>711</v>
      </c>
    </row>
    <row r="1271" spans="1:7" x14ac:dyDescent="0.3">
      <c r="A1271" s="5" t="str">
        <f t="shared" si="142"/>
        <v>Nike</v>
      </c>
      <c r="B1271" s="5" t="str">
        <f t="shared" si="137"/>
        <v>Cortez</v>
      </c>
      <c r="C1271" s="3">
        <f t="shared" si="143"/>
        <v>45742</v>
      </c>
      <c r="D1271" s="4">
        <f t="shared" ca="1" si="138"/>
        <v>34</v>
      </c>
      <c r="E1271" s="2">
        <f t="shared" ca="1" si="139"/>
        <v>12058</v>
      </c>
      <c r="F1271" s="2">
        <f t="shared" ca="1" si="140"/>
        <v>17991</v>
      </c>
      <c r="G1271" s="2">
        <f t="shared" ca="1" si="141"/>
        <v>837</v>
      </c>
    </row>
    <row r="1272" spans="1:7" x14ac:dyDescent="0.3">
      <c r="A1272" s="5" t="str">
        <f t="shared" si="142"/>
        <v>Adidas</v>
      </c>
      <c r="B1272" s="5" t="str">
        <f t="shared" si="137"/>
        <v>NMD S1</v>
      </c>
      <c r="C1272" s="3">
        <f t="shared" si="143"/>
        <v>45742</v>
      </c>
      <c r="D1272" s="4">
        <f t="shared" ca="1" si="138"/>
        <v>75</v>
      </c>
      <c r="E1272" s="2">
        <f t="shared" ca="1" si="139"/>
        <v>6690</v>
      </c>
      <c r="F1272" s="2">
        <f t="shared" ca="1" si="140"/>
        <v>10209</v>
      </c>
      <c r="G1272" s="2">
        <f t="shared" ca="1" si="141"/>
        <v>509</v>
      </c>
    </row>
    <row r="1273" spans="1:7" x14ac:dyDescent="0.3">
      <c r="A1273" s="5" t="str">
        <f t="shared" si="142"/>
        <v>Puma</v>
      </c>
      <c r="B1273" s="5" t="str">
        <f t="shared" si="137"/>
        <v>Suede Classic</v>
      </c>
      <c r="C1273" s="3">
        <f t="shared" si="143"/>
        <v>45742</v>
      </c>
      <c r="D1273" s="4">
        <f t="shared" ca="1" si="138"/>
        <v>250</v>
      </c>
      <c r="E1273" s="2">
        <f t="shared" ca="1" si="139"/>
        <v>8769</v>
      </c>
      <c r="F1273" s="2">
        <f t="shared" ca="1" si="140"/>
        <v>8352</v>
      </c>
      <c r="G1273" s="2">
        <f t="shared" ca="1" si="141"/>
        <v>626</v>
      </c>
    </row>
    <row r="1274" spans="1:7" x14ac:dyDescent="0.3">
      <c r="A1274" s="5" t="str">
        <f t="shared" si="142"/>
        <v>New Balance</v>
      </c>
      <c r="B1274" s="5" t="str">
        <f t="shared" si="137"/>
        <v>990v6</v>
      </c>
      <c r="C1274" s="3">
        <f t="shared" si="143"/>
        <v>45742</v>
      </c>
      <c r="D1274" s="4">
        <f t="shared" ca="1" si="138"/>
        <v>236</v>
      </c>
      <c r="E1274" s="2">
        <f t="shared" ca="1" si="139"/>
        <v>4021</v>
      </c>
      <c r="F1274" s="2">
        <f t="shared" ca="1" si="140"/>
        <v>27143</v>
      </c>
      <c r="G1274" s="2">
        <f t="shared" ca="1" si="141"/>
        <v>1615</v>
      </c>
    </row>
    <row r="1275" spans="1:7" x14ac:dyDescent="0.3">
      <c r="A1275" s="5" t="str">
        <f t="shared" si="142"/>
        <v>Reebok</v>
      </c>
      <c r="B1275" s="5" t="str">
        <f t="shared" si="137"/>
        <v>Nano X3</v>
      </c>
      <c r="C1275" s="3">
        <f t="shared" si="143"/>
        <v>45742</v>
      </c>
      <c r="D1275" s="4">
        <f t="shared" ca="1" si="138"/>
        <v>181</v>
      </c>
      <c r="E1275" s="2">
        <f t="shared" ca="1" si="139"/>
        <v>10892</v>
      </c>
      <c r="F1275" s="2">
        <f t="shared" ca="1" si="140"/>
        <v>15516</v>
      </c>
      <c r="G1275" s="2">
        <f t="shared" ca="1" si="141"/>
        <v>467</v>
      </c>
    </row>
    <row r="1276" spans="1:7" x14ac:dyDescent="0.3">
      <c r="A1276" s="5" t="str">
        <f t="shared" si="142"/>
        <v>Nike</v>
      </c>
      <c r="B1276" s="5" t="str">
        <f t="shared" si="137"/>
        <v>Vaporfly 3</v>
      </c>
      <c r="C1276" s="3">
        <f t="shared" si="143"/>
        <v>45742</v>
      </c>
      <c r="D1276" s="4">
        <f t="shared" ca="1" si="138"/>
        <v>233</v>
      </c>
      <c r="E1276" s="2">
        <f t="shared" ca="1" si="139"/>
        <v>5941</v>
      </c>
      <c r="F1276" s="2">
        <f t="shared" ca="1" si="140"/>
        <v>12066</v>
      </c>
      <c r="G1276" s="2">
        <f t="shared" ca="1" si="141"/>
        <v>386</v>
      </c>
    </row>
    <row r="1277" spans="1:7" x14ac:dyDescent="0.3">
      <c r="A1277" s="5" t="str">
        <f t="shared" si="142"/>
        <v>Adidas</v>
      </c>
      <c r="B1277" s="5" t="str">
        <f t="shared" si="137"/>
        <v>Samba</v>
      </c>
      <c r="C1277" s="3">
        <f t="shared" si="143"/>
        <v>45743</v>
      </c>
      <c r="D1277" s="4">
        <f t="shared" ca="1" si="138"/>
        <v>83</v>
      </c>
      <c r="E1277" s="2">
        <f t="shared" ca="1" si="139"/>
        <v>3647</v>
      </c>
      <c r="F1277" s="2">
        <f t="shared" ca="1" si="140"/>
        <v>33642</v>
      </c>
      <c r="G1277" s="2">
        <f t="shared" ca="1" si="141"/>
        <v>1858</v>
      </c>
    </row>
    <row r="1278" spans="1:7" x14ac:dyDescent="0.3">
      <c r="A1278" s="5" t="str">
        <f t="shared" si="142"/>
        <v>Puma</v>
      </c>
      <c r="B1278" s="5" t="str">
        <f t="shared" si="137"/>
        <v>Mayze</v>
      </c>
      <c r="C1278" s="3">
        <f t="shared" si="143"/>
        <v>45743</v>
      </c>
      <c r="D1278" s="4">
        <f t="shared" ca="1" si="138"/>
        <v>209</v>
      </c>
      <c r="E1278" s="2">
        <f t="shared" ca="1" si="139"/>
        <v>1497</v>
      </c>
      <c r="F1278" s="2">
        <f t="shared" ca="1" si="140"/>
        <v>8767</v>
      </c>
      <c r="G1278" s="2">
        <f t="shared" ca="1" si="141"/>
        <v>515</v>
      </c>
    </row>
    <row r="1279" spans="1:7" x14ac:dyDescent="0.3">
      <c r="A1279" s="5" t="str">
        <f t="shared" si="142"/>
        <v>New Balance</v>
      </c>
      <c r="B1279" s="5" t="str">
        <f t="shared" si="137"/>
        <v>574 Core</v>
      </c>
      <c r="C1279" s="3">
        <f t="shared" si="143"/>
        <v>45743</v>
      </c>
      <c r="D1279" s="4">
        <f t="shared" ca="1" si="138"/>
        <v>126</v>
      </c>
      <c r="E1279" s="2">
        <f t="shared" ca="1" si="139"/>
        <v>9257</v>
      </c>
      <c r="F1279" s="2">
        <f t="shared" ca="1" si="140"/>
        <v>33646</v>
      </c>
      <c r="G1279" s="2">
        <f t="shared" ca="1" si="141"/>
        <v>1564</v>
      </c>
    </row>
    <row r="1280" spans="1:7" x14ac:dyDescent="0.3">
      <c r="A1280" s="5" t="str">
        <f t="shared" si="142"/>
        <v>Reebok</v>
      </c>
      <c r="B1280" s="5" t="str">
        <f t="shared" si="137"/>
        <v>Club C 85</v>
      </c>
      <c r="C1280" s="3">
        <f t="shared" si="143"/>
        <v>45743</v>
      </c>
      <c r="D1280" s="4">
        <f t="shared" ca="1" si="138"/>
        <v>164</v>
      </c>
      <c r="E1280" s="2">
        <f t="shared" ca="1" si="139"/>
        <v>1663</v>
      </c>
      <c r="F1280" s="2">
        <f t="shared" ca="1" si="140"/>
        <v>24990</v>
      </c>
      <c r="G1280" s="2">
        <f t="shared" ca="1" si="141"/>
        <v>1094</v>
      </c>
    </row>
    <row r="1281" spans="1:7" x14ac:dyDescent="0.3">
      <c r="A1281" s="5" t="str">
        <f t="shared" si="142"/>
        <v>Nike</v>
      </c>
      <c r="B1281" s="5" t="str">
        <f t="shared" si="137"/>
        <v>Pegasus 40</v>
      </c>
      <c r="C1281" s="3">
        <f t="shared" si="143"/>
        <v>45743</v>
      </c>
      <c r="D1281" s="4">
        <f t="shared" ca="1" si="138"/>
        <v>125</v>
      </c>
      <c r="E1281" s="2">
        <f t="shared" ca="1" si="139"/>
        <v>9252</v>
      </c>
      <c r="F1281" s="2">
        <f t="shared" ca="1" si="140"/>
        <v>28492</v>
      </c>
      <c r="G1281" s="2">
        <f t="shared" ca="1" si="141"/>
        <v>2161</v>
      </c>
    </row>
    <row r="1282" spans="1:7" x14ac:dyDescent="0.3">
      <c r="A1282" s="5" t="str">
        <f t="shared" si="142"/>
        <v>Adidas</v>
      </c>
      <c r="B1282" s="5" t="str">
        <f t="shared" si="137"/>
        <v>Gazelle</v>
      </c>
      <c r="C1282" s="3">
        <f t="shared" si="143"/>
        <v>45743</v>
      </c>
      <c r="D1282" s="4">
        <f t="shared" ca="1" si="138"/>
        <v>47</v>
      </c>
      <c r="E1282" s="2">
        <f t="shared" ca="1" si="139"/>
        <v>7331</v>
      </c>
      <c r="F1282" s="2">
        <f t="shared" ca="1" si="140"/>
        <v>31955</v>
      </c>
      <c r="G1282" s="2">
        <f t="shared" ca="1" si="141"/>
        <v>1882</v>
      </c>
    </row>
    <row r="1283" spans="1:7" x14ac:dyDescent="0.3">
      <c r="A1283" s="5" t="str">
        <f t="shared" si="142"/>
        <v>Puma</v>
      </c>
      <c r="B1283" s="5" t="str">
        <f t="shared" ref="B1283:B1346" si="144">IF(A1283="Nike",CHOOSE(MOD(ROW(A1282),6)+1,"Air Max 270","Air Force 1","Pegasus 40","Vaporfly 3","Cortez","Jordan 1"),
 IF(A1283="Adidas",CHOOSE(MOD(ROW(A1282),6)+1,"Ultraboost 23","Stan Smith","Superstar","Gazelle","Samba","NMD S1"),
 IF(A1283="Puma",CHOOSE(MOD(ROW(A1282),6)+1,"Suede Classic","RS-X","Cali Dream","Rider Vintage","Slipstream","Mayze"),
 IF(A1283="New Balance",CHOOSE(MOD(ROW(A1282),6)+1,"574 Core","990v6","2002R","9060","327","550"),
 IF(A1283="Reebok",CHOOSE(MOD(ROW(A1282),6)+1,"Classic Leather","Club C 85","Nano X3","Instapump Fury","Zig Kinetica","Question Mid"),"")))))</f>
        <v>Slipstream</v>
      </c>
      <c r="C1283" s="3">
        <f t="shared" si="143"/>
        <v>45743</v>
      </c>
      <c r="D1283" s="4">
        <f t="shared" ref="D1283:D1346" ca="1" si="145">RANDBETWEEN(20,250)</f>
        <v>115</v>
      </c>
      <c r="E1283" s="2">
        <f t="shared" ref="E1283:E1346" ca="1" si="146">ROUND(RANDBETWEEN(1500,12000)+(RANDBETWEEN(-200,200)),2)</f>
        <v>9389</v>
      </c>
      <c r="F1283" s="2">
        <f t="shared" ref="F1283:F1346" ca="1" si="147">RANDBETWEEN(5000,35000)</f>
        <v>19145</v>
      </c>
      <c r="G1283" s="2">
        <f t="shared" ref="G1283:G1346" ca="1" si="148">RANDBETWEEN(ROUND(F1283*0.02,0),ROUND(F1283*0.08,0))</f>
        <v>1207</v>
      </c>
    </row>
    <row r="1284" spans="1:7" x14ac:dyDescent="0.3">
      <c r="A1284" s="5" t="str">
        <f t="shared" si="142"/>
        <v>New Balance</v>
      </c>
      <c r="B1284" s="5" t="str">
        <f t="shared" si="144"/>
        <v>550</v>
      </c>
      <c r="C1284" s="3">
        <f t="shared" si="143"/>
        <v>45743</v>
      </c>
      <c r="D1284" s="4">
        <f t="shared" ca="1" si="145"/>
        <v>64</v>
      </c>
      <c r="E1284" s="2">
        <f t="shared" ca="1" si="146"/>
        <v>11448</v>
      </c>
      <c r="F1284" s="2">
        <f t="shared" ca="1" si="147"/>
        <v>23079</v>
      </c>
      <c r="G1284" s="2">
        <f t="shared" ca="1" si="148"/>
        <v>1443</v>
      </c>
    </row>
    <row r="1285" spans="1:7" x14ac:dyDescent="0.3">
      <c r="A1285" s="5" t="str">
        <f t="shared" si="142"/>
        <v>Reebok</v>
      </c>
      <c r="B1285" s="5" t="str">
        <f t="shared" si="144"/>
        <v>Classic Leather</v>
      </c>
      <c r="C1285" s="3">
        <f t="shared" si="143"/>
        <v>45743</v>
      </c>
      <c r="D1285" s="4">
        <f t="shared" ca="1" si="145"/>
        <v>25</v>
      </c>
      <c r="E1285" s="2">
        <f t="shared" ca="1" si="146"/>
        <v>5231</v>
      </c>
      <c r="F1285" s="2">
        <f t="shared" ca="1" si="147"/>
        <v>14834</v>
      </c>
      <c r="G1285" s="2">
        <f t="shared" ca="1" si="148"/>
        <v>1173</v>
      </c>
    </row>
    <row r="1286" spans="1:7" x14ac:dyDescent="0.3">
      <c r="A1286" s="5" t="str">
        <f t="shared" si="142"/>
        <v>Nike</v>
      </c>
      <c r="B1286" s="5" t="str">
        <f t="shared" si="144"/>
        <v>Air Force 1</v>
      </c>
      <c r="C1286" s="3">
        <f t="shared" si="143"/>
        <v>45743</v>
      </c>
      <c r="D1286" s="4">
        <f t="shared" ca="1" si="145"/>
        <v>136</v>
      </c>
      <c r="E1286" s="2">
        <f t="shared" ca="1" si="146"/>
        <v>4077</v>
      </c>
      <c r="F1286" s="2">
        <f t="shared" ca="1" si="147"/>
        <v>25578</v>
      </c>
      <c r="G1286" s="2">
        <f t="shared" ca="1" si="148"/>
        <v>1514</v>
      </c>
    </row>
    <row r="1287" spans="1:7" x14ac:dyDescent="0.3">
      <c r="A1287" s="5" t="str">
        <f t="shared" si="142"/>
        <v>Adidas</v>
      </c>
      <c r="B1287" s="5" t="str">
        <f t="shared" si="144"/>
        <v>Superstar</v>
      </c>
      <c r="C1287" s="3">
        <f t="shared" si="143"/>
        <v>45743</v>
      </c>
      <c r="D1287" s="4">
        <f t="shared" ca="1" si="145"/>
        <v>126</v>
      </c>
      <c r="E1287" s="2">
        <f t="shared" ca="1" si="146"/>
        <v>7203</v>
      </c>
      <c r="F1287" s="2">
        <f t="shared" ca="1" si="147"/>
        <v>15016</v>
      </c>
      <c r="G1287" s="2">
        <f t="shared" ca="1" si="148"/>
        <v>536</v>
      </c>
    </row>
    <row r="1288" spans="1:7" x14ac:dyDescent="0.3">
      <c r="A1288" s="5" t="str">
        <f t="shared" si="142"/>
        <v>Puma</v>
      </c>
      <c r="B1288" s="5" t="str">
        <f t="shared" si="144"/>
        <v>Rider Vintage</v>
      </c>
      <c r="C1288" s="3">
        <f t="shared" si="143"/>
        <v>45743</v>
      </c>
      <c r="D1288" s="4">
        <f t="shared" ca="1" si="145"/>
        <v>244</v>
      </c>
      <c r="E1288" s="2">
        <f t="shared" ca="1" si="146"/>
        <v>11056</v>
      </c>
      <c r="F1288" s="2">
        <f t="shared" ca="1" si="147"/>
        <v>27727</v>
      </c>
      <c r="G1288" s="2">
        <f t="shared" ca="1" si="148"/>
        <v>582</v>
      </c>
    </row>
    <row r="1289" spans="1:7" x14ac:dyDescent="0.3">
      <c r="A1289" s="5" t="str">
        <f t="shared" si="142"/>
        <v>New Balance</v>
      </c>
      <c r="B1289" s="5" t="str">
        <f t="shared" si="144"/>
        <v>327</v>
      </c>
      <c r="C1289" s="3">
        <f t="shared" si="143"/>
        <v>45743</v>
      </c>
      <c r="D1289" s="4">
        <f t="shared" ca="1" si="145"/>
        <v>68</v>
      </c>
      <c r="E1289" s="2">
        <f t="shared" ca="1" si="146"/>
        <v>9523</v>
      </c>
      <c r="F1289" s="2">
        <f t="shared" ca="1" si="147"/>
        <v>28223</v>
      </c>
      <c r="G1289" s="2">
        <f t="shared" ca="1" si="148"/>
        <v>2003</v>
      </c>
    </row>
    <row r="1290" spans="1:7" x14ac:dyDescent="0.3">
      <c r="A1290" s="5" t="str">
        <f t="shared" si="142"/>
        <v>Reebok</v>
      </c>
      <c r="B1290" s="5" t="str">
        <f t="shared" si="144"/>
        <v>Question Mid</v>
      </c>
      <c r="C1290" s="3">
        <f t="shared" si="143"/>
        <v>45743</v>
      </c>
      <c r="D1290" s="4">
        <f t="shared" ca="1" si="145"/>
        <v>200</v>
      </c>
      <c r="E1290" s="2">
        <f t="shared" ca="1" si="146"/>
        <v>2035</v>
      </c>
      <c r="F1290" s="2">
        <f t="shared" ca="1" si="147"/>
        <v>25119</v>
      </c>
      <c r="G1290" s="2">
        <f t="shared" ca="1" si="148"/>
        <v>781</v>
      </c>
    </row>
    <row r="1291" spans="1:7" x14ac:dyDescent="0.3">
      <c r="A1291" s="5" t="str">
        <f t="shared" si="142"/>
        <v>Nike</v>
      </c>
      <c r="B1291" s="5" t="str">
        <f t="shared" si="144"/>
        <v>Air Max 270</v>
      </c>
      <c r="C1291" s="3">
        <f t="shared" si="143"/>
        <v>45743</v>
      </c>
      <c r="D1291" s="4">
        <f t="shared" ca="1" si="145"/>
        <v>192</v>
      </c>
      <c r="E1291" s="2">
        <f t="shared" ca="1" si="146"/>
        <v>6043</v>
      </c>
      <c r="F1291" s="2">
        <f t="shared" ca="1" si="147"/>
        <v>6961</v>
      </c>
      <c r="G1291" s="2">
        <f t="shared" ca="1" si="148"/>
        <v>452</v>
      </c>
    </row>
    <row r="1292" spans="1:7" x14ac:dyDescent="0.3">
      <c r="A1292" s="5" t="str">
        <f t="shared" si="142"/>
        <v>Adidas</v>
      </c>
      <c r="B1292" s="5" t="str">
        <f t="shared" si="144"/>
        <v>Stan Smith</v>
      </c>
      <c r="C1292" s="3">
        <f t="shared" si="143"/>
        <v>45744</v>
      </c>
      <c r="D1292" s="4">
        <f t="shared" ca="1" si="145"/>
        <v>185</v>
      </c>
      <c r="E1292" s="2">
        <f t="shared" ca="1" si="146"/>
        <v>8389</v>
      </c>
      <c r="F1292" s="2">
        <f t="shared" ca="1" si="147"/>
        <v>5455</v>
      </c>
      <c r="G1292" s="2">
        <f t="shared" ca="1" si="148"/>
        <v>342</v>
      </c>
    </row>
    <row r="1293" spans="1:7" x14ac:dyDescent="0.3">
      <c r="A1293" s="5" t="str">
        <f t="shared" si="142"/>
        <v>Puma</v>
      </c>
      <c r="B1293" s="5" t="str">
        <f t="shared" si="144"/>
        <v>Cali Dream</v>
      </c>
      <c r="C1293" s="3">
        <f t="shared" si="143"/>
        <v>45744</v>
      </c>
      <c r="D1293" s="4">
        <f t="shared" ca="1" si="145"/>
        <v>247</v>
      </c>
      <c r="E1293" s="2">
        <f t="shared" ca="1" si="146"/>
        <v>5089</v>
      </c>
      <c r="F1293" s="2">
        <f t="shared" ca="1" si="147"/>
        <v>17759</v>
      </c>
      <c r="G1293" s="2">
        <f t="shared" ca="1" si="148"/>
        <v>644</v>
      </c>
    </row>
    <row r="1294" spans="1:7" x14ac:dyDescent="0.3">
      <c r="A1294" s="5" t="str">
        <f t="shared" si="142"/>
        <v>New Balance</v>
      </c>
      <c r="B1294" s="5" t="str">
        <f t="shared" si="144"/>
        <v>9060</v>
      </c>
      <c r="C1294" s="3">
        <f t="shared" si="143"/>
        <v>45744</v>
      </c>
      <c r="D1294" s="4">
        <f t="shared" ca="1" si="145"/>
        <v>236</v>
      </c>
      <c r="E1294" s="2">
        <f t="shared" ca="1" si="146"/>
        <v>6671</v>
      </c>
      <c r="F1294" s="2">
        <f t="shared" ca="1" si="147"/>
        <v>9075</v>
      </c>
      <c r="G1294" s="2">
        <f t="shared" ca="1" si="148"/>
        <v>704</v>
      </c>
    </row>
    <row r="1295" spans="1:7" x14ac:dyDescent="0.3">
      <c r="A1295" s="5" t="str">
        <f t="shared" si="142"/>
        <v>Reebok</v>
      </c>
      <c r="B1295" s="5" t="str">
        <f t="shared" si="144"/>
        <v>Zig Kinetica</v>
      </c>
      <c r="C1295" s="3">
        <f t="shared" si="143"/>
        <v>45744</v>
      </c>
      <c r="D1295" s="4">
        <f t="shared" ca="1" si="145"/>
        <v>112</v>
      </c>
      <c r="E1295" s="2">
        <f t="shared" ca="1" si="146"/>
        <v>8796</v>
      </c>
      <c r="F1295" s="2">
        <f t="shared" ca="1" si="147"/>
        <v>19499</v>
      </c>
      <c r="G1295" s="2">
        <f t="shared" ca="1" si="148"/>
        <v>641</v>
      </c>
    </row>
    <row r="1296" spans="1:7" x14ac:dyDescent="0.3">
      <c r="A1296" s="5" t="str">
        <f t="shared" si="142"/>
        <v>Nike</v>
      </c>
      <c r="B1296" s="5" t="str">
        <f t="shared" si="144"/>
        <v>Jordan 1</v>
      </c>
      <c r="C1296" s="3">
        <f t="shared" si="143"/>
        <v>45744</v>
      </c>
      <c r="D1296" s="4">
        <f t="shared" ca="1" si="145"/>
        <v>83</v>
      </c>
      <c r="E1296" s="2">
        <f t="shared" ca="1" si="146"/>
        <v>8613</v>
      </c>
      <c r="F1296" s="2">
        <f t="shared" ca="1" si="147"/>
        <v>23073</v>
      </c>
      <c r="G1296" s="2">
        <f t="shared" ca="1" si="148"/>
        <v>1621</v>
      </c>
    </row>
    <row r="1297" spans="1:7" x14ac:dyDescent="0.3">
      <c r="A1297" s="5" t="str">
        <f t="shared" si="142"/>
        <v>Adidas</v>
      </c>
      <c r="B1297" s="5" t="str">
        <f t="shared" si="144"/>
        <v>Ultraboost 23</v>
      </c>
      <c r="C1297" s="3">
        <f t="shared" si="143"/>
        <v>45744</v>
      </c>
      <c r="D1297" s="4">
        <f t="shared" ca="1" si="145"/>
        <v>131</v>
      </c>
      <c r="E1297" s="2">
        <f t="shared" ca="1" si="146"/>
        <v>8448</v>
      </c>
      <c r="F1297" s="2">
        <f t="shared" ca="1" si="147"/>
        <v>23704</v>
      </c>
      <c r="G1297" s="2">
        <f t="shared" ca="1" si="148"/>
        <v>864</v>
      </c>
    </row>
    <row r="1298" spans="1:7" x14ac:dyDescent="0.3">
      <c r="A1298" s="5" t="str">
        <f t="shared" si="142"/>
        <v>Puma</v>
      </c>
      <c r="B1298" s="5" t="str">
        <f t="shared" si="144"/>
        <v>RS-X</v>
      </c>
      <c r="C1298" s="3">
        <f t="shared" si="143"/>
        <v>45744</v>
      </c>
      <c r="D1298" s="4">
        <f t="shared" ca="1" si="145"/>
        <v>116</v>
      </c>
      <c r="E1298" s="2">
        <f t="shared" ca="1" si="146"/>
        <v>8988</v>
      </c>
      <c r="F1298" s="2">
        <f t="shared" ca="1" si="147"/>
        <v>9153</v>
      </c>
      <c r="G1298" s="2">
        <f t="shared" ca="1" si="148"/>
        <v>387</v>
      </c>
    </row>
    <row r="1299" spans="1:7" x14ac:dyDescent="0.3">
      <c r="A1299" s="5" t="str">
        <f t="shared" si="142"/>
        <v>New Balance</v>
      </c>
      <c r="B1299" s="5" t="str">
        <f t="shared" si="144"/>
        <v>2002R</v>
      </c>
      <c r="C1299" s="3">
        <f t="shared" si="143"/>
        <v>45744</v>
      </c>
      <c r="D1299" s="4">
        <f t="shared" ca="1" si="145"/>
        <v>71</v>
      </c>
      <c r="E1299" s="2">
        <f t="shared" ca="1" si="146"/>
        <v>10885</v>
      </c>
      <c r="F1299" s="2">
        <f t="shared" ca="1" si="147"/>
        <v>9371</v>
      </c>
      <c r="G1299" s="2">
        <f t="shared" ca="1" si="148"/>
        <v>435</v>
      </c>
    </row>
    <row r="1300" spans="1:7" x14ac:dyDescent="0.3">
      <c r="A1300" s="5" t="str">
        <f t="shared" si="142"/>
        <v>Reebok</v>
      </c>
      <c r="B1300" s="5" t="str">
        <f t="shared" si="144"/>
        <v>Instapump Fury</v>
      </c>
      <c r="C1300" s="3">
        <f t="shared" si="143"/>
        <v>45744</v>
      </c>
      <c r="D1300" s="4">
        <f t="shared" ca="1" si="145"/>
        <v>202</v>
      </c>
      <c r="E1300" s="2">
        <f t="shared" ca="1" si="146"/>
        <v>6115</v>
      </c>
      <c r="F1300" s="2">
        <f t="shared" ca="1" si="147"/>
        <v>18952</v>
      </c>
      <c r="G1300" s="2">
        <f t="shared" ca="1" si="148"/>
        <v>453</v>
      </c>
    </row>
    <row r="1301" spans="1:7" x14ac:dyDescent="0.3">
      <c r="A1301" s="5" t="str">
        <f t="shared" si="142"/>
        <v>Nike</v>
      </c>
      <c r="B1301" s="5" t="str">
        <f t="shared" si="144"/>
        <v>Cortez</v>
      </c>
      <c r="C1301" s="3">
        <f t="shared" si="143"/>
        <v>45744</v>
      </c>
      <c r="D1301" s="4">
        <f t="shared" ca="1" si="145"/>
        <v>46</v>
      </c>
      <c r="E1301" s="2">
        <f t="shared" ca="1" si="146"/>
        <v>2583</v>
      </c>
      <c r="F1301" s="2">
        <f t="shared" ca="1" si="147"/>
        <v>9173</v>
      </c>
      <c r="G1301" s="2">
        <f t="shared" ca="1" si="148"/>
        <v>464</v>
      </c>
    </row>
    <row r="1302" spans="1:7" x14ac:dyDescent="0.3">
      <c r="A1302" s="5" t="str">
        <f t="shared" si="142"/>
        <v>Adidas</v>
      </c>
      <c r="B1302" s="5" t="str">
        <f t="shared" si="144"/>
        <v>NMD S1</v>
      </c>
      <c r="C1302" s="3">
        <f t="shared" si="143"/>
        <v>45744</v>
      </c>
      <c r="D1302" s="4">
        <f t="shared" ca="1" si="145"/>
        <v>90</v>
      </c>
      <c r="E1302" s="2">
        <f t="shared" ca="1" si="146"/>
        <v>10481</v>
      </c>
      <c r="F1302" s="2">
        <f t="shared" ca="1" si="147"/>
        <v>13216</v>
      </c>
      <c r="G1302" s="2">
        <f t="shared" ca="1" si="148"/>
        <v>780</v>
      </c>
    </row>
    <row r="1303" spans="1:7" x14ac:dyDescent="0.3">
      <c r="A1303" s="5" t="str">
        <f t="shared" si="142"/>
        <v>Puma</v>
      </c>
      <c r="B1303" s="5" t="str">
        <f t="shared" si="144"/>
        <v>Suede Classic</v>
      </c>
      <c r="C1303" s="3">
        <f t="shared" si="143"/>
        <v>45744</v>
      </c>
      <c r="D1303" s="4">
        <f t="shared" ca="1" si="145"/>
        <v>175</v>
      </c>
      <c r="E1303" s="2">
        <f t="shared" ca="1" si="146"/>
        <v>5769</v>
      </c>
      <c r="F1303" s="2">
        <f t="shared" ca="1" si="147"/>
        <v>9616</v>
      </c>
      <c r="G1303" s="2">
        <f t="shared" ca="1" si="148"/>
        <v>704</v>
      </c>
    </row>
    <row r="1304" spans="1:7" x14ac:dyDescent="0.3">
      <c r="A1304" s="5" t="str">
        <f t="shared" si="142"/>
        <v>New Balance</v>
      </c>
      <c r="B1304" s="5" t="str">
        <f t="shared" si="144"/>
        <v>990v6</v>
      </c>
      <c r="C1304" s="3">
        <f t="shared" si="143"/>
        <v>45744</v>
      </c>
      <c r="D1304" s="4">
        <f t="shared" ca="1" si="145"/>
        <v>96</v>
      </c>
      <c r="E1304" s="2">
        <f t="shared" ca="1" si="146"/>
        <v>9557</v>
      </c>
      <c r="F1304" s="2">
        <f t="shared" ca="1" si="147"/>
        <v>32678</v>
      </c>
      <c r="G1304" s="2">
        <f t="shared" ca="1" si="148"/>
        <v>2381</v>
      </c>
    </row>
    <row r="1305" spans="1:7" x14ac:dyDescent="0.3">
      <c r="A1305" s="5" t="str">
        <f t="shared" si="142"/>
        <v>Reebok</v>
      </c>
      <c r="B1305" s="5" t="str">
        <f t="shared" si="144"/>
        <v>Nano X3</v>
      </c>
      <c r="C1305" s="3">
        <f t="shared" si="143"/>
        <v>45744</v>
      </c>
      <c r="D1305" s="4">
        <f t="shared" ca="1" si="145"/>
        <v>100</v>
      </c>
      <c r="E1305" s="2">
        <f t="shared" ca="1" si="146"/>
        <v>7376</v>
      </c>
      <c r="F1305" s="2">
        <f t="shared" ca="1" si="147"/>
        <v>9620</v>
      </c>
      <c r="G1305" s="2">
        <f t="shared" ca="1" si="148"/>
        <v>571</v>
      </c>
    </row>
    <row r="1306" spans="1:7" x14ac:dyDescent="0.3">
      <c r="A1306" s="5" t="str">
        <f t="shared" si="142"/>
        <v>Nike</v>
      </c>
      <c r="B1306" s="5" t="str">
        <f t="shared" si="144"/>
        <v>Vaporfly 3</v>
      </c>
      <c r="C1306" s="3">
        <f t="shared" si="143"/>
        <v>45744</v>
      </c>
      <c r="D1306" s="4">
        <f t="shared" ca="1" si="145"/>
        <v>24</v>
      </c>
      <c r="E1306" s="2">
        <f t="shared" ca="1" si="146"/>
        <v>6196</v>
      </c>
      <c r="F1306" s="2">
        <f t="shared" ca="1" si="147"/>
        <v>15690</v>
      </c>
      <c r="G1306" s="2">
        <f t="shared" ca="1" si="148"/>
        <v>532</v>
      </c>
    </row>
    <row r="1307" spans="1:7" x14ac:dyDescent="0.3">
      <c r="A1307" s="5" t="str">
        <f t="shared" si="142"/>
        <v>Adidas</v>
      </c>
      <c r="B1307" s="5" t="str">
        <f t="shared" si="144"/>
        <v>Samba</v>
      </c>
      <c r="C1307" s="3">
        <f t="shared" si="143"/>
        <v>45745</v>
      </c>
      <c r="D1307" s="4">
        <f t="shared" ca="1" si="145"/>
        <v>247</v>
      </c>
      <c r="E1307" s="2">
        <f t="shared" ca="1" si="146"/>
        <v>8976</v>
      </c>
      <c r="F1307" s="2">
        <f t="shared" ca="1" si="147"/>
        <v>21853</v>
      </c>
      <c r="G1307" s="2">
        <f t="shared" ca="1" si="148"/>
        <v>567</v>
      </c>
    </row>
    <row r="1308" spans="1:7" x14ac:dyDescent="0.3">
      <c r="A1308" s="5" t="str">
        <f t="shared" si="142"/>
        <v>Puma</v>
      </c>
      <c r="B1308" s="5" t="str">
        <f t="shared" si="144"/>
        <v>Mayze</v>
      </c>
      <c r="C1308" s="3">
        <f t="shared" si="143"/>
        <v>45745</v>
      </c>
      <c r="D1308" s="4">
        <f t="shared" ca="1" si="145"/>
        <v>208</v>
      </c>
      <c r="E1308" s="2">
        <f t="shared" ca="1" si="146"/>
        <v>10878</v>
      </c>
      <c r="F1308" s="2">
        <f t="shared" ca="1" si="147"/>
        <v>14274</v>
      </c>
      <c r="G1308" s="2">
        <f t="shared" ca="1" si="148"/>
        <v>472</v>
      </c>
    </row>
    <row r="1309" spans="1:7" x14ac:dyDescent="0.3">
      <c r="A1309" s="5" t="str">
        <f t="shared" si="142"/>
        <v>New Balance</v>
      </c>
      <c r="B1309" s="5" t="str">
        <f t="shared" si="144"/>
        <v>574 Core</v>
      </c>
      <c r="C1309" s="3">
        <f t="shared" si="143"/>
        <v>45745</v>
      </c>
      <c r="D1309" s="4">
        <f t="shared" ca="1" si="145"/>
        <v>95</v>
      </c>
      <c r="E1309" s="2">
        <f t="shared" ca="1" si="146"/>
        <v>7265</v>
      </c>
      <c r="F1309" s="2">
        <f t="shared" ca="1" si="147"/>
        <v>9800</v>
      </c>
      <c r="G1309" s="2">
        <f t="shared" ca="1" si="148"/>
        <v>402</v>
      </c>
    </row>
    <row r="1310" spans="1:7" x14ac:dyDescent="0.3">
      <c r="A1310" s="5" t="str">
        <f t="shared" si="142"/>
        <v>Reebok</v>
      </c>
      <c r="B1310" s="5" t="str">
        <f t="shared" si="144"/>
        <v>Club C 85</v>
      </c>
      <c r="C1310" s="3">
        <f t="shared" si="143"/>
        <v>45745</v>
      </c>
      <c r="D1310" s="4">
        <f t="shared" ca="1" si="145"/>
        <v>20</v>
      </c>
      <c r="E1310" s="2">
        <f t="shared" ca="1" si="146"/>
        <v>3352</v>
      </c>
      <c r="F1310" s="2">
        <f t="shared" ca="1" si="147"/>
        <v>24614</v>
      </c>
      <c r="G1310" s="2">
        <f t="shared" ca="1" si="148"/>
        <v>1799</v>
      </c>
    </row>
    <row r="1311" spans="1:7" x14ac:dyDescent="0.3">
      <c r="A1311" s="5" t="str">
        <f t="shared" si="142"/>
        <v>Nike</v>
      </c>
      <c r="B1311" s="5" t="str">
        <f t="shared" si="144"/>
        <v>Pegasus 40</v>
      </c>
      <c r="C1311" s="3">
        <f t="shared" si="143"/>
        <v>45745</v>
      </c>
      <c r="D1311" s="4">
        <f t="shared" ca="1" si="145"/>
        <v>207</v>
      </c>
      <c r="E1311" s="2">
        <f t="shared" ca="1" si="146"/>
        <v>3871</v>
      </c>
      <c r="F1311" s="2">
        <f t="shared" ca="1" si="147"/>
        <v>19226</v>
      </c>
      <c r="G1311" s="2">
        <f t="shared" ca="1" si="148"/>
        <v>1096</v>
      </c>
    </row>
    <row r="1312" spans="1:7" x14ac:dyDescent="0.3">
      <c r="A1312" s="5" t="str">
        <f t="shared" si="142"/>
        <v>Adidas</v>
      </c>
      <c r="B1312" s="5" t="str">
        <f t="shared" si="144"/>
        <v>Gazelle</v>
      </c>
      <c r="C1312" s="3">
        <f t="shared" si="143"/>
        <v>45745</v>
      </c>
      <c r="D1312" s="4">
        <f t="shared" ca="1" si="145"/>
        <v>23</v>
      </c>
      <c r="E1312" s="2">
        <f t="shared" ca="1" si="146"/>
        <v>10921</v>
      </c>
      <c r="F1312" s="2">
        <f t="shared" ca="1" si="147"/>
        <v>23528</v>
      </c>
      <c r="G1312" s="2">
        <f t="shared" ca="1" si="148"/>
        <v>484</v>
      </c>
    </row>
    <row r="1313" spans="1:7" x14ac:dyDescent="0.3">
      <c r="A1313" s="5" t="str">
        <f t="shared" si="142"/>
        <v>Puma</v>
      </c>
      <c r="B1313" s="5" t="str">
        <f t="shared" si="144"/>
        <v>Slipstream</v>
      </c>
      <c r="C1313" s="3">
        <f t="shared" si="143"/>
        <v>45745</v>
      </c>
      <c r="D1313" s="4">
        <f t="shared" ca="1" si="145"/>
        <v>189</v>
      </c>
      <c r="E1313" s="2">
        <f t="shared" ca="1" si="146"/>
        <v>7491</v>
      </c>
      <c r="F1313" s="2">
        <f t="shared" ca="1" si="147"/>
        <v>19506</v>
      </c>
      <c r="G1313" s="2">
        <f t="shared" ca="1" si="148"/>
        <v>1235</v>
      </c>
    </row>
    <row r="1314" spans="1:7" x14ac:dyDescent="0.3">
      <c r="A1314" s="5" t="str">
        <f t="shared" si="142"/>
        <v>New Balance</v>
      </c>
      <c r="B1314" s="5" t="str">
        <f t="shared" si="144"/>
        <v>550</v>
      </c>
      <c r="C1314" s="3">
        <f t="shared" si="143"/>
        <v>45745</v>
      </c>
      <c r="D1314" s="4">
        <f t="shared" ca="1" si="145"/>
        <v>86</v>
      </c>
      <c r="E1314" s="2">
        <f t="shared" ca="1" si="146"/>
        <v>8304</v>
      </c>
      <c r="F1314" s="2">
        <f t="shared" ca="1" si="147"/>
        <v>6030</v>
      </c>
      <c r="G1314" s="2">
        <f t="shared" ca="1" si="148"/>
        <v>418</v>
      </c>
    </row>
    <row r="1315" spans="1:7" x14ac:dyDescent="0.3">
      <c r="A1315" s="5" t="str">
        <f t="shared" si="142"/>
        <v>Reebok</v>
      </c>
      <c r="B1315" s="5" t="str">
        <f t="shared" si="144"/>
        <v>Classic Leather</v>
      </c>
      <c r="C1315" s="3">
        <f t="shared" si="143"/>
        <v>45745</v>
      </c>
      <c r="D1315" s="4">
        <f t="shared" ca="1" si="145"/>
        <v>141</v>
      </c>
      <c r="E1315" s="2">
        <f t="shared" ca="1" si="146"/>
        <v>6507</v>
      </c>
      <c r="F1315" s="2">
        <f t="shared" ca="1" si="147"/>
        <v>19290</v>
      </c>
      <c r="G1315" s="2">
        <f t="shared" ca="1" si="148"/>
        <v>1347</v>
      </c>
    </row>
    <row r="1316" spans="1:7" x14ac:dyDescent="0.3">
      <c r="A1316" s="5" t="str">
        <f t="shared" si="142"/>
        <v>Nike</v>
      </c>
      <c r="B1316" s="5" t="str">
        <f t="shared" si="144"/>
        <v>Air Force 1</v>
      </c>
      <c r="C1316" s="3">
        <f t="shared" si="143"/>
        <v>45745</v>
      </c>
      <c r="D1316" s="4">
        <f t="shared" ca="1" si="145"/>
        <v>122</v>
      </c>
      <c r="E1316" s="2">
        <f t="shared" ca="1" si="146"/>
        <v>10997</v>
      </c>
      <c r="F1316" s="2">
        <f t="shared" ca="1" si="147"/>
        <v>18238</v>
      </c>
      <c r="G1316" s="2">
        <f t="shared" ca="1" si="148"/>
        <v>593</v>
      </c>
    </row>
    <row r="1317" spans="1:7" x14ac:dyDescent="0.3">
      <c r="A1317" s="5" t="str">
        <f t="shared" si="142"/>
        <v>Adidas</v>
      </c>
      <c r="B1317" s="5" t="str">
        <f t="shared" si="144"/>
        <v>Superstar</v>
      </c>
      <c r="C1317" s="3">
        <f t="shared" si="143"/>
        <v>45745</v>
      </c>
      <c r="D1317" s="4">
        <f t="shared" ca="1" si="145"/>
        <v>126</v>
      </c>
      <c r="E1317" s="2">
        <f t="shared" ca="1" si="146"/>
        <v>3155</v>
      </c>
      <c r="F1317" s="2">
        <f t="shared" ca="1" si="147"/>
        <v>31403</v>
      </c>
      <c r="G1317" s="2">
        <f t="shared" ca="1" si="148"/>
        <v>1971</v>
      </c>
    </row>
    <row r="1318" spans="1:7" x14ac:dyDescent="0.3">
      <c r="A1318" s="5" t="str">
        <f t="shared" si="142"/>
        <v>Puma</v>
      </c>
      <c r="B1318" s="5" t="str">
        <f t="shared" si="144"/>
        <v>Rider Vintage</v>
      </c>
      <c r="C1318" s="3">
        <f t="shared" si="143"/>
        <v>45745</v>
      </c>
      <c r="D1318" s="4">
        <f t="shared" ca="1" si="145"/>
        <v>48</v>
      </c>
      <c r="E1318" s="2">
        <f t="shared" ca="1" si="146"/>
        <v>6506</v>
      </c>
      <c r="F1318" s="2">
        <f t="shared" ca="1" si="147"/>
        <v>21797</v>
      </c>
      <c r="G1318" s="2">
        <f t="shared" ca="1" si="148"/>
        <v>1096</v>
      </c>
    </row>
    <row r="1319" spans="1:7" x14ac:dyDescent="0.3">
      <c r="A1319" s="5" t="str">
        <f t="shared" si="142"/>
        <v>New Balance</v>
      </c>
      <c r="B1319" s="5" t="str">
        <f t="shared" si="144"/>
        <v>327</v>
      </c>
      <c r="C1319" s="3">
        <f t="shared" si="143"/>
        <v>45745</v>
      </c>
      <c r="D1319" s="4">
        <f t="shared" ca="1" si="145"/>
        <v>84</v>
      </c>
      <c r="E1319" s="2">
        <f t="shared" ca="1" si="146"/>
        <v>6002</v>
      </c>
      <c r="F1319" s="2">
        <f t="shared" ca="1" si="147"/>
        <v>23641</v>
      </c>
      <c r="G1319" s="2">
        <f t="shared" ca="1" si="148"/>
        <v>529</v>
      </c>
    </row>
    <row r="1320" spans="1:7" x14ac:dyDescent="0.3">
      <c r="A1320" s="5" t="str">
        <f t="shared" si="142"/>
        <v>Reebok</v>
      </c>
      <c r="B1320" s="5" t="str">
        <f t="shared" si="144"/>
        <v>Question Mid</v>
      </c>
      <c r="C1320" s="3">
        <f t="shared" si="143"/>
        <v>45745</v>
      </c>
      <c r="D1320" s="4">
        <f t="shared" ca="1" si="145"/>
        <v>64</v>
      </c>
      <c r="E1320" s="2">
        <f t="shared" ca="1" si="146"/>
        <v>6311</v>
      </c>
      <c r="F1320" s="2">
        <f t="shared" ca="1" si="147"/>
        <v>31996</v>
      </c>
      <c r="G1320" s="2">
        <f t="shared" ca="1" si="148"/>
        <v>1836</v>
      </c>
    </row>
    <row r="1321" spans="1:7" x14ac:dyDescent="0.3">
      <c r="A1321" s="5" t="str">
        <f t="shared" si="142"/>
        <v>Nike</v>
      </c>
      <c r="B1321" s="5" t="str">
        <f t="shared" si="144"/>
        <v>Air Max 270</v>
      </c>
      <c r="C1321" s="3">
        <f t="shared" si="143"/>
        <v>45745</v>
      </c>
      <c r="D1321" s="4">
        <f t="shared" ca="1" si="145"/>
        <v>215</v>
      </c>
      <c r="E1321" s="2">
        <f t="shared" ca="1" si="146"/>
        <v>3272</v>
      </c>
      <c r="F1321" s="2">
        <f t="shared" ca="1" si="147"/>
        <v>16581</v>
      </c>
      <c r="G1321" s="2">
        <f t="shared" ca="1" si="148"/>
        <v>1078</v>
      </c>
    </row>
    <row r="1322" spans="1:7" x14ac:dyDescent="0.3">
      <c r="A1322" s="5" t="str">
        <f t="shared" si="142"/>
        <v>Adidas</v>
      </c>
      <c r="B1322" s="5" t="str">
        <f t="shared" si="144"/>
        <v>Stan Smith</v>
      </c>
      <c r="C1322" s="3">
        <f t="shared" si="143"/>
        <v>45746</v>
      </c>
      <c r="D1322" s="4">
        <f t="shared" ca="1" si="145"/>
        <v>116</v>
      </c>
      <c r="E1322" s="2">
        <f t="shared" ca="1" si="146"/>
        <v>2433</v>
      </c>
      <c r="F1322" s="2">
        <f t="shared" ca="1" si="147"/>
        <v>15552</v>
      </c>
      <c r="G1322" s="2">
        <f t="shared" ca="1" si="148"/>
        <v>501</v>
      </c>
    </row>
    <row r="1323" spans="1:7" x14ac:dyDescent="0.3">
      <c r="A1323" s="5" t="str">
        <f t="shared" ref="A1323:A1386" si="149">CHOOSE(MOD(ROW(A1322),5)+1,"Nike","Adidas","Puma","New Balance","Reebok")</f>
        <v>Puma</v>
      </c>
      <c r="B1323" s="5" t="str">
        <f t="shared" si="144"/>
        <v>Cali Dream</v>
      </c>
      <c r="C1323" s="3">
        <f t="shared" ref="C1323:C1386" si="150">DATE(2025,1,1)+INT((ROW(A1323)-2)/15)</f>
        <v>45746</v>
      </c>
      <c r="D1323" s="4">
        <f t="shared" ca="1" si="145"/>
        <v>122</v>
      </c>
      <c r="E1323" s="2">
        <f t="shared" ca="1" si="146"/>
        <v>10637</v>
      </c>
      <c r="F1323" s="2">
        <f t="shared" ca="1" si="147"/>
        <v>19692</v>
      </c>
      <c r="G1323" s="2">
        <f t="shared" ca="1" si="148"/>
        <v>844</v>
      </c>
    </row>
    <row r="1324" spans="1:7" x14ac:dyDescent="0.3">
      <c r="A1324" s="5" t="str">
        <f t="shared" si="149"/>
        <v>New Balance</v>
      </c>
      <c r="B1324" s="5" t="str">
        <f t="shared" si="144"/>
        <v>9060</v>
      </c>
      <c r="C1324" s="3">
        <f t="shared" si="150"/>
        <v>45746</v>
      </c>
      <c r="D1324" s="4">
        <f t="shared" ca="1" si="145"/>
        <v>192</v>
      </c>
      <c r="E1324" s="2">
        <f t="shared" ca="1" si="146"/>
        <v>11272</v>
      </c>
      <c r="F1324" s="2">
        <f t="shared" ca="1" si="147"/>
        <v>32739</v>
      </c>
      <c r="G1324" s="2">
        <f t="shared" ca="1" si="148"/>
        <v>1957</v>
      </c>
    </row>
    <row r="1325" spans="1:7" x14ac:dyDescent="0.3">
      <c r="A1325" s="5" t="str">
        <f t="shared" si="149"/>
        <v>Reebok</v>
      </c>
      <c r="B1325" s="5" t="str">
        <f t="shared" si="144"/>
        <v>Zig Kinetica</v>
      </c>
      <c r="C1325" s="3">
        <f t="shared" si="150"/>
        <v>45746</v>
      </c>
      <c r="D1325" s="4">
        <f t="shared" ca="1" si="145"/>
        <v>246</v>
      </c>
      <c r="E1325" s="2">
        <f t="shared" ca="1" si="146"/>
        <v>5142</v>
      </c>
      <c r="F1325" s="2">
        <f t="shared" ca="1" si="147"/>
        <v>30613</v>
      </c>
      <c r="G1325" s="2">
        <f t="shared" ca="1" si="148"/>
        <v>2056</v>
      </c>
    </row>
    <row r="1326" spans="1:7" x14ac:dyDescent="0.3">
      <c r="A1326" s="5" t="str">
        <f t="shared" si="149"/>
        <v>Nike</v>
      </c>
      <c r="B1326" s="5" t="str">
        <f t="shared" si="144"/>
        <v>Jordan 1</v>
      </c>
      <c r="C1326" s="3">
        <f t="shared" si="150"/>
        <v>45746</v>
      </c>
      <c r="D1326" s="4">
        <f t="shared" ca="1" si="145"/>
        <v>145</v>
      </c>
      <c r="E1326" s="2">
        <f t="shared" ca="1" si="146"/>
        <v>9553</v>
      </c>
      <c r="F1326" s="2">
        <f t="shared" ca="1" si="147"/>
        <v>12969</v>
      </c>
      <c r="G1326" s="2">
        <f t="shared" ca="1" si="148"/>
        <v>498</v>
      </c>
    </row>
    <row r="1327" spans="1:7" x14ac:dyDescent="0.3">
      <c r="A1327" s="5" t="str">
        <f t="shared" si="149"/>
        <v>Adidas</v>
      </c>
      <c r="B1327" s="5" t="str">
        <f t="shared" si="144"/>
        <v>Ultraboost 23</v>
      </c>
      <c r="C1327" s="3">
        <f t="shared" si="150"/>
        <v>45746</v>
      </c>
      <c r="D1327" s="4">
        <f t="shared" ca="1" si="145"/>
        <v>210</v>
      </c>
      <c r="E1327" s="2">
        <f t="shared" ca="1" si="146"/>
        <v>7975</v>
      </c>
      <c r="F1327" s="2">
        <f t="shared" ca="1" si="147"/>
        <v>26902</v>
      </c>
      <c r="G1327" s="2">
        <f t="shared" ca="1" si="148"/>
        <v>1228</v>
      </c>
    </row>
    <row r="1328" spans="1:7" x14ac:dyDescent="0.3">
      <c r="A1328" s="5" t="str">
        <f t="shared" si="149"/>
        <v>Puma</v>
      </c>
      <c r="B1328" s="5" t="str">
        <f t="shared" si="144"/>
        <v>RS-X</v>
      </c>
      <c r="C1328" s="3">
        <f t="shared" si="150"/>
        <v>45746</v>
      </c>
      <c r="D1328" s="4">
        <f t="shared" ca="1" si="145"/>
        <v>218</v>
      </c>
      <c r="E1328" s="2">
        <f t="shared" ca="1" si="146"/>
        <v>11115</v>
      </c>
      <c r="F1328" s="2">
        <f t="shared" ca="1" si="147"/>
        <v>13129</v>
      </c>
      <c r="G1328" s="2">
        <f t="shared" ca="1" si="148"/>
        <v>306</v>
      </c>
    </row>
    <row r="1329" spans="1:7" x14ac:dyDescent="0.3">
      <c r="A1329" s="5" t="str">
        <f t="shared" si="149"/>
        <v>New Balance</v>
      </c>
      <c r="B1329" s="5" t="str">
        <f t="shared" si="144"/>
        <v>2002R</v>
      </c>
      <c r="C1329" s="3">
        <f t="shared" si="150"/>
        <v>45746</v>
      </c>
      <c r="D1329" s="4">
        <f t="shared" ca="1" si="145"/>
        <v>82</v>
      </c>
      <c r="E1329" s="2">
        <f t="shared" ca="1" si="146"/>
        <v>11112</v>
      </c>
      <c r="F1329" s="2">
        <f t="shared" ca="1" si="147"/>
        <v>17947</v>
      </c>
      <c r="G1329" s="2">
        <f t="shared" ca="1" si="148"/>
        <v>1058</v>
      </c>
    </row>
    <row r="1330" spans="1:7" x14ac:dyDescent="0.3">
      <c r="A1330" s="5" t="str">
        <f t="shared" si="149"/>
        <v>Reebok</v>
      </c>
      <c r="B1330" s="5" t="str">
        <f t="shared" si="144"/>
        <v>Instapump Fury</v>
      </c>
      <c r="C1330" s="3">
        <f t="shared" si="150"/>
        <v>45746</v>
      </c>
      <c r="D1330" s="4">
        <f t="shared" ca="1" si="145"/>
        <v>156</v>
      </c>
      <c r="E1330" s="2">
        <f t="shared" ca="1" si="146"/>
        <v>2344</v>
      </c>
      <c r="F1330" s="2">
        <f t="shared" ca="1" si="147"/>
        <v>21283</v>
      </c>
      <c r="G1330" s="2">
        <f t="shared" ca="1" si="148"/>
        <v>689</v>
      </c>
    </row>
    <row r="1331" spans="1:7" x14ac:dyDescent="0.3">
      <c r="A1331" s="5" t="str">
        <f t="shared" si="149"/>
        <v>Nike</v>
      </c>
      <c r="B1331" s="5" t="str">
        <f t="shared" si="144"/>
        <v>Cortez</v>
      </c>
      <c r="C1331" s="3">
        <f t="shared" si="150"/>
        <v>45746</v>
      </c>
      <c r="D1331" s="4">
        <f t="shared" ca="1" si="145"/>
        <v>174</v>
      </c>
      <c r="E1331" s="2">
        <f t="shared" ca="1" si="146"/>
        <v>4208</v>
      </c>
      <c r="F1331" s="2">
        <f t="shared" ca="1" si="147"/>
        <v>19312</v>
      </c>
      <c r="G1331" s="2">
        <f t="shared" ca="1" si="148"/>
        <v>1084</v>
      </c>
    </row>
    <row r="1332" spans="1:7" x14ac:dyDescent="0.3">
      <c r="A1332" s="5" t="str">
        <f t="shared" si="149"/>
        <v>Adidas</v>
      </c>
      <c r="B1332" s="5" t="str">
        <f t="shared" si="144"/>
        <v>NMD S1</v>
      </c>
      <c r="C1332" s="3">
        <f t="shared" si="150"/>
        <v>45746</v>
      </c>
      <c r="D1332" s="4">
        <f t="shared" ca="1" si="145"/>
        <v>78</v>
      </c>
      <c r="E1332" s="2">
        <f t="shared" ca="1" si="146"/>
        <v>7196</v>
      </c>
      <c r="F1332" s="2">
        <f t="shared" ca="1" si="147"/>
        <v>12642</v>
      </c>
      <c r="G1332" s="2">
        <f t="shared" ca="1" si="148"/>
        <v>438</v>
      </c>
    </row>
    <row r="1333" spans="1:7" x14ac:dyDescent="0.3">
      <c r="A1333" s="5" t="str">
        <f t="shared" si="149"/>
        <v>Puma</v>
      </c>
      <c r="B1333" s="5" t="str">
        <f t="shared" si="144"/>
        <v>Suede Classic</v>
      </c>
      <c r="C1333" s="3">
        <f t="shared" si="150"/>
        <v>45746</v>
      </c>
      <c r="D1333" s="4">
        <f t="shared" ca="1" si="145"/>
        <v>92</v>
      </c>
      <c r="E1333" s="2">
        <f t="shared" ca="1" si="146"/>
        <v>6712</v>
      </c>
      <c r="F1333" s="2">
        <f t="shared" ca="1" si="147"/>
        <v>32250</v>
      </c>
      <c r="G1333" s="2">
        <f t="shared" ca="1" si="148"/>
        <v>1563</v>
      </c>
    </row>
    <row r="1334" spans="1:7" x14ac:dyDescent="0.3">
      <c r="A1334" s="5" t="str">
        <f t="shared" si="149"/>
        <v>New Balance</v>
      </c>
      <c r="B1334" s="5" t="str">
        <f t="shared" si="144"/>
        <v>990v6</v>
      </c>
      <c r="C1334" s="3">
        <f t="shared" si="150"/>
        <v>45746</v>
      </c>
      <c r="D1334" s="4">
        <f t="shared" ca="1" si="145"/>
        <v>132</v>
      </c>
      <c r="E1334" s="2">
        <f t="shared" ca="1" si="146"/>
        <v>6449</v>
      </c>
      <c r="F1334" s="2">
        <f t="shared" ca="1" si="147"/>
        <v>8671</v>
      </c>
      <c r="G1334" s="2">
        <f t="shared" ca="1" si="148"/>
        <v>685</v>
      </c>
    </row>
    <row r="1335" spans="1:7" x14ac:dyDescent="0.3">
      <c r="A1335" s="5" t="str">
        <f t="shared" si="149"/>
        <v>Reebok</v>
      </c>
      <c r="B1335" s="5" t="str">
        <f t="shared" si="144"/>
        <v>Nano X3</v>
      </c>
      <c r="C1335" s="3">
        <f t="shared" si="150"/>
        <v>45746</v>
      </c>
      <c r="D1335" s="4">
        <f t="shared" ca="1" si="145"/>
        <v>136</v>
      </c>
      <c r="E1335" s="2">
        <f t="shared" ca="1" si="146"/>
        <v>9749</v>
      </c>
      <c r="F1335" s="2">
        <f t="shared" ca="1" si="147"/>
        <v>27827</v>
      </c>
      <c r="G1335" s="2">
        <f t="shared" ca="1" si="148"/>
        <v>2167</v>
      </c>
    </row>
    <row r="1336" spans="1:7" x14ac:dyDescent="0.3">
      <c r="A1336" s="5" t="str">
        <f t="shared" si="149"/>
        <v>Nike</v>
      </c>
      <c r="B1336" s="5" t="str">
        <f t="shared" si="144"/>
        <v>Vaporfly 3</v>
      </c>
      <c r="C1336" s="3">
        <f t="shared" si="150"/>
        <v>45746</v>
      </c>
      <c r="D1336" s="4">
        <f t="shared" ca="1" si="145"/>
        <v>23</v>
      </c>
      <c r="E1336" s="2">
        <f t="shared" ca="1" si="146"/>
        <v>6463</v>
      </c>
      <c r="F1336" s="2">
        <f t="shared" ca="1" si="147"/>
        <v>10661</v>
      </c>
      <c r="G1336" s="2">
        <f t="shared" ca="1" si="148"/>
        <v>380</v>
      </c>
    </row>
    <row r="1337" spans="1:7" x14ac:dyDescent="0.3">
      <c r="A1337" s="5" t="str">
        <f t="shared" si="149"/>
        <v>Adidas</v>
      </c>
      <c r="B1337" s="5" t="str">
        <f t="shared" si="144"/>
        <v>Samba</v>
      </c>
      <c r="C1337" s="3">
        <f t="shared" si="150"/>
        <v>45747</v>
      </c>
      <c r="D1337" s="4">
        <f t="shared" ca="1" si="145"/>
        <v>229</v>
      </c>
      <c r="E1337" s="2">
        <f t="shared" ca="1" si="146"/>
        <v>2297</v>
      </c>
      <c r="F1337" s="2">
        <f t="shared" ca="1" si="147"/>
        <v>15107</v>
      </c>
      <c r="G1337" s="2">
        <f t="shared" ca="1" si="148"/>
        <v>1056</v>
      </c>
    </row>
    <row r="1338" spans="1:7" x14ac:dyDescent="0.3">
      <c r="A1338" s="5" t="str">
        <f t="shared" si="149"/>
        <v>Puma</v>
      </c>
      <c r="B1338" s="5" t="str">
        <f t="shared" si="144"/>
        <v>Mayze</v>
      </c>
      <c r="C1338" s="3">
        <f t="shared" si="150"/>
        <v>45747</v>
      </c>
      <c r="D1338" s="4">
        <f t="shared" ca="1" si="145"/>
        <v>21</v>
      </c>
      <c r="E1338" s="2">
        <f t="shared" ca="1" si="146"/>
        <v>4860</v>
      </c>
      <c r="F1338" s="2">
        <f t="shared" ca="1" si="147"/>
        <v>10992</v>
      </c>
      <c r="G1338" s="2">
        <f t="shared" ca="1" si="148"/>
        <v>594</v>
      </c>
    </row>
    <row r="1339" spans="1:7" x14ac:dyDescent="0.3">
      <c r="A1339" s="5" t="str">
        <f t="shared" si="149"/>
        <v>New Balance</v>
      </c>
      <c r="B1339" s="5" t="str">
        <f t="shared" si="144"/>
        <v>574 Core</v>
      </c>
      <c r="C1339" s="3">
        <f t="shared" si="150"/>
        <v>45747</v>
      </c>
      <c r="D1339" s="4">
        <f t="shared" ca="1" si="145"/>
        <v>210</v>
      </c>
      <c r="E1339" s="2">
        <f t="shared" ca="1" si="146"/>
        <v>7873</v>
      </c>
      <c r="F1339" s="2">
        <f t="shared" ca="1" si="147"/>
        <v>21945</v>
      </c>
      <c r="G1339" s="2">
        <f t="shared" ca="1" si="148"/>
        <v>1469</v>
      </c>
    </row>
    <row r="1340" spans="1:7" x14ac:dyDescent="0.3">
      <c r="A1340" s="5" t="str">
        <f t="shared" si="149"/>
        <v>Reebok</v>
      </c>
      <c r="B1340" s="5" t="str">
        <f t="shared" si="144"/>
        <v>Club C 85</v>
      </c>
      <c r="C1340" s="3">
        <f t="shared" si="150"/>
        <v>45747</v>
      </c>
      <c r="D1340" s="4">
        <f t="shared" ca="1" si="145"/>
        <v>70</v>
      </c>
      <c r="E1340" s="2">
        <f t="shared" ca="1" si="146"/>
        <v>6496</v>
      </c>
      <c r="F1340" s="2">
        <f t="shared" ca="1" si="147"/>
        <v>27338</v>
      </c>
      <c r="G1340" s="2">
        <f t="shared" ca="1" si="148"/>
        <v>1970</v>
      </c>
    </row>
    <row r="1341" spans="1:7" x14ac:dyDescent="0.3">
      <c r="A1341" s="5" t="str">
        <f t="shared" si="149"/>
        <v>Nike</v>
      </c>
      <c r="B1341" s="5" t="str">
        <f t="shared" si="144"/>
        <v>Pegasus 40</v>
      </c>
      <c r="C1341" s="3">
        <f t="shared" si="150"/>
        <v>45747</v>
      </c>
      <c r="D1341" s="4">
        <f t="shared" ca="1" si="145"/>
        <v>112</v>
      </c>
      <c r="E1341" s="2">
        <f t="shared" ca="1" si="146"/>
        <v>11246</v>
      </c>
      <c r="F1341" s="2">
        <f t="shared" ca="1" si="147"/>
        <v>20102</v>
      </c>
      <c r="G1341" s="2">
        <f t="shared" ca="1" si="148"/>
        <v>1198</v>
      </c>
    </row>
    <row r="1342" spans="1:7" x14ac:dyDescent="0.3">
      <c r="A1342" s="5" t="str">
        <f t="shared" si="149"/>
        <v>Adidas</v>
      </c>
      <c r="B1342" s="5" t="str">
        <f t="shared" si="144"/>
        <v>Gazelle</v>
      </c>
      <c r="C1342" s="3">
        <f t="shared" si="150"/>
        <v>45747</v>
      </c>
      <c r="D1342" s="4">
        <f t="shared" ca="1" si="145"/>
        <v>140</v>
      </c>
      <c r="E1342" s="2">
        <f t="shared" ca="1" si="146"/>
        <v>10359</v>
      </c>
      <c r="F1342" s="2">
        <f t="shared" ca="1" si="147"/>
        <v>29380</v>
      </c>
      <c r="G1342" s="2">
        <f t="shared" ca="1" si="148"/>
        <v>1524</v>
      </c>
    </row>
    <row r="1343" spans="1:7" x14ac:dyDescent="0.3">
      <c r="A1343" s="5" t="str">
        <f t="shared" si="149"/>
        <v>Puma</v>
      </c>
      <c r="B1343" s="5" t="str">
        <f t="shared" si="144"/>
        <v>Slipstream</v>
      </c>
      <c r="C1343" s="3">
        <f t="shared" si="150"/>
        <v>45747</v>
      </c>
      <c r="D1343" s="4">
        <f t="shared" ca="1" si="145"/>
        <v>213</v>
      </c>
      <c r="E1343" s="2">
        <f t="shared" ca="1" si="146"/>
        <v>3479</v>
      </c>
      <c r="F1343" s="2">
        <f t="shared" ca="1" si="147"/>
        <v>25913</v>
      </c>
      <c r="G1343" s="2">
        <f t="shared" ca="1" si="148"/>
        <v>1182</v>
      </c>
    </row>
    <row r="1344" spans="1:7" x14ac:dyDescent="0.3">
      <c r="A1344" s="5" t="str">
        <f t="shared" si="149"/>
        <v>New Balance</v>
      </c>
      <c r="B1344" s="5" t="str">
        <f t="shared" si="144"/>
        <v>550</v>
      </c>
      <c r="C1344" s="3">
        <f t="shared" si="150"/>
        <v>45747</v>
      </c>
      <c r="D1344" s="4">
        <f t="shared" ca="1" si="145"/>
        <v>138</v>
      </c>
      <c r="E1344" s="2">
        <f t="shared" ca="1" si="146"/>
        <v>6941</v>
      </c>
      <c r="F1344" s="2">
        <f t="shared" ca="1" si="147"/>
        <v>13204</v>
      </c>
      <c r="G1344" s="2">
        <f t="shared" ca="1" si="148"/>
        <v>497</v>
      </c>
    </row>
    <row r="1345" spans="1:7" x14ac:dyDescent="0.3">
      <c r="A1345" s="5" t="str">
        <f t="shared" si="149"/>
        <v>Reebok</v>
      </c>
      <c r="B1345" s="5" t="str">
        <f t="shared" si="144"/>
        <v>Classic Leather</v>
      </c>
      <c r="C1345" s="3">
        <f t="shared" si="150"/>
        <v>45747</v>
      </c>
      <c r="D1345" s="4">
        <f t="shared" ca="1" si="145"/>
        <v>133</v>
      </c>
      <c r="E1345" s="2">
        <f t="shared" ca="1" si="146"/>
        <v>7833</v>
      </c>
      <c r="F1345" s="2">
        <f t="shared" ca="1" si="147"/>
        <v>17065</v>
      </c>
      <c r="G1345" s="2">
        <f t="shared" ca="1" si="148"/>
        <v>1344</v>
      </c>
    </row>
    <row r="1346" spans="1:7" x14ac:dyDescent="0.3">
      <c r="A1346" s="5" t="str">
        <f t="shared" si="149"/>
        <v>Nike</v>
      </c>
      <c r="B1346" s="5" t="str">
        <f t="shared" si="144"/>
        <v>Air Force 1</v>
      </c>
      <c r="C1346" s="3">
        <f t="shared" si="150"/>
        <v>45747</v>
      </c>
      <c r="D1346" s="4">
        <f t="shared" ca="1" si="145"/>
        <v>135</v>
      </c>
      <c r="E1346" s="2">
        <f t="shared" ca="1" si="146"/>
        <v>9590</v>
      </c>
      <c r="F1346" s="2">
        <f t="shared" ca="1" si="147"/>
        <v>11179</v>
      </c>
      <c r="G1346" s="2">
        <f t="shared" ca="1" si="148"/>
        <v>851</v>
      </c>
    </row>
    <row r="1347" spans="1:7" x14ac:dyDescent="0.3">
      <c r="A1347" s="5" t="str">
        <f t="shared" si="149"/>
        <v>Adidas</v>
      </c>
      <c r="B1347" s="5" t="str">
        <f t="shared" ref="B1347:B1410" si="151">IF(A1347="Nike",CHOOSE(MOD(ROW(A1346),6)+1,"Air Max 270","Air Force 1","Pegasus 40","Vaporfly 3","Cortez","Jordan 1"),
 IF(A1347="Adidas",CHOOSE(MOD(ROW(A1346),6)+1,"Ultraboost 23","Stan Smith","Superstar","Gazelle","Samba","NMD S1"),
 IF(A1347="Puma",CHOOSE(MOD(ROW(A1346),6)+1,"Suede Classic","RS-X","Cali Dream","Rider Vintage","Slipstream","Mayze"),
 IF(A1347="New Balance",CHOOSE(MOD(ROW(A1346),6)+1,"574 Core","990v6","2002R","9060","327","550"),
 IF(A1347="Reebok",CHOOSE(MOD(ROW(A1346),6)+1,"Classic Leather","Club C 85","Nano X3","Instapump Fury","Zig Kinetica","Question Mid"),"")))))</f>
        <v>Superstar</v>
      </c>
      <c r="C1347" s="3">
        <f t="shared" si="150"/>
        <v>45747</v>
      </c>
      <c r="D1347" s="4">
        <f t="shared" ref="D1347:D1410" ca="1" si="152">RANDBETWEEN(20,250)</f>
        <v>173</v>
      </c>
      <c r="E1347" s="2">
        <f t="shared" ref="E1347:E1410" ca="1" si="153">ROUND(RANDBETWEEN(1500,12000)+(RANDBETWEEN(-200,200)),2)</f>
        <v>6025</v>
      </c>
      <c r="F1347" s="2">
        <f t="shared" ref="F1347:F1410" ca="1" si="154">RANDBETWEEN(5000,35000)</f>
        <v>8101</v>
      </c>
      <c r="G1347" s="2">
        <f t="shared" ref="G1347:G1410" ca="1" si="155">RANDBETWEEN(ROUND(F1347*0.02,0),ROUND(F1347*0.08,0))</f>
        <v>430</v>
      </c>
    </row>
    <row r="1348" spans="1:7" x14ac:dyDescent="0.3">
      <c r="A1348" s="5" t="str">
        <f t="shared" si="149"/>
        <v>Puma</v>
      </c>
      <c r="B1348" s="5" t="str">
        <f t="shared" si="151"/>
        <v>Rider Vintage</v>
      </c>
      <c r="C1348" s="3">
        <f t="shared" si="150"/>
        <v>45747</v>
      </c>
      <c r="D1348" s="4">
        <f t="shared" ca="1" si="152"/>
        <v>54</v>
      </c>
      <c r="E1348" s="2">
        <f t="shared" ca="1" si="153"/>
        <v>7669</v>
      </c>
      <c r="F1348" s="2">
        <f t="shared" ca="1" si="154"/>
        <v>30209</v>
      </c>
      <c r="G1348" s="2">
        <f t="shared" ca="1" si="155"/>
        <v>1189</v>
      </c>
    </row>
    <row r="1349" spans="1:7" x14ac:dyDescent="0.3">
      <c r="A1349" s="5" t="str">
        <f t="shared" si="149"/>
        <v>New Balance</v>
      </c>
      <c r="B1349" s="5" t="str">
        <f t="shared" si="151"/>
        <v>327</v>
      </c>
      <c r="C1349" s="3">
        <f t="shared" si="150"/>
        <v>45747</v>
      </c>
      <c r="D1349" s="4">
        <f t="shared" ca="1" si="152"/>
        <v>152</v>
      </c>
      <c r="E1349" s="2">
        <f t="shared" ca="1" si="153"/>
        <v>3760</v>
      </c>
      <c r="F1349" s="2">
        <f t="shared" ca="1" si="154"/>
        <v>7494</v>
      </c>
      <c r="G1349" s="2">
        <f t="shared" ca="1" si="155"/>
        <v>241</v>
      </c>
    </row>
    <row r="1350" spans="1:7" x14ac:dyDescent="0.3">
      <c r="A1350" s="5" t="str">
        <f t="shared" si="149"/>
        <v>Reebok</v>
      </c>
      <c r="B1350" s="5" t="str">
        <f t="shared" si="151"/>
        <v>Question Mid</v>
      </c>
      <c r="C1350" s="3">
        <f t="shared" si="150"/>
        <v>45747</v>
      </c>
      <c r="D1350" s="4">
        <f t="shared" ca="1" si="152"/>
        <v>133</v>
      </c>
      <c r="E1350" s="2">
        <f t="shared" ca="1" si="153"/>
        <v>5796</v>
      </c>
      <c r="F1350" s="2">
        <f t="shared" ca="1" si="154"/>
        <v>22132</v>
      </c>
      <c r="G1350" s="2">
        <f t="shared" ca="1" si="155"/>
        <v>1024</v>
      </c>
    </row>
    <row r="1351" spans="1:7" x14ac:dyDescent="0.3">
      <c r="A1351" s="5" t="str">
        <f t="shared" si="149"/>
        <v>Nike</v>
      </c>
      <c r="B1351" s="5" t="str">
        <f t="shared" si="151"/>
        <v>Air Max 270</v>
      </c>
      <c r="C1351" s="3">
        <f t="shared" si="150"/>
        <v>45747</v>
      </c>
      <c r="D1351" s="4">
        <f t="shared" ca="1" si="152"/>
        <v>209</v>
      </c>
      <c r="E1351" s="2">
        <f t="shared" ca="1" si="153"/>
        <v>9654</v>
      </c>
      <c r="F1351" s="2">
        <f t="shared" ca="1" si="154"/>
        <v>33864</v>
      </c>
      <c r="G1351" s="2">
        <f t="shared" ca="1" si="155"/>
        <v>2646</v>
      </c>
    </row>
    <row r="1352" spans="1:7" x14ac:dyDescent="0.3">
      <c r="A1352" s="5" t="str">
        <f t="shared" si="149"/>
        <v>Adidas</v>
      </c>
      <c r="B1352" s="5" t="str">
        <f t="shared" si="151"/>
        <v>Stan Smith</v>
      </c>
      <c r="C1352" s="3">
        <f t="shared" si="150"/>
        <v>45748</v>
      </c>
      <c r="D1352" s="4">
        <f t="shared" ca="1" si="152"/>
        <v>120</v>
      </c>
      <c r="E1352" s="2">
        <f t="shared" ca="1" si="153"/>
        <v>2288</v>
      </c>
      <c r="F1352" s="2">
        <f t="shared" ca="1" si="154"/>
        <v>14305</v>
      </c>
      <c r="G1352" s="2">
        <f t="shared" ca="1" si="155"/>
        <v>984</v>
      </c>
    </row>
    <row r="1353" spans="1:7" x14ac:dyDescent="0.3">
      <c r="A1353" s="5" t="str">
        <f t="shared" si="149"/>
        <v>Puma</v>
      </c>
      <c r="B1353" s="5" t="str">
        <f t="shared" si="151"/>
        <v>Cali Dream</v>
      </c>
      <c r="C1353" s="3">
        <f t="shared" si="150"/>
        <v>45748</v>
      </c>
      <c r="D1353" s="4">
        <f t="shared" ca="1" si="152"/>
        <v>166</v>
      </c>
      <c r="E1353" s="2">
        <f t="shared" ca="1" si="153"/>
        <v>6786</v>
      </c>
      <c r="F1353" s="2">
        <f t="shared" ca="1" si="154"/>
        <v>31981</v>
      </c>
      <c r="G1353" s="2">
        <f t="shared" ca="1" si="155"/>
        <v>1681</v>
      </c>
    </row>
    <row r="1354" spans="1:7" x14ac:dyDescent="0.3">
      <c r="A1354" s="5" t="str">
        <f t="shared" si="149"/>
        <v>New Balance</v>
      </c>
      <c r="B1354" s="5" t="str">
        <f t="shared" si="151"/>
        <v>9060</v>
      </c>
      <c r="C1354" s="3">
        <f t="shared" si="150"/>
        <v>45748</v>
      </c>
      <c r="D1354" s="4">
        <f t="shared" ca="1" si="152"/>
        <v>66</v>
      </c>
      <c r="E1354" s="2">
        <f t="shared" ca="1" si="153"/>
        <v>9394</v>
      </c>
      <c r="F1354" s="2">
        <f t="shared" ca="1" si="154"/>
        <v>22690</v>
      </c>
      <c r="G1354" s="2">
        <f t="shared" ca="1" si="155"/>
        <v>1009</v>
      </c>
    </row>
    <row r="1355" spans="1:7" x14ac:dyDescent="0.3">
      <c r="A1355" s="5" t="str">
        <f t="shared" si="149"/>
        <v>Reebok</v>
      </c>
      <c r="B1355" s="5" t="str">
        <f t="shared" si="151"/>
        <v>Zig Kinetica</v>
      </c>
      <c r="C1355" s="3">
        <f t="shared" si="150"/>
        <v>45748</v>
      </c>
      <c r="D1355" s="4">
        <f t="shared" ca="1" si="152"/>
        <v>44</v>
      </c>
      <c r="E1355" s="2">
        <f t="shared" ca="1" si="153"/>
        <v>4271</v>
      </c>
      <c r="F1355" s="2">
        <f t="shared" ca="1" si="154"/>
        <v>15763</v>
      </c>
      <c r="G1355" s="2">
        <f t="shared" ca="1" si="155"/>
        <v>952</v>
      </c>
    </row>
    <row r="1356" spans="1:7" x14ac:dyDescent="0.3">
      <c r="A1356" s="5" t="str">
        <f t="shared" si="149"/>
        <v>Nike</v>
      </c>
      <c r="B1356" s="5" t="str">
        <f t="shared" si="151"/>
        <v>Jordan 1</v>
      </c>
      <c r="C1356" s="3">
        <f t="shared" si="150"/>
        <v>45748</v>
      </c>
      <c r="D1356" s="4">
        <f t="shared" ca="1" si="152"/>
        <v>160</v>
      </c>
      <c r="E1356" s="2">
        <f t="shared" ca="1" si="153"/>
        <v>9991</v>
      </c>
      <c r="F1356" s="2">
        <f t="shared" ca="1" si="154"/>
        <v>15233</v>
      </c>
      <c r="G1356" s="2">
        <f t="shared" ca="1" si="155"/>
        <v>523</v>
      </c>
    </row>
    <row r="1357" spans="1:7" x14ac:dyDescent="0.3">
      <c r="A1357" s="5" t="str">
        <f t="shared" si="149"/>
        <v>Adidas</v>
      </c>
      <c r="B1357" s="5" t="str">
        <f t="shared" si="151"/>
        <v>Ultraboost 23</v>
      </c>
      <c r="C1357" s="3">
        <f t="shared" si="150"/>
        <v>45748</v>
      </c>
      <c r="D1357" s="4">
        <f t="shared" ca="1" si="152"/>
        <v>135</v>
      </c>
      <c r="E1357" s="2">
        <f t="shared" ca="1" si="153"/>
        <v>4666</v>
      </c>
      <c r="F1357" s="2">
        <f t="shared" ca="1" si="154"/>
        <v>21049</v>
      </c>
      <c r="G1357" s="2">
        <f t="shared" ca="1" si="155"/>
        <v>618</v>
      </c>
    </row>
    <row r="1358" spans="1:7" x14ac:dyDescent="0.3">
      <c r="A1358" s="5" t="str">
        <f t="shared" si="149"/>
        <v>Puma</v>
      </c>
      <c r="B1358" s="5" t="str">
        <f t="shared" si="151"/>
        <v>RS-X</v>
      </c>
      <c r="C1358" s="3">
        <f t="shared" si="150"/>
        <v>45748</v>
      </c>
      <c r="D1358" s="4">
        <f t="shared" ca="1" si="152"/>
        <v>195</v>
      </c>
      <c r="E1358" s="2">
        <f t="shared" ca="1" si="153"/>
        <v>9371</v>
      </c>
      <c r="F1358" s="2">
        <f t="shared" ca="1" si="154"/>
        <v>17072</v>
      </c>
      <c r="G1358" s="2">
        <f t="shared" ca="1" si="155"/>
        <v>526</v>
      </c>
    </row>
    <row r="1359" spans="1:7" x14ac:dyDescent="0.3">
      <c r="A1359" s="5" t="str">
        <f t="shared" si="149"/>
        <v>New Balance</v>
      </c>
      <c r="B1359" s="5" t="str">
        <f t="shared" si="151"/>
        <v>2002R</v>
      </c>
      <c r="C1359" s="3">
        <f t="shared" si="150"/>
        <v>45748</v>
      </c>
      <c r="D1359" s="4">
        <f t="shared" ca="1" si="152"/>
        <v>201</v>
      </c>
      <c r="E1359" s="2">
        <f t="shared" ca="1" si="153"/>
        <v>6340</v>
      </c>
      <c r="F1359" s="2">
        <f t="shared" ca="1" si="154"/>
        <v>9007</v>
      </c>
      <c r="G1359" s="2">
        <f t="shared" ca="1" si="155"/>
        <v>681</v>
      </c>
    </row>
    <row r="1360" spans="1:7" x14ac:dyDescent="0.3">
      <c r="A1360" s="5" t="str">
        <f t="shared" si="149"/>
        <v>Reebok</v>
      </c>
      <c r="B1360" s="5" t="str">
        <f t="shared" si="151"/>
        <v>Instapump Fury</v>
      </c>
      <c r="C1360" s="3">
        <f t="shared" si="150"/>
        <v>45748</v>
      </c>
      <c r="D1360" s="4">
        <f t="shared" ca="1" si="152"/>
        <v>152</v>
      </c>
      <c r="E1360" s="2">
        <f t="shared" ca="1" si="153"/>
        <v>10458</v>
      </c>
      <c r="F1360" s="2">
        <f t="shared" ca="1" si="154"/>
        <v>11805</v>
      </c>
      <c r="G1360" s="2">
        <f t="shared" ca="1" si="155"/>
        <v>407</v>
      </c>
    </row>
    <row r="1361" spans="1:7" x14ac:dyDescent="0.3">
      <c r="A1361" s="5" t="str">
        <f t="shared" si="149"/>
        <v>Nike</v>
      </c>
      <c r="B1361" s="5" t="str">
        <f t="shared" si="151"/>
        <v>Cortez</v>
      </c>
      <c r="C1361" s="3">
        <f t="shared" si="150"/>
        <v>45748</v>
      </c>
      <c r="D1361" s="4">
        <f t="shared" ca="1" si="152"/>
        <v>133</v>
      </c>
      <c r="E1361" s="2">
        <f t="shared" ca="1" si="153"/>
        <v>5340</v>
      </c>
      <c r="F1361" s="2">
        <f t="shared" ca="1" si="154"/>
        <v>19976</v>
      </c>
      <c r="G1361" s="2">
        <f t="shared" ca="1" si="155"/>
        <v>787</v>
      </c>
    </row>
    <row r="1362" spans="1:7" x14ac:dyDescent="0.3">
      <c r="A1362" s="5" t="str">
        <f t="shared" si="149"/>
        <v>Adidas</v>
      </c>
      <c r="B1362" s="5" t="str">
        <f t="shared" si="151"/>
        <v>NMD S1</v>
      </c>
      <c r="C1362" s="3">
        <f t="shared" si="150"/>
        <v>45748</v>
      </c>
      <c r="D1362" s="4">
        <f t="shared" ca="1" si="152"/>
        <v>187</v>
      </c>
      <c r="E1362" s="2">
        <f t="shared" ca="1" si="153"/>
        <v>3268</v>
      </c>
      <c r="F1362" s="2">
        <f t="shared" ca="1" si="154"/>
        <v>10629</v>
      </c>
      <c r="G1362" s="2">
        <f t="shared" ca="1" si="155"/>
        <v>401</v>
      </c>
    </row>
    <row r="1363" spans="1:7" x14ac:dyDescent="0.3">
      <c r="A1363" s="5" t="str">
        <f t="shared" si="149"/>
        <v>Puma</v>
      </c>
      <c r="B1363" s="5" t="str">
        <f t="shared" si="151"/>
        <v>Suede Classic</v>
      </c>
      <c r="C1363" s="3">
        <f t="shared" si="150"/>
        <v>45748</v>
      </c>
      <c r="D1363" s="4">
        <f t="shared" ca="1" si="152"/>
        <v>66</v>
      </c>
      <c r="E1363" s="2">
        <f t="shared" ca="1" si="153"/>
        <v>5824</v>
      </c>
      <c r="F1363" s="2">
        <f t="shared" ca="1" si="154"/>
        <v>33166</v>
      </c>
      <c r="G1363" s="2">
        <f t="shared" ca="1" si="155"/>
        <v>1939</v>
      </c>
    </row>
    <row r="1364" spans="1:7" x14ac:dyDescent="0.3">
      <c r="A1364" s="5" t="str">
        <f t="shared" si="149"/>
        <v>New Balance</v>
      </c>
      <c r="B1364" s="5" t="str">
        <f t="shared" si="151"/>
        <v>990v6</v>
      </c>
      <c r="C1364" s="3">
        <f t="shared" si="150"/>
        <v>45748</v>
      </c>
      <c r="D1364" s="4">
        <f t="shared" ca="1" si="152"/>
        <v>216</v>
      </c>
      <c r="E1364" s="2">
        <f t="shared" ca="1" si="153"/>
        <v>4153</v>
      </c>
      <c r="F1364" s="2">
        <f t="shared" ca="1" si="154"/>
        <v>27483</v>
      </c>
      <c r="G1364" s="2">
        <f t="shared" ca="1" si="155"/>
        <v>733</v>
      </c>
    </row>
    <row r="1365" spans="1:7" x14ac:dyDescent="0.3">
      <c r="A1365" s="5" t="str">
        <f t="shared" si="149"/>
        <v>Reebok</v>
      </c>
      <c r="B1365" s="5" t="str">
        <f t="shared" si="151"/>
        <v>Nano X3</v>
      </c>
      <c r="C1365" s="3">
        <f t="shared" si="150"/>
        <v>45748</v>
      </c>
      <c r="D1365" s="4">
        <f t="shared" ca="1" si="152"/>
        <v>250</v>
      </c>
      <c r="E1365" s="2">
        <f t="shared" ca="1" si="153"/>
        <v>10183</v>
      </c>
      <c r="F1365" s="2">
        <f t="shared" ca="1" si="154"/>
        <v>16336</v>
      </c>
      <c r="G1365" s="2">
        <f t="shared" ca="1" si="155"/>
        <v>585</v>
      </c>
    </row>
    <row r="1366" spans="1:7" x14ac:dyDescent="0.3">
      <c r="A1366" s="5" t="str">
        <f t="shared" si="149"/>
        <v>Nike</v>
      </c>
      <c r="B1366" s="5" t="str">
        <f t="shared" si="151"/>
        <v>Vaporfly 3</v>
      </c>
      <c r="C1366" s="3">
        <f t="shared" si="150"/>
        <v>45748</v>
      </c>
      <c r="D1366" s="4">
        <f t="shared" ca="1" si="152"/>
        <v>230</v>
      </c>
      <c r="E1366" s="2">
        <f t="shared" ca="1" si="153"/>
        <v>9468</v>
      </c>
      <c r="F1366" s="2">
        <f t="shared" ca="1" si="154"/>
        <v>16640</v>
      </c>
      <c r="G1366" s="2">
        <f t="shared" ca="1" si="155"/>
        <v>825</v>
      </c>
    </row>
    <row r="1367" spans="1:7" x14ac:dyDescent="0.3">
      <c r="A1367" s="5" t="str">
        <f t="shared" si="149"/>
        <v>Adidas</v>
      </c>
      <c r="B1367" s="5" t="str">
        <f t="shared" si="151"/>
        <v>Samba</v>
      </c>
      <c r="C1367" s="3">
        <f t="shared" si="150"/>
        <v>45749</v>
      </c>
      <c r="D1367" s="4">
        <f t="shared" ca="1" si="152"/>
        <v>90</v>
      </c>
      <c r="E1367" s="2">
        <f t="shared" ca="1" si="153"/>
        <v>7953</v>
      </c>
      <c r="F1367" s="2">
        <f t="shared" ca="1" si="154"/>
        <v>17733</v>
      </c>
      <c r="G1367" s="2">
        <f t="shared" ca="1" si="155"/>
        <v>1307</v>
      </c>
    </row>
    <row r="1368" spans="1:7" x14ac:dyDescent="0.3">
      <c r="A1368" s="5" t="str">
        <f t="shared" si="149"/>
        <v>Puma</v>
      </c>
      <c r="B1368" s="5" t="str">
        <f t="shared" si="151"/>
        <v>Mayze</v>
      </c>
      <c r="C1368" s="3">
        <f t="shared" si="150"/>
        <v>45749</v>
      </c>
      <c r="D1368" s="4">
        <f t="shared" ca="1" si="152"/>
        <v>32</v>
      </c>
      <c r="E1368" s="2">
        <f t="shared" ca="1" si="153"/>
        <v>4564</v>
      </c>
      <c r="F1368" s="2">
        <f t="shared" ca="1" si="154"/>
        <v>25118</v>
      </c>
      <c r="G1368" s="2">
        <f t="shared" ca="1" si="155"/>
        <v>899</v>
      </c>
    </row>
    <row r="1369" spans="1:7" x14ac:dyDescent="0.3">
      <c r="A1369" s="5" t="str">
        <f t="shared" si="149"/>
        <v>New Balance</v>
      </c>
      <c r="B1369" s="5" t="str">
        <f t="shared" si="151"/>
        <v>574 Core</v>
      </c>
      <c r="C1369" s="3">
        <f t="shared" si="150"/>
        <v>45749</v>
      </c>
      <c r="D1369" s="4">
        <f t="shared" ca="1" si="152"/>
        <v>134</v>
      </c>
      <c r="E1369" s="2">
        <f t="shared" ca="1" si="153"/>
        <v>9471</v>
      </c>
      <c r="F1369" s="2">
        <f t="shared" ca="1" si="154"/>
        <v>22061</v>
      </c>
      <c r="G1369" s="2">
        <f t="shared" ca="1" si="155"/>
        <v>1322</v>
      </c>
    </row>
    <row r="1370" spans="1:7" x14ac:dyDescent="0.3">
      <c r="A1370" s="5" t="str">
        <f t="shared" si="149"/>
        <v>Reebok</v>
      </c>
      <c r="B1370" s="5" t="str">
        <f t="shared" si="151"/>
        <v>Club C 85</v>
      </c>
      <c r="C1370" s="3">
        <f t="shared" si="150"/>
        <v>45749</v>
      </c>
      <c r="D1370" s="4">
        <f t="shared" ca="1" si="152"/>
        <v>104</v>
      </c>
      <c r="E1370" s="2">
        <f t="shared" ca="1" si="153"/>
        <v>9676</v>
      </c>
      <c r="F1370" s="2">
        <f t="shared" ca="1" si="154"/>
        <v>17055</v>
      </c>
      <c r="G1370" s="2">
        <f t="shared" ca="1" si="155"/>
        <v>1144</v>
      </c>
    </row>
    <row r="1371" spans="1:7" x14ac:dyDescent="0.3">
      <c r="A1371" s="5" t="str">
        <f t="shared" si="149"/>
        <v>Nike</v>
      </c>
      <c r="B1371" s="5" t="str">
        <f t="shared" si="151"/>
        <v>Pegasus 40</v>
      </c>
      <c r="C1371" s="3">
        <f t="shared" si="150"/>
        <v>45749</v>
      </c>
      <c r="D1371" s="4">
        <f t="shared" ca="1" si="152"/>
        <v>183</v>
      </c>
      <c r="E1371" s="2">
        <f t="shared" ca="1" si="153"/>
        <v>8833</v>
      </c>
      <c r="F1371" s="2">
        <f t="shared" ca="1" si="154"/>
        <v>27357</v>
      </c>
      <c r="G1371" s="2">
        <f t="shared" ca="1" si="155"/>
        <v>1522</v>
      </c>
    </row>
    <row r="1372" spans="1:7" x14ac:dyDescent="0.3">
      <c r="A1372" s="5" t="str">
        <f t="shared" si="149"/>
        <v>Adidas</v>
      </c>
      <c r="B1372" s="5" t="str">
        <f t="shared" si="151"/>
        <v>Gazelle</v>
      </c>
      <c r="C1372" s="3">
        <f t="shared" si="150"/>
        <v>45749</v>
      </c>
      <c r="D1372" s="4">
        <f t="shared" ca="1" si="152"/>
        <v>219</v>
      </c>
      <c r="E1372" s="2">
        <f t="shared" ca="1" si="153"/>
        <v>7910</v>
      </c>
      <c r="F1372" s="2">
        <f t="shared" ca="1" si="154"/>
        <v>7139</v>
      </c>
      <c r="G1372" s="2">
        <f t="shared" ca="1" si="155"/>
        <v>504</v>
      </c>
    </row>
    <row r="1373" spans="1:7" x14ac:dyDescent="0.3">
      <c r="A1373" s="5" t="str">
        <f t="shared" si="149"/>
        <v>Puma</v>
      </c>
      <c r="B1373" s="5" t="str">
        <f t="shared" si="151"/>
        <v>Slipstream</v>
      </c>
      <c r="C1373" s="3">
        <f t="shared" si="150"/>
        <v>45749</v>
      </c>
      <c r="D1373" s="4">
        <f t="shared" ca="1" si="152"/>
        <v>190</v>
      </c>
      <c r="E1373" s="2">
        <f t="shared" ca="1" si="153"/>
        <v>6471</v>
      </c>
      <c r="F1373" s="2">
        <f t="shared" ca="1" si="154"/>
        <v>6396</v>
      </c>
      <c r="G1373" s="2">
        <f t="shared" ca="1" si="155"/>
        <v>488</v>
      </c>
    </row>
    <row r="1374" spans="1:7" x14ac:dyDescent="0.3">
      <c r="A1374" s="5" t="str">
        <f t="shared" si="149"/>
        <v>New Balance</v>
      </c>
      <c r="B1374" s="5" t="str">
        <f t="shared" si="151"/>
        <v>550</v>
      </c>
      <c r="C1374" s="3">
        <f t="shared" si="150"/>
        <v>45749</v>
      </c>
      <c r="D1374" s="4">
        <f t="shared" ca="1" si="152"/>
        <v>63</v>
      </c>
      <c r="E1374" s="2">
        <f t="shared" ca="1" si="153"/>
        <v>9242</v>
      </c>
      <c r="F1374" s="2">
        <f t="shared" ca="1" si="154"/>
        <v>22256</v>
      </c>
      <c r="G1374" s="2">
        <f t="shared" ca="1" si="155"/>
        <v>589</v>
      </c>
    </row>
    <row r="1375" spans="1:7" x14ac:dyDescent="0.3">
      <c r="A1375" s="5" t="str">
        <f t="shared" si="149"/>
        <v>Reebok</v>
      </c>
      <c r="B1375" s="5" t="str">
        <f t="shared" si="151"/>
        <v>Classic Leather</v>
      </c>
      <c r="C1375" s="3">
        <f t="shared" si="150"/>
        <v>45749</v>
      </c>
      <c r="D1375" s="4">
        <f t="shared" ca="1" si="152"/>
        <v>206</v>
      </c>
      <c r="E1375" s="2">
        <f t="shared" ca="1" si="153"/>
        <v>9527</v>
      </c>
      <c r="F1375" s="2">
        <f t="shared" ca="1" si="154"/>
        <v>22053</v>
      </c>
      <c r="G1375" s="2">
        <f t="shared" ca="1" si="155"/>
        <v>1656</v>
      </c>
    </row>
    <row r="1376" spans="1:7" x14ac:dyDescent="0.3">
      <c r="A1376" s="5" t="str">
        <f t="shared" si="149"/>
        <v>Nike</v>
      </c>
      <c r="B1376" s="5" t="str">
        <f t="shared" si="151"/>
        <v>Air Force 1</v>
      </c>
      <c r="C1376" s="3">
        <f t="shared" si="150"/>
        <v>45749</v>
      </c>
      <c r="D1376" s="4">
        <f t="shared" ca="1" si="152"/>
        <v>239</v>
      </c>
      <c r="E1376" s="2">
        <f t="shared" ca="1" si="153"/>
        <v>3854</v>
      </c>
      <c r="F1376" s="2">
        <f t="shared" ca="1" si="154"/>
        <v>12529</v>
      </c>
      <c r="G1376" s="2">
        <f t="shared" ca="1" si="155"/>
        <v>709</v>
      </c>
    </row>
    <row r="1377" spans="1:7" x14ac:dyDescent="0.3">
      <c r="A1377" s="5" t="str">
        <f t="shared" si="149"/>
        <v>Adidas</v>
      </c>
      <c r="B1377" s="5" t="str">
        <f t="shared" si="151"/>
        <v>Superstar</v>
      </c>
      <c r="C1377" s="3">
        <f t="shared" si="150"/>
        <v>45749</v>
      </c>
      <c r="D1377" s="4">
        <f t="shared" ca="1" si="152"/>
        <v>76</v>
      </c>
      <c r="E1377" s="2">
        <f t="shared" ca="1" si="153"/>
        <v>4162</v>
      </c>
      <c r="F1377" s="2">
        <f t="shared" ca="1" si="154"/>
        <v>19860</v>
      </c>
      <c r="G1377" s="2">
        <f t="shared" ca="1" si="155"/>
        <v>1381</v>
      </c>
    </row>
    <row r="1378" spans="1:7" x14ac:dyDescent="0.3">
      <c r="A1378" s="5" t="str">
        <f t="shared" si="149"/>
        <v>Puma</v>
      </c>
      <c r="B1378" s="5" t="str">
        <f t="shared" si="151"/>
        <v>Rider Vintage</v>
      </c>
      <c r="C1378" s="3">
        <f t="shared" si="150"/>
        <v>45749</v>
      </c>
      <c r="D1378" s="4">
        <f t="shared" ca="1" si="152"/>
        <v>80</v>
      </c>
      <c r="E1378" s="2">
        <f t="shared" ca="1" si="153"/>
        <v>4311</v>
      </c>
      <c r="F1378" s="2">
        <f t="shared" ca="1" si="154"/>
        <v>23770</v>
      </c>
      <c r="G1378" s="2">
        <f t="shared" ca="1" si="155"/>
        <v>1422</v>
      </c>
    </row>
    <row r="1379" spans="1:7" x14ac:dyDescent="0.3">
      <c r="A1379" s="5" t="str">
        <f t="shared" si="149"/>
        <v>New Balance</v>
      </c>
      <c r="B1379" s="5" t="str">
        <f t="shared" si="151"/>
        <v>327</v>
      </c>
      <c r="C1379" s="3">
        <f t="shared" si="150"/>
        <v>45749</v>
      </c>
      <c r="D1379" s="4">
        <f t="shared" ca="1" si="152"/>
        <v>37</v>
      </c>
      <c r="E1379" s="2">
        <f t="shared" ca="1" si="153"/>
        <v>9237</v>
      </c>
      <c r="F1379" s="2">
        <f t="shared" ca="1" si="154"/>
        <v>23107</v>
      </c>
      <c r="G1379" s="2">
        <f t="shared" ca="1" si="155"/>
        <v>1701</v>
      </c>
    </row>
    <row r="1380" spans="1:7" x14ac:dyDescent="0.3">
      <c r="A1380" s="5" t="str">
        <f t="shared" si="149"/>
        <v>Reebok</v>
      </c>
      <c r="B1380" s="5" t="str">
        <f t="shared" si="151"/>
        <v>Question Mid</v>
      </c>
      <c r="C1380" s="3">
        <f t="shared" si="150"/>
        <v>45749</v>
      </c>
      <c r="D1380" s="4">
        <f t="shared" ca="1" si="152"/>
        <v>231</v>
      </c>
      <c r="E1380" s="2">
        <f t="shared" ca="1" si="153"/>
        <v>4432</v>
      </c>
      <c r="F1380" s="2">
        <f t="shared" ca="1" si="154"/>
        <v>20451</v>
      </c>
      <c r="G1380" s="2">
        <f t="shared" ca="1" si="155"/>
        <v>825</v>
      </c>
    </row>
    <row r="1381" spans="1:7" x14ac:dyDescent="0.3">
      <c r="A1381" s="5" t="str">
        <f t="shared" si="149"/>
        <v>Nike</v>
      </c>
      <c r="B1381" s="5" t="str">
        <f t="shared" si="151"/>
        <v>Air Max 270</v>
      </c>
      <c r="C1381" s="3">
        <f t="shared" si="150"/>
        <v>45749</v>
      </c>
      <c r="D1381" s="4">
        <f t="shared" ca="1" si="152"/>
        <v>74</v>
      </c>
      <c r="E1381" s="2">
        <f t="shared" ca="1" si="153"/>
        <v>2529</v>
      </c>
      <c r="F1381" s="2">
        <f t="shared" ca="1" si="154"/>
        <v>9697</v>
      </c>
      <c r="G1381" s="2">
        <f t="shared" ca="1" si="155"/>
        <v>615</v>
      </c>
    </row>
    <row r="1382" spans="1:7" x14ac:dyDescent="0.3">
      <c r="A1382" s="5" t="str">
        <f t="shared" si="149"/>
        <v>Adidas</v>
      </c>
      <c r="B1382" s="5" t="str">
        <f t="shared" si="151"/>
        <v>Stan Smith</v>
      </c>
      <c r="C1382" s="3">
        <f t="shared" si="150"/>
        <v>45750</v>
      </c>
      <c r="D1382" s="4">
        <f t="shared" ca="1" si="152"/>
        <v>240</v>
      </c>
      <c r="E1382" s="2">
        <f t="shared" ca="1" si="153"/>
        <v>7302</v>
      </c>
      <c r="F1382" s="2">
        <f t="shared" ca="1" si="154"/>
        <v>27923</v>
      </c>
      <c r="G1382" s="2">
        <f t="shared" ca="1" si="155"/>
        <v>1424</v>
      </c>
    </row>
    <row r="1383" spans="1:7" x14ac:dyDescent="0.3">
      <c r="A1383" s="5" t="str">
        <f t="shared" si="149"/>
        <v>Puma</v>
      </c>
      <c r="B1383" s="5" t="str">
        <f t="shared" si="151"/>
        <v>Cali Dream</v>
      </c>
      <c r="C1383" s="3">
        <f t="shared" si="150"/>
        <v>45750</v>
      </c>
      <c r="D1383" s="4">
        <f t="shared" ca="1" si="152"/>
        <v>63</v>
      </c>
      <c r="E1383" s="2">
        <f t="shared" ca="1" si="153"/>
        <v>3323</v>
      </c>
      <c r="F1383" s="2">
        <f t="shared" ca="1" si="154"/>
        <v>29988</v>
      </c>
      <c r="G1383" s="2">
        <f t="shared" ca="1" si="155"/>
        <v>2387</v>
      </c>
    </row>
    <row r="1384" spans="1:7" x14ac:dyDescent="0.3">
      <c r="A1384" s="5" t="str">
        <f t="shared" si="149"/>
        <v>New Balance</v>
      </c>
      <c r="B1384" s="5" t="str">
        <f t="shared" si="151"/>
        <v>9060</v>
      </c>
      <c r="C1384" s="3">
        <f t="shared" si="150"/>
        <v>45750</v>
      </c>
      <c r="D1384" s="4">
        <f t="shared" ca="1" si="152"/>
        <v>137</v>
      </c>
      <c r="E1384" s="2">
        <f t="shared" ca="1" si="153"/>
        <v>10523</v>
      </c>
      <c r="F1384" s="2">
        <f t="shared" ca="1" si="154"/>
        <v>11684</v>
      </c>
      <c r="G1384" s="2">
        <f t="shared" ca="1" si="155"/>
        <v>761</v>
      </c>
    </row>
    <row r="1385" spans="1:7" x14ac:dyDescent="0.3">
      <c r="A1385" s="5" t="str">
        <f t="shared" si="149"/>
        <v>Reebok</v>
      </c>
      <c r="B1385" s="5" t="str">
        <f t="shared" si="151"/>
        <v>Zig Kinetica</v>
      </c>
      <c r="C1385" s="3">
        <f t="shared" si="150"/>
        <v>45750</v>
      </c>
      <c r="D1385" s="4">
        <f t="shared" ca="1" si="152"/>
        <v>203</v>
      </c>
      <c r="E1385" s="2">
        <f t="shared" ca="1" si="153"/>
        <v>9786</v>
      </c>
      <c r="F1385" s="2">
        <f t="shared" ca="1" si="154"/>
        <v>26654</v>
      </c>
      <c r="G1385" s="2">
        <f t="shared" ca="1" si="155"/>
        <v>1828</v>
      </c>
    </row>
    <row r="1386" spans="1:7" x14ac:dyDescent="0.3">
      <c r="A1386" s="5" t="str">
        <f t="shared" si="149"/>
        <v>Nike</v>
      </c>
      <c r="B1386" s="5" t="str">
        <f t="shared" si="151"/>
        <v>Jordan 1</v>
      </c>
      <c r="C1386" s="3">
        <f t="shared" si="150"/>
        <v>45750</v>
      </c>
      <c r="D1386" s="4">
        <f t="shared" ca="1" si="152"/>
        <v>66</v>
      </c>
      <c r="E1386" s="2">
        <f t="shared" ca="1" si="153"/>
        <v>4281</v>
      </c>
      <c r="F1386" s="2">
        <f t="shared" ca="1" si="154"/>
        <v>14932</v>
      </c>
      <c r="G1386" s="2">
        <f t="shared" ca="1" si="155"/>
        <v>913</v>
      </c>
    </row>
    <row r="1387" spans="1:7" x14ac:dyDescent="0.3">
      <c r="A1387" s="5" t="str">
        <f t="shared" ref="A1387:A1450" si="156">CHOOSE(MOD(ROW(A1386),5)+1,"Nike","Adidas","Puma","New Balance","Reebok")</f>
        <v>Adidas</v>
      </c>
      <c r="B1387" s="5" t="str">
        <f t="shared" si="151"/>
        <v>Ultraboost 23</v>
      </c>
      <c r="C1387" s="3">
        <f t="shared" ref="C1387:C1450" si="157">DATE(2025,1,1)+INT((ROW(A1387)-2)/15)</f>
        <v>45750</v>
      </c>
      <c r="D1387" s="4">
        <f t="shared" ca="1" si="152"/>
        <v>61</v>
      </c>
      <c r="E1387" s="2">
        <f t="shared" ca="1" si="153"/>
        <v>11571</v>
      </c>
      <c r="F1387" s="2">
        <f t="shared" ca="1" si="154"/>
        <v>34516</v>
      </c>
      <c r="G1387" s="2">
        <f t="shared" ca="1" si="155"/>
        <v>2562</v>
      </c>
    </row>
    <row r="1388" spans="1:7" x14ac:dyDescent="0.3">
      <c r="A1388" s="5" t="str">
        <f t="shared" si="156"/>
        <v>Puma</v>
      </c>
      <c r="B1388" s="5" t="str">
        <f t="shared" si="151"/>
        <v>RS-X</v>
      </c>
      <c r="C1388" s="3">
        <f t="shared" si="157"/>
        <v>45750</v>
      </c>
      <c r="D1388" s="4">
        <f t="shared" ca="1" si="152"/>
        <v>45</v>
      </c>
      <c r="E1388" s="2">
        <f t="shared" ca="1" si="153"/>
        <v>3706</v>
      </c>
      <c r="F1388" s="2">
        <f t="shared" ca="1" si="154"/>
        <v>28807</v>
      </c>
      <c r="G1388" s="2">
        <f t="shared" ca="1" si="155"/>
        <v>1503</v>
      </c>
    </row>
    <row r="1389" spans="1:7" x14ac:dyDescent="0.3">
      <c r="A1389" s="5" t="str">
        <f t="shared" si="156"/>
        <v>New Balance</v>
      </c>
      <c r="B1389" s="5" t="str">
        <f t="shared" si="151"/>
        <v>2002R</v>
      </c>
      <c r="C1389" s="3">
        <f t="shared" si="157"/>
        <v>45750</v>
      </c>
      <c r="D1389" s="4">
        <f t="shared" ca="1" si="152"/>
        <v>135</v>
      </c>
      <c r="E1389" s="2">
        <f t="shared" ca="1" si="153"/>
        <v>1885</v>
      </c>
      <c r="F1389" s="2">
        <f t="shared" ca="1" si="154"/>
        <v>13408</v>
      </c>
      <c r="G1389" s="2">
        <f t="shared" ca="1" si="155"/>
        <v>505</v>
      </c>
    </row>
    <row r="1390" spans="1:7" x14ac:dyDescent="0.3">
      <c r="A1390" s="5" t="str">
        <f t="shared" si="156"/>
        <v>Reebok</v>
      </c>
      <c r="B1390" s="5" t="str">
        <f t="shared" si="151"/>
        <v>Instapump Fury</v>
      </c>
      <c r="C1390" s="3">
        <f t="shared" si="157"/>
        <v>45750</v>
      </c>
      <c r="D1390" s="4">
        <f t="shared" ca="1" si="152"/>
        <v>108</v>
      </c>
      <c r="E1390" s="2">
        <f t="shared" ca="1" si="153"/>
        <v>3489</v>
      </c>
      <c r="F1390" s="2">
        <f t="shared" ca="1" si="154"/>
        <v>24007</v>
      </c>
      <c r="G1390" s="2">
        <f t="shared" ca="1" si="155"/>
        <v>1429</v>
      </c>
    </row>
    <row r="1391" spans="1:7" x14ac:dyDescent="0.3">
      <c r="A1391" s="5" t="str">
        <f t="shared" si="156"/>
        <v>Nike</v>
      </c>
      <c r="B1391" s="5" t="str">
        <f t="shared" si="151"/>
        <v>Cortez</v>
      </c>
      <c r="C1391" s="3">
        <f t="shared" si="157"/>
        <v>45750</v>
      </c>
      <c r="D1391" s="4">
        <f t="shared" ca="1" si="152"/>
        <v>148</v>
      </c>
      <c r="E1391" s="2">
        <f t="shared" ca="1" si="153"/>
        <v>4798</v>
      </c>
      <c r="F1391" s="2">
        <f t="shared" ca="1" si="154"/>
        <v>15608</v>
      </c>
      <c r="G1391" s="2">
        <f t="shared" ca="1" si="155"/>
        <v>855</v>
      </c>
    </row>
    <row r="1392" spans="1:7" x14ac:dyDescent="0.3">
      <c r="A1392" s="5" t="str">
        <f t="shared" si="156"/>
        <v>Adidas</v>
      </c>
      <c r="B1392" s="5" t="str">
        <f t="shared" si="151"/>
        <v>NMD S1</v>
      </c>
      <c r="C1392" s="3">
        <f t="shared" si="157"/>
        <v>45750</v>
      </c>
      <c r="D1392" s="4">
        <f t="shared" ca="1" si="152"/>
        <v>167</v>
      </c>
      <c r="E1392" s="2">
        <f t="shared" ca="1" si="153"/>
        <v>2195</v>
      </c>
      <c r="F1392" s="2">
        <f t="shared" ca="1" si="154"/>
        <v>7785</v>
      </c>
      <c r="G1392" s="2">
        <f t="shared" ca="1" si="155"/>
        <v>202</v>
      </c>
    </row>
    <row r="1393" spans="1:7" x14ac:dyDescent="0.3">
      <c r="A1393" s="5" t="str">
        <f t="shared" si="156"/>
        <v>Puma</v>
      </c>
      <c r="B1393" s="5" t="str">
        <f t="shared" si="151"/>
        <v>Suede Classic</v>
      </c>
      <c r="C1393" s="3">
        <f t="shared" si="157"/>
        <v>45750</v>
      </c>
      <c r="D1393" s="4">
        <f t="shared" ca="1" si="152"/>
        <v>168</v>
      </c>
      <c r="E1393" s="2">
        <f t="shared" ca="1" si="153"/>
        <v>1942</v>
      </c>
      <c r="F1393" s="2">
        <f t="shared" ca="1" si="154"/>
        <v>23430</v>
      </c>
      <c r="G1393" s="2">
        <f t="shared" ca="1" si="155"/>
        <v>570</v>
      </c>
    </row>
    <row r="1394" spans="1:7" x14ac:dyDescent="0.3">
      <c r="A1394" s="5" t="str">
        <f t="shared" si="156"/>
        <v>New Balance</v>
      </c>
      <c r="B1394" s="5" t="str">
        <f t="shared" si="151"/>
        <v>990v6</v>
      </c>
      <c r="C1394" s="3">
        <f t="shared" si="157"/>
        <v>45750</v>
      </c>
      <c r="D1394" s="4">
        <f t="shared" ca="1" si="152"/>
        <v>58</v>
      </c>
      <c r="E1394" s="2">
        <f t="shared" ca="1" si="153"/>
        <v>5931</v>
      </c>
      <c r="F1394" s="2">
        <f t="shared" ca="1" si="154"/>
        <v>12879</v>
      </c>
      <c r="G1394" s="2">
        <f t="shared" ca="1" si="155"/>
        <v>627</v>
      </c>
    </row>
    <row r="1395" spans="1:7" x14ac:dyDescent="0.3">
      <c r="A1395" s="5" t="str">
        <f t="shared" si="156"/>
        <v>Reebok</v>
      </c>
      <c r="B1395" s="5" t="str">
        <f t="shared" si="151"/>
        <v>Nano X3</v>
      </c>
      <c r="C1395" s="3">
        <f t="shared" si="157"/>
        <v>45750</v>
      </c>
      <c r="D1395" s="4">
        <f t="shared" ca="1" si="152"/>
        <v>116</v>
      </c>
      <c r="E1395" s="2">
        <f t="shared" ca="1" si="153"/>
        <v>4575</v>
      </c>
      <c r="F1395" s="2">
        <f t="shared" ca="1" si="154"/>
        <v>34539</v>
      </c>
      <c r="G1395" s="2">
        <f t="shared" ca="1" si="155"/>
        <v>1164</v>
      </c>
    </row>
    <row r="1396" spans="1:7" x14ac:dyDescent="0.3">
      <c r="A1396" s="5" t="str">
        <f t="shared" si="156"/>
        <v>Nike</v>
      </c>
      <c r="B1396" s="5" t="str">
        <f t="shared" si="151"/>
        <v>Vaporfly 3</v>
      </c>
      <c r="C1396" s="3">
        <f t="shared" si="157"/>
        <v>45750</v>
      </c>
      <c r="D1396" s="4">
        <f t="shared" ca="1" si="152"/>
        <v>169</v>
      </c>
      <c r="E1396" s="2">
        <f t="shared" ca="1" si="153"/>
        <v>10208</v>
      </c>
      <c r="F1396" s="2">
        <f t="shared" ca="1" si="154"/>
        <v>6303</v>
      </c>
      <c r="G1396" s="2">
        <f t="shared" ca="1" si="155"/>
        <v>302</v>
      </c>
    </row>
    <row r="1397" spans="1:7" x14ac:dyDescent="0.3">
      <c r="A1397" s="5" t="str">
        <f t="shared" si="156"/>
        <v>Adidas</v>
      </c>
      <c r="B1397" s="5" t="str">
        <f t="shared" si="151"/>
        <v>Samba</v>
      </c>
      <c r="C1397" s="3">
        <f t="shared" si="157"/>
        <v>45751</v>
      </c>
      <c r="D1397" s="4">
        <f t="shared" ca="1" si="152"/>
        <v>104</v>
      </c>
      <c r="E1397" s="2">
        <f t="shared" ca="1" si="153"/>
        <v>1425</v>
      </c>
      <c r="F1397" s="2">
        <f t="shared" ca="1" si="154"/>
        <v>27177</v>
      </c>
      <c r="G1397" s="2">
        <f t="shared" ca="1" si="155"/>
        <v>1676</v>
      </c>
    </row>
    <row r="1398" spans="1:7" x14ac:dyDescent="0.3">
      <c r="A1398" s="5" t="str">
        <f t="shared" si="156"/>
        <v>Puma</v>
      </c>
      <c r="B1398" s="5" t="str">
        <f t="shared" si="151"/>
        <v>Mayze</v>
      </c>
      <c r="C1398" s="3">
        <f t="shared" si="157"/>
        <v>45751</v>
      </c>
      <c r="D1398" s="4">
        <f t="shared" ca="1" si="152"/>
        <v>104</v>
      </c>
      <c r="E1398" s="2">
        <f t="shared" ca="1" si="153"/>
        <v>3559</v>
      </c>
      <c r="F1398" s="2">
        <f t="shared" ca="1" si="154"/>
        <v>15017</v>
      </c>
      <c r="G1398" s="2">
        <f t="shared" ca="1" si="155"/>
        <v>1074</v>
      </c>
    </row>
    <row r="1399" spans="1:7" x14ac:dyDescent="0.3">
      <c r="A1399" s="5" t="str">
        <f t="shared" si="156"/>
        <v>New Balance</v>
      </c>
      <c r="B1399" s="5" t="str">
        <f t="shared" si="151"/>
        <v>574 Core</v>
      </c>
      <c r="C1399" s="3">
        <f t="shared" si="157"/>
        <v>45751</v>
      </c>
      <c r="D1399" s="4">
        <f t="shared" ca="1" si="152"/>
        <v>144</v>
      </c>
      <c r="E1399" s="2">
        <f t="shared" ca="1" si="153"/>
        <v>7392</v>
      </c>
      <c r="F1399" s="2">
        <f t="shared" ca="1" si="154"/>
        <v>16492</v>
      </c>
      <c r="G1399" s="2">
        <f t="shared" ca="1" si="155"/>
        <v>410</v>
      </c>
    </row>
    <row r="1400" spans="1:7" x14ac:dyDescent="0.3">
      <c r="A1400" s="5" t="str">
        <f t="shared" si="156"/>
        <v>Reebok</v>
      </c>
      <c r="B1400" s="5" t="str">
        <f t="shared" si="151"/>
        <v>Club C 85</v>
      </c>
      <c r="C1400" s="3">
        <f t="shared" si="157"/>
        <v>45751</v>
      </c>
      <c r="D1400" s="4">
        <f t="shared" ca="1" si="152"/>
        <v>250</v>
      </c>
      <c r="E1400" s="2">
        <f t="shared" ca="1" si="153"/>
        <v>7024</v>
      </c>
      <c r="F1400" s="2">
        <f t="shared" ca="1" si="154"/>
        <v>24826</v>
      </c>
      <c r="G1400" s="2">
        <f t="shared" ca="1" si="155"/>
        <v>1489</v>
      </c>
    </row>
    <row r="1401" spans="1:7" x14ac:dyDescent="0.3">
      <c r="A1401" s="5" t="str">
        <f t="shared" si="156"/>
        <v>Nike</v>
      </c>
      <c r="B1401" s="5" t="str">
        <f t="shared" si="151"/>
        <v>Pegasus 40</v>
      </c>
      <c r="C1401" s="3">
        <f t="shared" si="157"/>
        <v>45751</v>
      </c>
      <c r="D1401" s="4">
        <f t="shared" ca="1" si="152"/>
        <v>41</v>
      </c>
      <c r="E1401" s="2">
        <f t="shared" ca="1" si="153"/>
        <v>10605</v>
      </c>
      <c r="F1401" s="2">
        <f t="shared" ca="1" si="154"/>
        <v>24463</v>
      </c>
      <c r="G1401" s="2">
        <f t="shared" ca="1" si="155"/>
        <v>1686</v>
      </c>
    </row>
    <row r="1402" spans="1:7" x14ac:dyDescent="0.3">
      <c r="A1402" s="5" t="str">
        <f t="shared" si="156"/>
        <v>Adidas</v>
      </c>
      <c r="B1402" s="5" t="str">
        <f t="shared" si="151"/>
        <v>Gazelle</v>
      </c>
      <c r="C1402" s="3">
        <f t="shared" si="157"/>
        <v>45751</v>
      </c>
      <c r="D1402" s="4">
        <f t="shared" ca="1" si="152"/>
        <v>83</v>
      </c>
      <c r="E1402" s="2">
        <f t="shared" ca="1" si="153"/>
        <v>5495</v>
      </c>
      <c r="F1402" s="2">
        <f t="shared" ca="1" si="154"/>
        <v>19637</v>
      </c>
      <c r="G1402" s="2">
        <f t="shared" ca="1" si="155"/>
        <v>492</v>
      </c>
    </row>
    <row r="1403" spans="1:7" x14ac:dyDescent="0.3">
      <c r="A1403" s="5" t="str">
        <f t="shared" si="156"/>
        <v>Puma</v>
      </c>
      <c r="B1403" s="5" t="str">
        <f t="shared" si="151"/>
        <v>Slipstream</v>
      </c>
      <c r="C1403" s="3">
        <f t="shared" si="157"/>
        <v>45751</v>
      </c>
      <c r="D1403" s="4">
        <f t="shared" ca="1" si="152"/>
        <v>239</v>
      </c>
      <c r="E1403" s="2">
        <f t="shared" ca="1" si="153"/>
        <v>10279</v>
      </c>
      <c r="F1403" s="2">
        <f t="shared" ca="1" si="154"/>
        <v>11113</v>
      </c>
      <c r="G1403" s="2">
        <f t="shared" ca="1" si="155"/>
        <v>453</v>
      </c>
    </row>
    <row r="1404" spans="1:7" x14ac:dyDescent="0.3">
      <c r="A1404" s="5" t="str">
        <f t="shared" si="156"/>
        <v>New Balance</v>
      </c>
      <c r="B1404" s="5" t="str">
        <f t="shared" si="151"/>
        <v>550</v>
      </c>
      <c r="C1404" s="3">
        <f t="shared" si="157"/>
        <v>45751</v>
      </c>
      <c r="D1404" s="4">
        <f t="shared" ca="1" si="152"/>
        <v>23</v>
      </c>
      <c r="E1404" s="2">
        <f t="shared" ca="1" si="153"/>
        <v>8072</v>
      </c>
      <c r="F1404" s="2">
        <f t="shared" ca="1" si="154"/>
        <v>32827</v>
      </c>
      <c r="G1404" s="2">
        <f t="shared" ca="1" si="155"/>
        <v>2164</v>
      </c>
    </row>
    <row r="1405" spans="1:7" x14ac:dyDescent="0.3">
      <c r="A1405" s="5" t="str">
        <f t="shared" si="156"/>
        <v>Reebok</v>
      </c>
      <c r="B1405" s="5" t="str">
        <f t="shared" si="151"/>
        <v>Classic Leather</v>
      </c>
      <c r="C1405" s="3">
        <f t="shared" si="157"/>
        <v>45751</v>
      </c>
      <c r="D1405" s="4">
        <f t="shared" ca="1" si="152"/>
        <v>42</v>
      </c>
      <c r="E1405" s="2">
        <f t="shared" ca="1" si="153"/>
        <v>10380</v>
      </c>
      <c r="F1405" s="2">
        <f t="shared" ca="1" si="154"/>
        <v>17290</v>
      </c>
      <c r="G1405" s="2">
        <f t="shared" ca="1" si="155"/>
        <v>420</v>
      </c>
    </row>
    <row r="1406" spans="1:7" x14ac:dyDescent="0.3">
      <c r="A1406" s="5" t="str">
        <f t="shared" si="156"/>
        <v>Nike</v>
      </c>
      <c r="B1406" s="5" t="str">
        <f t="shared" si="151"/>
        <v>Air Force 1</v>
      </c>
      <c r="C1406" s="3">
        <f t="shared" si="157"/>
        <v>45751</v>
      </c>
      <c r="D1406" s="4">
        <f t="shared" ca="1" si="152"/>
        <v>40</v>
      </c>
      <c r="E1406" s="2">
        <f t="shared" ca="1" si="153"/>
        <v>2495</v>
      </c>
      <c r="F1406" s="2">
        <f t="shared" ca="1" si="154"/>
        <v>32922</v>
      </c>
      <c r="G1406" s="2">
        <f t="shared" ca="1" si="155"/>
        <v>932</v>
      </c>
    </row>
    <row r="1407" spans="1:7" x14ac:dyDescent="0.3">
      <c r="A1407" s="5" t="str">
        <f t="shared" si="156"/>
        <v>Adidas</v>
      </c>
      <c r="B1407" s="5" t="str">
        <f t="shared" si="151"/>
        <v>Superstar</v>
      </c>
      <c r="C1407" s="3">
        <f t="shared" si="157"/>
        <v>45751</v>
      </c>
      <c r="D1407" s="4">
        <f t="shared" ca="1" si="152"/>
        <v>233</v>
      </c>
      <c r="E1407" s="2">
        <f t="shared" ca="1" si="153"/>
        <v>10873</v>
      </c>
      <c r="F1407" s="2">
        <f t="shared" ca="1" si="154"/>
        <v>14989</v>
      </c>
      <c r="G1407" s="2">
        <f t="shared" ca="1" si="155"/>
        <v>1088</v>
      </c>
    </row>
    <row r="1408" spans="1:7" x14ac:dyDescent="0.3">
      <c r="A1408" s="5" t="str">
        <f t="shared" si="156"/>
        <v>Puma</v>
      </c>
      <c r="B1408" s="5" t="str">
        <f t="shared" si="151"/>
        <v>Rider Vintage</v>
      </c>
      <c r="C1408" s="3">
        <f t="shared" si="157"/>
        <v>45751</v>
      </c>
      <c r="D1408" s="4">
        <f t="shared" ca="1" si="152"/>
        <v>198</v>
      </c>
      <c r="E1408" s="2">
        <f t="shared" ca="1" si="153"/>
        <v>7704</v>
      </c>
      <c r="F1408" s="2">
        <f t="shared" ca="1" si="154"/>
        <v>14709</v>
      </c>
      <c r="G1408" s="2">
        <f t="shared" ca="1" si="155"/>
        <v>1136</v>
      </c>
    </row>
    <row r="1409" spans="1:7" x14ac:dyDescent="0.3">
      <c r="A1409" s="5" t="str">
        <f t="shared" si="156"/>
        <v>New Balance</v>
      </c>
      <c r="B1409" s="5" t="str">
        <f t="shared" si="151"/>
        <v>327</v>
      </c>
      <c r="C1409" s="3">
        <f t="shared" si="157"/>
        <v>45751</v>
      </c>
      <c r="D1409" s="4">
        <f t="shared" ca="1" si="152"/>
        <v>216</v>
      </c>
      <c r="E1409" s="2">
        <f t="shared" ca="1" si="153"/>
        <v>11620</v>
      </c>
      <c r="F1409" s="2">
        <f t="shared" ca="1" si="154"/>
        <v>7592</v>
      </c>
      <c r="G1409" s="2">
        <f t="shared" ca="1" si="155"/>
        <v>284</v>
      </c>
    </row>
    <row r="1410" spans="1:7" x14ac:dyDescent="0.3">
      <c r="A1410" s="5" t="str">
        <f t="shared" si="156"/>
        <v>Reebok</v>
      </c>
      <c r="B1410" s="5" t="str">
        <f t="shared" si="151"/>
        <v>Question Mid</v>
      </c>
      <c r="C1410" s="3">
        <f t="shared" si="157"/>
        <v>45751</v>
      </c>
      <c r="D1410" s="4">
        <f t="shared" ca="1" si="152"/>
        <v>242</v>
      </c>
      <c r="E1410" s="2">
        <f t="shared" ca="1" si="153"/>
        <v>3518</v>
      </c>
      <c r="F1410" s="2">
        <f t="shared" ca="1" si="154"/>
        <v>21282</v>
      </c>
      <c r="G1410" s="2">
        <f t="shared" ca="1" si="155"/>
        <v>529</v>
      </c>
    </row>
    <row r="1411" spans="1:7" x14ac:dyDescent="0.3">
      <c r="A1411" s="5" t="str">
        <f t="shared" si="156"/>
        <v>Nike</v>
      </c>
      <c r="B1411" s="5" t="str">
        <f t="shared" ref="B1411:B1474" si="158">IF(A1411="Nike",CHOOSE(MOD(ROW(A1410),6)+1,"Air Max 270","Air Force 1","Pegasus 40","Vaporfly 3","Cortez","Jordan 1"),
 IF(A1411="Adidas",CHOOSE(MOD(ROW(A1410),6)+1,"Ultraboost 23","Stan Smith","Superstar","Gazelle","Samba","NMD S1"),
 IF(A1411="Puma",CHOOSE(MOD(ROW(A1410),6)+1,"Suede Classic","RS-X","Cali Dream","Rider Vintage","Slipstream","Mayze"),
 IF(A1411="New Balance",CHOOSE(MOD(ROW(A1410),6)+1,"574 Core","990v6","2002R","9060","327","550"),
 IF(A1411="Reebok",CHOOSE(MOD(ROW(A1410),6)+1,"Classic Leather","Club C 85","Nano X3","Instapump Fury","Zig Kinetica","Question Mid"),"")))))</f>
        <v>Air Max 270</v>
      </c>
      <c r="C1411" s="3">
        <f t="shared" si="157"/>
        <v>45751</v>
      </c>
      <c r="D1411" s="4">
        <f t="shared" ref="D1411:D1474" ca="1" si="159">RANDBETWEEN(20,250)</f>
        <v>200</v>
      </c>
      <c r="E1411" s="2">
        <f t="shared" ref="E1411:E1474" ca="1" si="160">ROUND(RANDBETWEEN(1500,12000)+(RANDBETWEEN(-200,200)),2)</f>
        <v>2190</v>
      </c>
      <c r="F1411" s="2">
        <f t="shared" ref="F1411:F1474" ca="1" si="161">RANDBETWEEN(5000,35000)</f>
        <v>11238</v>
      </c>
      <c r="G1411" s="2">
        <f t="shared" ref="G1411:G1474" ca="1" si="162">RANDBETWEEN(ROUND(F1411*0.02,0),ROUND(F1411*0.08,0))</f>
        <v>665</v>
      </c>
    </row>
    <row r="1412" spans="1:7" x14ac:dyDescent="0.3">
      <c r="A1412" s="5" t="str">
        <f t="shared" si="156"/>
        <v>Adidas</v>
      </c>
      <c r="B1412" s="5" t="str">
        <f t="shared" si="158"/>
        <v>Stan Smith</v>
      </c>
      <c r="C1412" s="3">
        <f t="shared" si="157"/>
        <v>45752</v>
      </c>
      <c r="D1412" s="4">
        <f t="shared" ca="1" si="159"/>
        <v>34</v>
      </c>
      <c r="E1412" s="2">
        <f t="shared" ca="1" si="160"/>
        <v>5605</v>
      </c>
      <c r="F1412" s="2">
        <f t="shared" ca="1" si="161"/>
        <v>27425</v>
      </c>
      <c r="G1412" s="2">
        <f t="shared" ca="1" si="162"/>
        <v>1797</v>
      </c>
    </row>
    <row r="1413" spans="1:7" x14ac:dyDescent="0.3">
      <c r="A1413" s="5" t="str">
        <f t="shared" si="156"/>
        <v>Puma</v>
      </c>
      <c r="B1413" s="5" t="str">
        <f t="shared" si="158"/>
        <v>Cali Dream</v>
      </c>
      <c r="C1413" s="3">
        <f t="shared" si="157"/>
        <v>45752</v>
      </c>
      <c r="D1413" s="4">
        <f t="shared" ca="1" si="159"/>
        <v>235</v>
      </c>
      <c r="E1413" s="2">
        <f t="shared" ca="1" si="160"/>
        <v>3500</v>
      </c>
      <c r="F1413" s="2">
        <f t="shared" ca="1" si="161"/>
        <v>21428</v>
      </c>
      <c r="G1413" s="2">
        <f t="shared" ca="1" si="162"/>
        <v>517</v>
      </c>
    </row>
    <row r="1414" spans="1:7" x14ac:dyDescent="0.3">
      <c r="A1414" s="5" t="str">
        <f t="shared" si="156"/>
        <v>New Balance</v>
      </c>
      <c r="B1414" s="5" t="str">
        <f t="shared" si="158"/>
        <v>9060</v>
      </c>
      <c r="C1414" s="3">
        <f t="shared" si="157"/>
        <v>45752</v>
      </c>
      <c r="D1414" s="4">
        <f t="shared" ca="1" si="159"/>
        <v>23</v>
      </c>
      <c r="E1414" s="2">
        <f t="shared" ca="1" si="160"/>
        <v>6059</v>
      </c>
      <c r="F1414" s="2">
        <f t="shared" ca="1" si="161"/>
        <v>27193</v>
      </c>
      <c r="G1414" s="2">
        <f t="shared" ca="1" si="162"/>
        <v>1261</v>
      </c>
    </row>
    <row r="1415" spans="1:7" x14ac:dyDescent="0.3">
      <c r="A1415" s="5" t="str">
        <f t="shared" si="156"/>
        <v>Reebok</v>
      </c>
      <c r="B1415" s="5" t="str">
        <f t="shared" si="158"/>
        <v>Zig Kinetica</v>
      </c>
      <c r="C1415" s="3">
        <f t="shared" si="157"/>
        <v>45752</v>
      </c>
      <c r="D1415" s="4">
        <f t="shared" ca="1" si="159"/>
        <v>89</v>
      </c>
      <c r="E1415" s="2">
        <f t="shared" ca="1" si="160"/>
        <v>6761</v>
      </c>
      <c r="F1415" s="2">
        <f t="shared" ca="1" si="161"/>
        <v>10306</v>
      </c>
      <c r="G1415" s="2">
        <f t="shared" ca="1" si="162"/>
        <v>425</v>
      </c>
    </row>
    <row r="1416" spans="1:7" x14ac:dyDescent="0.3">
      <c r="A1416" s="5" t="str">
        <f t="shared" si="156"/>
        <v>Nike</v>
      </c>
      <c r="B1416" s="5" t="str">
        <f t="shared" si="158"/>
        <v>Jordan 1</v>
      </c>
      <c r="C1416" s="3">
        <f t="shared" si="157"/>
        <v>45752</v>
      </c>
      <c r="D1416" s="4">
        <f t="shared" ca="1" si="159"/>
        <v>108</v>
      </c>
      <c r="E1416" s="2">
        <f t="shared" ca="1" si="160"/>
        <v>6810</v>
      </c>
      <c r="F1416" s="2">
        <f t="shared" ca="1" si="161"/>
        <v>30158</v>
      </c>
      <c r="G1416" s="2">
        <f t="shared" ca="1" si="162"/>
        <v>1437</v>
      </c>
    </row>
    <row r="1417" spans="1:7" x14ac:dyDescent="0.3">
      <c r="A1417" s="5" t="str">
        <f t="shared" si="156"/>
        <v>Adidas</v>
      </c>
      <c r="B1417" s="5" t="str">
        <f t="shared" si="158"/>
        <v>Ultraboost 23</v>
      </c>
      <c r="C1417" s="3">
        <f t="shared" si="157"/>
        <v>45752</v>
      </c>
      <c r="D1417" s="4">
        <f t="shared" ca="1" si="159"/>
        <v>250</v>
      </c>
      <c r="E1417" s="2">
        <f t="shared" ca="1" si="160"/>
        <v>6934</v>
      </c>
      <c r="F1417" s="2">
        <f t="shared" ca="1" si="161"/>
        <v>29756</v>
      </c>
      <c r="G1417" s="2">
        <f t="shared" ca="1" si="162"/>
        <v>1896</v>
      </c>
    </row>
    <row r="1418" spans="1:7" x14ac:dyDescent="0.3">
      <c r="A1418" s="5" t="str">
        <f t="shared" si="156"/>
        <v>Puma</v>
      </c>
      <c r="B1418" s="5" t="str">
        <f t="shared" si="158"/>
        <v>RS-X</v>
      </c>
      <c r="C1418" s="3">
        <f t="shared" si="157"/>
        <v>45752</v>
      </c>
      <c r="D1418" s="4">
        <f t="shared" ca="1" si="159"/>
        <v>116</v>
      </c>
      <c r="E1418" s="2">
        <f t="shared" ca="1" si="160"/>
        <v>5288</v>
      </c>
      <c r="F1418" s="2">
        <f t="shared" ca="1" si="161"/>
        <v>8591</v>
      </c>
      <c r="G1418" s="2">
        <f t="shared" ca="1" si="162"/>
        <v>554</v>
      </c>
    </row>
    <row r="1419" spans="1:7" x14ac:dyDescent="0.3">
      <c r="A1419" s="5" t="str">
        <f t="shared" si="156"/>
        <v>New Balance</v>
      </c>
      <c r="B1419" s="5" t="str">
        <f t="shared" si="158"/>
        <v>2002R</v>
      </c>
      <c r="C1419" s="3">
        <f t="shared" si="157"/>
        <v>45752</v>
      </c>
      <c r="D1419" s="4">
        <f t="shared" ca="1" si="159"/>
        <v>135</v>
      </c>
      <c r="E1419" s="2">
        <f t="shared" ca="1" si="160"/>
        <v>4773</v>
      </c>
      <c r="F1419" s="2">
        <f t="shared" ca="1" si="161"/>
        <v>33154</v>
      </c>
      <c r="G1419" s="2">
        <f t="shared" ca="1" si="162"/>
        <v>2078</v>
      </c>
    </row>
    <row r="1420" spans="1:7" x14ac:dyDescent="0.3">
      <c r="A1420" s="5" t="str">
        <f t="shared" si="156"/>
        <v>Reebok</v>
      </c>
      <c r="B1420" s="5" t="str">
        <f t="shared" si="158"/>
        <v>Instapump Fury</v>
      </c>
      <c r="C1420" s="3">
        <f t="shared" si="157"/>
        <v>45752</v>
      </c>
      <c r="D1420" s="4">
        <f t="shared" ca="1" si="159"/>
        <v>54</v>
      </c>
      <c r="E1420" s="2">
        <f t="shared" ca="1" si="160"/>
        <v>11096</v>
      </c>
      <c r="F1420" s="2">
        <f t="shared" ca="1" si="161"/>
        <v>12701</v>
      </c>
      <c r="G1420" s="2">
        <f t="shared" ca="1" si="162"/>
        <v>833</v>
      </c>
    </row>
    <row r="1421" spans="1:7" x14ac:dyDescent="0.3">
      <c r="A1421" s="5" t="str">
        <f t="shared" si="156"/>
        <v>Nike</v>
      </c>
      <c r="B1421" s="5" t="str">
        <f t="shared" si="158"/>
        <v>Cortez</v>
      </c>
      <c r="C1421" s="3">
        <f t="shared" si="157"/>
        <v>45752</v>
      </c>
      <c r="D1421" s="4">
        <f t="shared" ca="1" si="159"/>
        <v>237</v>
      </c>
      <c r="E1421" s="2">
        <f t="shared" ca="1" si="160"/>
        <v>1681</v>
      </c>
      <c r="F1421" s="2">
        <f t="shared" ca="1" si="161"/>
        <v>11294</v>
      </c>
      <c r="G1421" s="2">
        <f t="shared" ca="1" si="162"/>
        <v>550</v>
      </c>
    </row>
    <row r="1422" spans="1:7" x14ac:dyDescent="0.3">
      <c r="A1422" s="5" t="str">
        <f t="shared" si="156"/>
        <v>Adidas</v>
      </c>
      <c r="B1422" s="5" t="str">
        <f t="shared" si="158"/>
        <v>NMD S1</v>
      </c>
      <c r="C1422" s="3">
        <f t="shared" si="157"/>
        <v>45752</v>
      </c>
      <c r="D1422" s="4">
        <f t="shared" ca="1" si="159"/>
        <v>67</v>
      </c>
      <c r="E1422" s="2">
        <f t="shared" ca="1" si="160"/>
        <v>9374</v>
      </c>
      <c r="F1422" s="2">
        <f t="shared" ca="1" si="161"/>
        <v>25960</v>
      </c>
      <c r="G1422" s="2">
        <f t="shared" ca="1" si="162"/>
        <v>1967</v>
      </c>
    </row>
    <row r="1423" spans="1:7" x14ac:dyDescent="0.3">
      <c r="A1423" s="5" t="str">
        <f t="shared" si="156"/>
        <v>Puma</v>
      </c>
      <c r="B1423" s="5" t="str">
        <f t="shared" si="158"/>
        <v>Suede Classic</v>
      </c>
      <c r="C1423" s="3">
        <f t="shared" si="157"/>
        <v>45752</v>
      </c>
      <c r="D1423" s="4">
        <f t="shared" ca="1" si="159"/>
        <v>228</v>
      </c>
      <c r="E1423" s="2">
        <f t="shared" ca="1" si="160"/>
        <v>7176</v>
      </c>
      <c r="F1423" s="2">
        <f t="shared" ca="1" si="161"/>
        <v>18153</v>
      </c>
      <c r="G1423" s="2">
        <f t="shared" ca="1" si="162"/>
        <v>382</v>
      </c>
    </row>
    <row r="1424" spans="1:7" x14ac:dyDescent="0.3">
      <c r="A1424" s="5" t="str">
        <f t="shared" si="156"/>
        <v>New Balance</v>
      </c>
      <c r="B1424" s="5" t="str">
        <f t="shared" si="158"/>
        <v>990v6</v>
      </c>
      <c r="C1424" s="3">
        <f t="shared" si="157"/>
        <v>45752</v>
      </c>
      <c r="D1424" s="4">
        <f t="shared" ca="1" si="159"/>
        <v>120</v>
      </c>
      <c r="E1424" s="2">
        <f t="shared" ca="1" si="160"/>
        <v>11476</v>
      </c>
      <c r="F1424" s="2">
        <f t="shared" ca="1" si="161"/>
        <v>19660</v>
      </c>
      <c r="G1424" s="2">
        <f t="shared" ca="1" si="162"/>
        <v>1222</v>
      </c>
    </row>
    <row r="1425" spans="1:7" x14ac:dyDescent="0.3">
      <c r="A1425" s="5" t="str">
        <f t="shared" si="156"/>
        <v>Reebok</v>
      </c>
      <c r="B1425" s="5" t="str">
        <f t="shared" si="158"/>
        <v>Nano X3</v>
      </c>
      <c r="C1425" s="3">
        <f t="shared" si="157"/>
        <v>45752</v>
      </c>
      <c r="D1425" s="4">
        <f t="shared" ca="1" si="159"/>
        <v>171</v>
      </c>
      <c r="E1425" s="2">
        <f t="shared" ca="1" si="160"/>
        <v>7003</v>
      </c>
      <c r="F1425" s="2">
        <f t="shared" ca="1" si="161"/>
        <v>14487</v>
      </c>
      <c r="G1425" s="2">
        <f t="shared" ca="1" si="162"/>
        <v>1088</v>
      </c>
    </row>
    <row r="1426" spans="1:7" x14ac:dyDescent="0.3">
      <c r="A1426" s="5" t="str">
        <f t="shared" si="156"/>
        <v>Nike</v>
      </c>
      <c r="B1426" s="5" t="str">
        <f t="shared" si="158"/>
        <v>Vaporfly 3</v>
      </c>
      <c r="C1426" s="3">
        <f t="shared" si="157"/>
        <v>45752</v>
      </c>
      <c r="D1426" s="4">
        <f t="shared" ca="1" si="159"/>
        <v>167</v>
      </c>
      <c r="E1426" s="2">
        <f t="shared" ca="1" si="160"/>
        <v>8015</v>
      </c>
      <c r="F1426" s="2">
        <f t="shared" ca="1" si="161"/>
        <v>21194</v>
      </c>
      <c r="G1426" s="2">
        <f t="shared" ca="1" si="162"/>
        <v>657</v>
      </c>
    </row>
    <row r="1427" spans="1:7" x14ac:dyDescent="0.3">
      <c r="A1427" s="5" t="str">
        <f t="shared" si="156"/>
        <v>Adidas</v>
      </c>
      <c r="B1427" s="5" t="str">
        <f t="shared" si="158"/>
        <v>Samba</v>
      </c>
      <c r="C1427" s="3">
        <f t="shared" si="157"/>
        <v>45753</v>
      </c>
      <c r="D1427" s="4">
        <f t="shared" ca="1" si="159"/>
        <v>173</v>
      </c>
      <c r="E1427" s="2">
        <f t="shared" ca="1" si="160"/>
        <v>10574</v>
      </c>
      <c r="F1427" s="2">
        <f t="shared" ca="1" si="161"/>
        <v>19609</v>
      </c>
      <c r="G1427" s="2">
        <f t="shared" ca="1" si="162"/>
        <v>1152</v>
      </c>
    </row>
    <row r="1428" spans="1:7" x14ac:dyDescent="0.3">
      <c r="A1428" s="5" t="str">
        <f t="shared" si="156"/>
        <v>Puma</v>
      </c>
      <c r="B1428" s="5" t="str">
        <f t="shared" si="158"/>
        <v>Mayze</v>
      </c>
      <c r="C1428" s="3">
        <f t="shared" si="157"/>
        <v>45753</v>
      </c>
      <c r="D1428" s="4">
        <f t="shared" ca="1" si="159"/>
        <v>179</v>
      </c>
      <c r="E1428" s="2">
        <f t="shared" ca="1" si="160"/>
        <v>11814</v>
      </c>
      <c r="F1428" s="2">
        <f t="shared" ca="1" si="161"/>
        <v>14853</v>
      </c>
      <c r="G1428" s="2">
        <f t="shared" ca="1" si="162"/>
        <v>809</v>
      </c>
    </row>
    <row r="1429" spans="1:7" x14ac:dyDescent="0.3">
      <c r="A1429" s="5" t="str">
        <f t="shared" si="156"/>
        <v>New Balance</v>
      </c>
      <c r="B1429" s="5" t="str">
        <f t="shared" si="158"/>
        <v>574 Core</v>
      </c>
      <c r="C1429" s="3">
        <f t="shared" si="157"/>
        <v>45753</v>
      </c>
      <c r="D1429" s="4">
        <f t="shared" ca="1" si="159"/>
        <v>36</v>
      </c>
      <c r="E1429" s="2">
        <f t="shared" ca="1" si="160"/>
        <v>3873</v>
      </c>
      <c r="F1429" s="2">
        <f t="shared" ca="1" si="161"/>
        <v>19233</v>
      </c>
      <c r="G1429" s="2">
        <f t="shared" ca="1" si="162"/>
        <v>680</v>
      </c>
    </row>
    <row r="1430" spans="1:7" x14ac:dyDescent="0.3">
      <c r="A1430" s="5" t="str">
        <f t="shared" si="156"/>
        <v>Reebok</v>
      </c>
      <c r="B1430" s="5" t="str">
        <f t="shared" si="158"/>
        <v>Club C 85</v>
      </c>
      <c r="C1430" s="3">
        <f t="shared" si="157"/>
        <v>45753</v>
      </c>
      <c r="D1430" s="4">
        <f t="shared" ca="1" si="159"/>
        <v>159</v>
      </c>
      <c r="E1430" s="2">
        <f t="shared" ca="1" si="160"/>
        <v>9393</v>
      </c>
      <c r="F1430" s="2">
        <f t="shared" ca="1" si="161"/>
        <v>7243</v>
      </c>
      <c r="G1430" s="2">
        <f t="shared" ca="1" si="162"/>
        <v>436</v>
      </c>
    </row>
    <row r="1431" spans="1:7" x14ac:dyDescent="0.3">
      <c r="A1431" s="5" t="str">
        <f t="shared" si="156"/>
        <v>Nike</v>
      </c>
      <c r="B1431" s="5" t="str">
        <f t="shared" si="158"/>
        <v>Pegasus 40</v>
      </c>
      <c r="C1431" s="3">
        <f t="shared" si="157"/>
        <v>45753</v>
      </c>
      <c r="D1431" s="4">
        <f t="shared" ca="1" si="159"/>
        <v>67</v>
      </c>
      <c r="E1431" s="2">
        <f t="shared" ca="1" si="160"/>
        <v>4881</v>
      </c>
      <c r="F1431" s="2">
        <f t="shared" ca="1" si="161"/>
        <v>27481</v>
      </c>
      <c r="G1431" s="2">
        <f t="shared" ca="1" si="162"/>
        <v>1062</v>
      </c>
    </row>
    <row r="1432" spans="1:7" x14ac:dyDescent="0.3">
      <c r="A1432" s="5" t="str">
        <f t="shared" si="156"/>
        <v>Adidas</v>
      </c>
      <c r="B1432" s="5" t="str">
        <f t="shared" si="158"/>
        <v>Gazelle</v>
      </c>
      <c r="C1432" s="3">
        <f t="shared" si="157"/>
        <v>45753</v>
      </c>
      <c r="D1432" s="4">
        <f t="shared" ca="1" si="159"/>
        <v>199</v>
      </c>
      <c r="E1432" s="2">
        <f t="shared" ca="1" si="160"/>
        <v>5822</v>
      </c>
      <c r="F1432" s="2">
        <f t="shared" ca="1" si="161"/>
        <v>24720</v>
      </c>
      <c r="G1432" s="2">
        <f t="shared" ca="1" si="162"/>
        <v>1385</v>
      </c>
    </row>
    <row r="1433" spans="1:7" x14ac:dyDescent="0.3">
      <c r="A1433" s="5" t="str">
        <f t="shared" si="156"/>
        <v>Puma</v>
      </c>
      <c r="B1433" s="5" t="str">
        <f t="shared" si="158"/>
        <v>Slipstream</v>
      </c>
      <c r="C1433" s="3">
        <f t="shared" si="157"/>
        <v>45753</v>
      </c>
      <c r="D1433" s="4">
        <f t="shared" ca="1" si="159"/>
        <v>34</v>
      </c>
      <c r="E1433" s="2">
        <f t="shared" ca="1" si="160"/>
        <v>9190</v>
      </c>
      <c r="F1433" s="2">
        <f t="shared" ca="1" si="161"/>
        <v>7447</v>
      </c>
      <c r="G1433" s="2">
        <f t="shared" ca="1" si="162"/>
        <v>338</v>
      </c>
    </row>
    <row r="1434" spans="1:7" x14ac:dyDescent="0.3">
      <c r="A1434" s="5" t="str">
        <f t="shared" si="156"/>
        <v>New Balance</v>
      </c>
      <c r="B1434" s="5" t="str">
        <f t="shared" si="158"/>
        <v>550</v>
      </c>
      <c r="C1434" s="3">
        <f t="shared" si="157"/>
        <v>45753</v>
      </c>
      <c r="D1434" s="4">
        <f t="shared" ca="1" si="159"/>
        <v>158</v>
      </c>
      <c r="E1434" s="2">
        <f t="shared" ca="1" si="160"/>
        <v>8492</v>
      </c>
      <c r="F1434" s="2">
        <f t="shared" ca="1" si="161"/>
        <v>32246</v>
      </c>
      <c r="G1434" s="2">
        <f t="shared" ca="1" si="162"/>
        <v>1149</v>
      </c>
    </row>
    <row r="1435" spans="1:7" x14ac:dyDescent="0.3">
      <c r="A1435" s="5" t="str">
        <f t="shared" si="156"/>
        <v>Reebok</v>
      </c>
      <c r="B1435" s="5" t="str">
        <f t="shared" si="158"/>
        <v>Classic Leather</v>
      </c>
      <c r="C1435" s="3">
        <f t="shared" si="157"/>
        <v>45753</v>
      </c>
      <c r="D1435" s="4">
        <f t="shared" ca="1" si="159"/>
        <v>172</v>
      </c>
      <c r="E1435" s="2">
        <f t="shared" ca="1" si="160"/>
        <v>10615</v>
      </c>
      <c r="F1435" s="2">
        <f t="shared" ca="1" si="161"/>
        <v>5664</v>
      </c>
      <c r="G1435" s="2">
        <f t="shared" ca="1" si="162"/>
        <v>273</v>
      </c>
    </row>
    <row r="1436" spans="1:7" x14ac:dyDescent="0.3">
      <c r="A1436" s="5" t="str">
        <f t="shared" si="156"/>
        <v>Nike</v>
      </c>
      <c r="B1436" s="5" t="str">
        <f t="shared" si="158"/>
        <v>Air Force 1</v>
      </c>
      <c r="C1436" s="3">
        <f t="shared" si="157"/>
        <v>45753</v>
      </c>
      <c r="D1436" s="4">
        <f t="shared" ca="1" si="159"/>
        <v>132</v>
      </c>
      <c r="E1436" s="2">
        <f t="shared" ca="1" si="160"/>
        <v>4638</v>
      </c>
      <c r="F1436" s="2">
        <f t="shared" ca="1" si="161"/>
        <v>13316</v>
      </c>
      <c r="G1436" s="2">
        <f t="shared" ca="1" si="162"/>
        <v>641</v>
      </c>
    </row>
    <row r="1437" spans="1:7" x14ac:dyDescent="0.3">
      <c r="A1437" s="5" t="str">
        <f t="shared" si="156"/>
        <v>Adidas</v>
      </c>
      <c r="B1437" s="5" t="str">
        <f t="shared" si="158"/>
        <v>Superstar</v>
      </c>
      <c r="C1437" s="3">
        <f t="shared" si="157"/>
        <v>45753</v>
      </c>
      <c r="D1437" s="4">
        <f t="shared" ca="1" si="159"/>
        <v>153</v>
      </c>
      <c r="E1437" s="2">
        <f t="shared" ca="1" si="160"/>
        <v>4832</v>
      </c>
      <c r="F1437" s="2">
        <f t="shared" ca="1" si="161"/>
        <v>16755</v>
      </c>
      <c r="G1437" s="2">
        <f t="shared" ca="1" si="162"/>
        <v>1022</v>
      </c>
    </row>
    <row r="1438" spans="1:7" x14ac:dyDescent="0.3">
      <c r="A1438" s="5" t="str">
        <f t="shared" si="156"/>
        <v>Puma</v>
      </c>
      <c r="B1438" s="5" t="str">
        <f t="shared" si="158"/>
        <v>Rider Vintage</v>
      </c>
      <c r="C1438" s="3">
        <f t="shared" si="157"/>
        <v>45753</v>
      </c>
      <c r="D1438" s="4">
        <f t="shared" ca="1" si="159"/>
        <v>113</v>
      </c>
      <c r="E1438" s="2">
        <f t="shared" ca="1" si="160"/>
        <v>3453</v>
      </c>
      <c r="F1438" s="2">
        <f t="shared" ca="1" si="161"/>
        <v>26244</v>
      </c>
      <c r="G1438" s="2">
        <f t="shared" ca="1" si="162"/>
        <v>636</v>
      </c>
    </row>
    <row r="1439" spans="1:7" x14ac:dyDescent="0.3">
      <c r="A1439" s="5" t="str">
        <f t="shared" si="156"/>
        <v>New Balance</v>
      </c>
      <c r="B1439" s="5" t="str">
        <f t="shared" si="158"/>
        <v>327</v>
      </c>
      <c r="C1439" s="3">
        <f t="shared" si="157"/>
        <v>45753</v>
      </c>
      <c r="D1439" s="4">
        <f t="shared" ca="1" si="159"/>
        <v>199</v>
      </c>
      <c r="E1439" s="2">
        <f t="shared" ca="1" si="160"/>
        <v>12158</v>
      </c>
      <c r="F1439" s="2">
        <f t="shared" ca="1" si="161"/>
        <v>28259</v>
      </c>
      <c r="G1439" s="2">
        <f t="shared" ca="1" si="162"/>
        <v>1751</v>
      </c>
    </row>
    <row r="1440" spans="1:7" x14ac:dyDescent="0.3">
      <c r="A1440" s="5" t="str">
        <f t="shared" si="156"/>
        <v>Reebok</v>
      </c>
      <c r="B1440" s="5" t="str">
        <f t="shared" si="158"/>
        <v>Question Mid</v>
      </c>
      <c r="C1440" s="3">
        <f t="shared" si="157"/>
        <v>45753</v>
      </c>
      <c r="D1440" s="4">
        <f t="shared" ca="1" si="159"/>
        <v>84</v>
      </c>
      <c r="E1440" s="2">
        <f t="shared" ca="1" si="160"/>
        <v>3500</v>
      </c>
      <c r="F1440" s="2">
        <f t="shared" ca="1" si="161"/>
        <v>25461</v>
      </c>
      <c r="G1440" s="2">
        <f t="shared" ca="1" si="162"/>
        <v>1737</v>
      </c>
    </row>
    <row r="1441" spans="1:7" x14ac:dyDescent="0.3">
      <c r="A1441" s="5" t="str">
        <f t="shared" si="156"/>
        <v>Nike</v>
      </c>
      <c r="B1441" s="5" t="str">
        <f t="shared" si="158"/>
        <v>Air Max 270</v>
      </c>
      <c r="C1441" s="3">
        <f t="shared" si="157"/>
        <v>45753</v>
      </c>
      <c r="D1441" s="4">
        <f t="shared" ca="1" si="159"/>
        <v>154</v>
      </c>
      <c r="E1441" s="2">
        <f t="shared" ca="1" si="160"/>
        <v>8623</v>
      </c>
      <c r="F1441" s="2">
        <f t="shared" ca="1" si="161"/>
        <v>9423</v>
      </c>
      <c r="G1441" s="2">
        <f t="shared" ca="1" si="162"/>
        <v>481</v>
      </c>
    </row>
    <row r="1442" spans="1:7" x14ac:dyDescent="0.3">
      <c r="A1442" s="5" t="str">
        <f t="shared" si="156"/>
        <v>Adidas</v>
      </c>
      <c r="B1442" s="5" t="str">
        <f t="shared" si="158"/>
        <v>Stan Smith</v>
      </c>
      <c r="C1442" s="3">
        <f t="shared" si="157"/>
        <v>45754</v>
      </c>
      <c r="D1442" s="4">
        <f t="shared" ca="1" si="159"/>
        <v>208</v>
      </c>
      <c r="E1442" s="2">
        <f t="shared" ca="1" si="160"/>
        <v>7083</v>
      </c>
      <c r="F1442" s="2">
        <f t="shared" ca="1" si="161"/>
        <v>12315</v>
      </c>
      <c r="G1442" s="2">
        <f t="shared" ca="1" si="162"/>
        <v>886</v>
      </c>
    </row>
    <row r="1443" spans="1:7" x14ac:dyDescent="0.3">
      <c r="A1443" s="5" t="str">
        <f t="shared" si="156"/>
        <v>Puma</v>
      </c>
      <c r="B1443" s="5" t="str">
        <f t="shared" si="158"/>
        <v>Cali Dream</v>
      </c>
      <c r="C1443" s="3">
        <f t="shared" si="157"/>
        <v>45754</v>
      </c>
      <c r="D1443" s="4">
        <f t="shared" ca="1" si="159"/>
        <v>37</v>
      </c>
      <c r="E1443" s="2">
        <f t="shared" ca="1" si="160"/>
        <v>1946</v>
      </c>
      <c r="F1443" s="2">
        <f t="shared" ca="1" si="161"/>
        <v>32625</v>
      </c>
      <c r="G1443" s="2">
        <f t="shared" ca="1" si="162"/>
        <v>1084</v>
      </c>
    </row>
    <row r="1444" spans="1:7" x14ac:dyDescent="0.3">
      <c r="A1444" s="5" t="str">
        <f t="shared" si="156"/>
        <v>New Balance</v>
      </c>
      <c r="B1444" s="5" t="str">
        <f t="shared" si="158"/>
        <v>9060</v>
      </c>
      <c r="C1444" s="3">
        <f t="shared" si="157"/>
        <v>45754</v>
      </c>
      <c r="D1444" s="4">
        <f t="shared" ca="1" si="159"/>
        <v>159</v>
      </c>
      <c r="E1444" s="2">
        <f t="shared" ca="1" si="160"/>
        <v>4407</v>
      </c>
      <c r="F1444" s="2">
        <f t="shared" ca="1" si="161"/>
        <v>31150</v>
      </c>
      <c r="G1444" s="2">
        <f t="shared" ca="1" si="162"/>
        <v>2016</v>
      </c>
    </row>
    <row r="1445" spans="1:7" x14ac:dyDescent="0.3">
      <c r="A1445" s="5" t="str">
        <f t="shared" si="156"/>
        <v>Reebok</v>
      </c>
      <c r="B1445" s="5" t="str">
        <f t="shared" si="158"/>
        <v>Zig Kinetica</v>
      </c>
      <c r="C1445" s="3">
        <f t="shared" si="157"/>
        <v>45754</v>
      </c>
      <c r="D1445" s="4">
        <f t="shared" ca="1" si="159"/>
        <v>64</v>
      </c>
      <c r="E1445" s="2">
        <f t="shared" ca="1" si="160"/>
        <v>7106</v>
      </c>
      <c r="F1445" s="2">
        <f t="shared" ca="1" si="161"/>
        <v>12984</v>
      </c>
      <c r="G1445" s="2">
        <f t="shared" ca="1" si="162"/>
        <v>959</v>
      </c>
    </row>
    <row r="1446" spans="1:7" x14ac:dyDescent="0.3">
      <c r="A1446" s="5" t="str">
        <f t="shared" si="156"/>
        <v>Nike</v>
      </c>
      <c r="B1446" s="5" t="str">
        <f t="shared" si="158"/>
        <v>Jordan 1</v>
      </c>
      <c r="C1446" s="3">
        <f t="shared" si="157"/>
        <v>45754</v>
      </c>
      <c r="D1446" s="4">
        <f t="shared" ca="1" si="159"/>
        <v>95</v>
      </c>
      <c r="E1446" s="2">
        <f t="shared" ca="1" si="160"/>
        <v>6247</v>
      </c>
      <c r="F1446" s="2">
        <f t="shared" ca="1" si="161"/>
        <v>23681</v>
      </c>
      <c r="G1446" s="2">
        <f t="shared" ca="1" si="162"/>
        <v>1381</v>
      </c>
    </row>
    <row r="1447" spans="1:7" x14ac:dyDescent="0.3">
      <c r="A1447" s="5" t="str">
        <f t="shared" si="156"/>
        <v>Adidas</v>
      </c>
      <c r="B1447" s="5" t="str">
        <f t="shared" si="158"/>
        <v>Ultraboost 23</v>
      </c>
      <c r="C1447" s="3">
        <f t="shared" si="157"/>
        <v>45754</v>
      </c>
      <c r="D1447" s="4">
        <f t="shared" ca="1" si="159"/>
        <v>178</v>
      </c>
      <c r="E1447" s="2">
        <f t="shared" ca="1" si="160"/>
        <v>2422</v>
      </c>
      <c r="F1447" s="2">
        <f t="shared" ca="1" si="161"/>
        <v>18982</v>
      </c>
      <c r="G1447" s="2">
        <f t="shared" ca="1" si="162"/>
        <v>693</v>
      </c>
    </row>
    <row r="1448" spans="1:7" x14ac:dyDescent="0.3">
      <c r="A1448" s="5" t="str">
        <f t="shared" si="156"/>
        <v>Puma</v>
      </c>
      <c r="B1448" s="5" t="str">
        <f t="shared" si="158"/>
        <v>RS-X</v>
      </c>
      <c r="C1448" s="3">
        <f t="shared" si="157"/>
        <v>45754</v>
      </c>
      <c r="D1448" s="4">
        <f t="shared" ca="1" si="159"/>
        <v>94</v>
      </c>
      <c r="E1448" s="2">
        <f t="shared" ca="1" si="160"/>
        <v>11082</v>
      </c>
      <c r="F1448" s="2">
        <f t="shared" ca="1" si="161"/>
        <v>33915</v>
      </c>
      <c r="G1448" s="2">
        <f t="shared" ca="1" si="162"/>
        <v>1757</v>
      </c>
    </row>
    <row r="1449" spans="1:7" x14ac:dyDescent="0.3">
      <c r="A1449" s="5" t="str">
        <f t="shared" si="156"/>
        <v>New Balance</v>
      </c>
      <c r="B1449" s="5" t="str">
        <f t="shared" si="158"/>
        <v>2002R</v>
      </c>
      <c r="C1449" s="3">
        <f t="shared" si="157"/>
        <v>45754</v>
      </c>
      <c r="D1449" s="4">
        <f t="shared" ca="1" si="159"/>
        <v>66</v>
      </c>
      <c r="E1449" s="2">
        <f t="shared" ca="1" si="160"/>
        <v>3046</v>
      </c>
      <c r="F1449" s="2">
        <f t="shared" ca="1" si="161"/>
        <v>18814</v>
      </c>
      <c r="G1449" s="2">
        <f t="shared" ca="1" si="162"/>
        <v>1168</v>
      </c>
    </row>
    <row r="1450" spans="1:7" x14ac:dyDescent="0.3">
      <c r="A1450" s="5" t="str">
        <f t="shared" si="156"/>
        <v>Reebok</v>
      </c>
      <c r="B1450" s="5" t="str">
        <f t="shared" si="158"/>
        <v>Instapump Fury</v>
      </c>
      <c r="C1450" s="3">
        <f t="shared" si="157"/>
        <v>45754</v>
      </c>
      <c r="D1450" s="4">
        <f t="shared" ca="1" si="159"/>
        <v>21</v>
      </c>
      <c r="E1450" s="2">
        <f t="shared" ca="1" si="160"/>
        <v>6805</v>
      </c>
      <c r="F1450" s="2">
        <f t="shared" ca="1" si="161"/>
        <v>11420</v>
      </c>
      <c r="G1450" s="2">
        <f t="shared" ca="1" si="162"/>
        <v>341</v>
      </c>
    </row>
    <row r="1451" spans="1:7" x14ac:dyDescent="0.3">
      <c r="A1451" s="5" t="str">
        <f t="shared" ref="A1451:A1514" si="163">CHOOSE(MOD(ROW(A1450),5)+1,"Nike","Adidas","Puma","New Balance","Reebok")</f>
        <v>Nike</v>
      </c>
      <c r="B1451" s="5" t="str">
        <f t="shared" si="158"/>
        <v>Cortez</v>
      </c>
      <c r="C1451" s="3">
        <f t="shared" ref="C1451:C1514" si="164">DATE(2025,1,1)+INT((ROW(A1451)-2)/15)</f>
        <v>45754</v>
      </c>
      <c r="D1451" s="4">
        <f t="shared" ca="1" si="159"/>
        <v>194</v>
      </c>
      <c r="E1451" s="2">
        <f t="shared" ca="1" si="160"/>
        <v>8887</v>
      </c>
      <c r="F1451" s="2">
        <f t="shared" ca="1" si="161"/>
        <v>22991</v>
      </c>
      <c r="G1451" s="2">
        <f t="shared" ca="1" si="162"/>
        <v>1351</v>
      </c>
    </row>
    <row r="1452" spans="1:7" x14ac:dyDescent="0.3">
      <c r="A1452" s="5" t="str">
        <f t="shared" si="163"/>
        <v>Adidas</v>
      </c>
      <c r="B1452" s="5" t="str">
        <f t="shared" si="158"/>
        <v>NMD S1</v>
      </c>
      <c r="C1452" s="3">
        <f t="shared" si="164"/>
        <v>45754</v>
      </c>
      <c r="D1452" s="4">
        <f t="shared" ca="1" si="159"/>
        <v>241</v>
      </c>
      <c r="E1452" s="2">
        <f t="shared" ca="1" si="160"/>
        <v>6205</v>
      </c>
      <c r="F1452" s="2">
        <f t="shared" ca="1" si="161"/>
        <v>17375</v>
      </c>
      <c r="G1452" s="2">
        <f t="shared" ca="1" si="162"/>
        <v>368</v>
      </c>
    </row>
    <row r="1453" spans="1:7" x14ac:dyDescent="0.3">
      <c r="A1453" s="5" t="str">
        <f t="shared" si="163"/>
        <v>Puma</v>
      </c>
      <c r="B1453" s="5" t="str">
        <f t="shared" si="158"/>
        <v>Suede Classic</v>
      </c>
      <c r="C1453" s="3">
        <f t="shared" si="164"/>
        <v>45754</v>
      </c>
      <c r="D1453" s="4">
        <f t="shared" ca="1" si="159"/>
        <v>67</v>
      </c>
      <c r="E1453" s="2">
        <f t="shared" ca="1" si="160"/>
        <v>4350</v>
      </c>
      <c r="F1453" s="2">
        <f t="shared" ca="1" si="161"/>
        <v>11361</v>
      </c>
      <c r="G1453" s="2">
        <f t="shared" ca="1" si="162"/>
        <v>345</v>
      </c>
    </row>
    <row r="1454" spans="1:7" x14ac:dyDescent="0.3">
      <c r="A1454" s="5" t="str">
        <f t="shared" si="163"/>
        <v>New Balance</v>
      </c>
      <c r="B1454" s="5" t="str">
        <f t="shared" si="158"/>
        <v>990v6</v>
      </c>
      <c r="C1454" s="3">
        <f t="shared" si="164"/>
        <v>45754</v>
      </c>
      <c r="D1454" s="4">
        <f t="shared" ca="1" si="159"/>
        <v>55</v>
      </c>
      <c r="E1454" s="2">
        <f t="shared" ca="1" si="160"/>
        <v>6635</v>
      </c>
      <c r="F1454" s="2">
        <f t="shared" ca="1" si="161"/>
        <v>9754</v>
      </c>
      <c r="G1454" s="2">
        <f t="shared" ca="1" si="162"/>
        <v>472</v>
      </c>
    </row>
    <row r="1455" spans="1:7" x14ac:dyDescent="0.3">
      <c r="A1455" s="5" t="str">
        <f t="shared" si="163"/>
        <v>Reebok</v>
      </c>
      <c r="B1455" s="5" t="str">
        <f t="shared" si="158"/>
        <v>Nano X3</v>
      </c>
      <c r="C1455" s="3">
        <f t="shared" si="164"/>
        <v>45754</v>
      </c>
      <c r="D1455" s="4">
        <f t="shared" ca="1" si="159"/>
        <v>91</v>
      </c>
      <c r="E1455" s="2">
        <f t="shared" ca="1" si="160"/>
        <v>2827</v>
      </c>
      <c r="F1455" s="2">
        <f t="shared" ca="1" si="161"/>
        <v>17246</v>
      </c>
      <c r="G1455" s="2">
        <f t="shared" ca="1" si="162"/>
        <v>556</v>
      </c>
    </row>
    <row r="1456" spans="1:7" x14ac:dyDescent="0.3">
      <c r="A1456" s="5" t="str">
        <f t="shared" si="163"/>
        <v>Nike</v>
      </c>
      <c r="B1456" s="5" t="str">
        <f t="shared" si="158"/>
        <v>Vaporfly 3</v>
      </c>
      <c r="C1456" s="3">
        <f t="shared" si="164"/>
        <v>45754</v>
      </c>
      <c r="D1456" s="4">
        <f t="shared" ca="1" si="159"/>
        <v>85</v>
      </c>
      <c r="E1456" s="2">
        <f t="shared" ca="1" si="160"/>
        <v>3330</v>
      </c>
      <c r="F1456" s="2">
        <f t="shared" ca="1" si="161"/>
        <v>16735</v>
      </c>
      <c r="G1456" s="2">
        <f t="shared" ca="1" si="162"/>
        <v>484</v>
      </c>
    </row>
    <row r="1457" spans="1:7" x14ac:dyDescent="0.3">
      <c r="A1457" s="5" t="str">
        <f t="shared" si="163"/>
        <v>Adidas</v>
      </c>
      <c r="B1457" s="5" t="str">
        <f t="shared" si="158"/>
        <v>Samba</v>
      </c>
      <c r="C1457" s="3">
        <f t="shared" si="164"/>
        <v>45755</v>
      </c>
      <c r="D1457" s="4">
        <f t="shared" ca="1" si="159"/>
        <v>223</v>
      </c>
      <c r="E1457" s="2">
        <f t="shared" ca="1" si="160"/>
        <v>6896</v>
      </c>
      <c r="F1457" s="2">
        <f t="shared" ca="1" si="161"/>
        <v>34347</v>
      </c>
      <c r="G1457" s="2">
        <f t="shared" ca="1" si="162"/>
        <v>1739</v>
      </c>
    </row>
    <row r="1458" spans="1:7" x14ac:dyDescent="0.3">
      <c r="A1458" s="5" t="str">
        <f t="shared" si="163"/>
        <v>Puma</v>
      </c>
      <c r="B1458" s="5" t="str">
        <f t="shared" si="158"/>
        <v>Mayze</v>
      </c>
      <c r="C1458" s="3">
        <f t="shared" si="164"/>
        <v>45755</v>
      </c>
      <c r="D1458" s="4">
        <f t="shared" ca="1" si="159"/>
        <v>146</v>
      </c>
      <c r="E1458" s="2">
        <f t="shared" ca="1" si="160"/>
        <v>10252</v>
      </c>
      <c r="F1458" s="2">
        <f t="shared" ca="1" si="161"/>
        <v>23490</v>
      </c>
      <c r="G1458" s="2">
        <f t="shared" ca="1" si="162"/>
        <v>1752</v>
      </c>
    </row>
    <row r="1459" spans="1:7" x14ac:dyDescent="0.3">
      <c r="A1459" s="5" t="str">
        <f t="shared" si="163"/>
        <v>New Balance</v>
      </c>
      <c r="B1459" s="5" t="str">
        <f t="shared" si="158"/>
        <v>574 Core</v>
      </c>
      <c r="C1459" s="3">
        <f t="shared" si="164"/>
        <v>45755</v>
      </c>
      <c r="D1459" s="4">
        <f t="shared" ca="1" si="159"/>
        <v>247</v>
      </c>
      <c r="E1459" s="2">
        <f t="shared" ca="1" si="160"/>
        <v>10880</v>
      </c>
      <c r="F1459" s="2">
        <f t="shared" ca="1" si="161"/>
        <v>8862</v>
      </c>
      <c r="G1459" s="2">
        <f t="shared" ca="1" si="162"/>
        <v>674</v>
      </c>
    </row>
    <row r="1460" spans="1:7" x14ac:dyDescent="0.3">
      <c r="A1460" s="5" t="str">
        <f t="shared" si="163"/>
        <v>Reebok</v>
      </c>
      <c r="B1460" s="5" t="str">
        <f t="shared" si="158"/>
        <v>Club C 85</v>
      </c>
      <c r="C1460" s="3">
        <f t="shared" si="164"/>
        <v>45755</v>
      </c>
      <c r="D1460" s="4">
        <f t="shared" ca="1" si="159"/>
        <v>119</v>
      </c>
      <c r="E1460" s="2">
        <f t="shared" ca="1" si="160"/>
        <v>1806</v>
      </c>
      <c r="F1460" s="2">
        <f t="shared" ca="1" si="161"/>
        <v>9204</v>
      </c>
      <c r="G1460" s="2">
        <f t="shared" ca="1" si="162"/>
        <v>229</v>
      </c>
    </row>
    <row r="1461" spans="1:7" x14ac:dyDescent="0.3">
      <c r="A1461" s="5" t="str">
        <f t="shared" si="163"/>
        <v>Nike</v>
      </c>
      <c r="B1461" s="5" t="str">
        <f t="shared" si="158"/>
        <v>Pegasus 40</v>
      </c>
      <c r="C1461" s="3">
        <f t="shared" si="164"/>
        <v>45755</v>
      </c>
      <c r="D1461" s="4">
        <f t="shared" ca="1" si="159"/>
        <v>125</v>
      </c>
      <c r="E1461" s="2">
        <f t="shared" ca="1" si="160"/>
        <v>8068</v>
      </c>
      <c r="F1461" s="2">
        <f t="shared" ca="1" si="161"/>
        <v>26043</v>
      </c>
      <c r="G1461" s="2">
        <f t="shared" ca="1" si="162"/>
        <v>573</v>
      </c>
    </row>
    <row r="1462" spans="1:7" x14ac:dyDescent="0.3">
      <c r="A1462" s="5" t="str">
        <f t="shared" si="163"/>
        <v>Adidas</v>
      </c>
      <c r="B1462" s="5" t="str">
        <f t="shared" si="158"/>
        <v>Gazelle</v>
      </c>
      <c r="C1462" s="3">
        <f t="shared" si="164"/>
        <v>45755</v>
      </c>
      <c r="D1462" s="4">
        <f t="shared" ca="1" si="159"/>
        <v>38</v>
      </c>
      <c r="E1462" s="2">
        <f t="shared" ca="1" si="160"/>
        <v>7795</v>
      </c>
      <c r="F1462" s="2">
        <f t="shared" ca="1" si="161"/>
        <v>20856</v>
      </c>
      <c r="G1462" s="2">
        <f t="shared" ca="1" si="162"/>
        <v>1309</v>
      </c>
    </row>
    <row r="1463" spans="1:7" x14ac:dyDescent="0.3">
      <c r="A1463" s="5" t="str">
        <f t="shared" si="163"/>
        <v>Puma</v>
      </c>
      <c r="B1463" s="5" t="str">
        <f t="shared" si="158"/>
        <v>Slipstream</v>
      </c>
      <c r="C1463" s="3">
        <f t="shared" si="164"/>
        <v>45755</v>
      </c>
      <c r="D1463" s="4">
        <f t="shared" ca="1" si="159"/>
        <v>185</v>
      </c>
      <c r="E1463" s="2">
        <f t="shared" ca="1" si="160"/>
        <v>11814</v>
      </c>
      <c r="F1463" s="2">
        <f t="shared" ca="1" si="161"/>
        <v>12213</v>
      </c>
      <c r="G1463" s="2">
        <f t="shared" ca="1" si="162"/>
        <v>473</v>
      </c>
    </row>
    <row r="1464" spans="1:7" x14ac:dyDescent="0.3">
      <c r="A1464" s="5" t="str">
        <f t="shared" si="163"/>
        <v>New Balance</v>
      </c>
      <c r="B1464" s="5" t="str">
        <f t="shared" si="158"/>
        <v>550</v>
      </c>
      <c r="C1464" s="3">
        <f t="shared" si="164"/>
        <v>45755</v>
      </c>
      <c r="D1464" s="4">
        <f t="shared" ca="1" si="159"/>
        <v>120</v>
      </c>
      <c r="E1464" s="2">
        <f t="shared" ca="1" si="160"/>
        <v>3336</v>
      </c>
      <c r="F1464" s="2">
        <f t="shared" ca="1" si="161"/>
        <v>10338</v>
      </c>
      <c r="G1464" s="2">
        <f t="shared" ca="1" si="162"/>
        <v>546</v>
      </c>
    </row>
    <row r="1465" spans="1:7" x14ac:dyDescent="0.3">
      <c r="A1465" s="5" t="str">
        <f t="shared" si="163"/>
        <v>Reebok</v>
      </c>
      <c r="B1465" s="5" t="str">
        <f t="shared" si="158"/>
        <v>Classic Leather</v>
      </c>
      <c r="C1465" s="3">
        <f t="shared" si="164"/>
        <v>45755</v>
      </c>
      <c r="D1465" s="4">
        <f t="shared" ca="1" si="159"/>
        <v>44</v>
      </c>
      <c r="E1465" s="2">
        <f t="shared" ca="1" si="160"/>
        <v>11633</v>
      </c>
      <c r="F1465" s="2">
        <f t="shared" ca="1" si="161"/>
        <v>32018</v>
      </c>
      <c r="G1465" s="2">
        <f t="shared" ca="1" si="162"/>
        <v>961</v>
      </c>
    </row>
    <row r="1466" spans="1:7" x14ac:dyDescent="0.3">
      <c r="A1466" s="5" t="str">
        <f t="shared" si="163"/>
        <v>Nike</v>
      </c>
      <c r="B1466" s="5" t="str">
        <f t="shared" si="158"/>
        <v>Air Force 1</v>
      </c>
      <c r="C1466" s="3">
        <f t="shared" si="164"/>
        <v>45755</v>
      </c>
      <c r="D1466" s="4">
        <f t="shared" ca="1" si="159"/>
        <v>138</v>
      </c>
      <c r="E1466" s="2">
        <f t="shared" ca="1" si="160"/>
        <v>9644</v>
      </c>
      <c r="F1466" s="2">
        <f t="shared" ca="1" si="161"/>
        <v>32371</v>
      </c>
      <c r="G1466" s="2">
        <f t="shared" ca="1" si="162"/>
        <v>2204</v>
      </c>
    </row>
    <row r="1467" spans="1:7" x14ac:dyDescent="0.3">
      <c r="A1467" s="5" t="str">
        <f t="shared" si="163"/>
        <v>Adidas</v>
      </c>
      <c r="B1467" s="5" t="str">
        <f t="shared" si="158"/>
        <v>Superstar</v>
      </c>
      <c r="C1467" s="3">
        <f t="shared" si="164"/>
        <v>45755</v>
      </c>
      <c r="D1467" s="4">
        <f t="shared" ca="1" si="159"/>
        <v>159</v>
      </c>
      <c r="E1467" s="2">
        <f t="shared" ca="1" si="160"/>
        <v>5218</v>
      </c>
      <c r="F1467" s="2">
        <f t="shared" ca="1" si="161"/>
        <v>21386</v>
      </c>
      <c r="G1467" s="2">
        <f t="shared" ca="1" si="162"/>
        <v>930</v>
      </c>
    </row>
    <row r="1468" spans="1:7" x14ac:dyDescent="0.3">
      <c r="A1468" s="5" t="str">
        <f t="shared" si="163"/>
        <v>Puma</v>
      </c>
      <c r="B1468" s="5" t="str">
        <f t="shared" si="158"/>
        <v>Rider Vintage</v>
      </c>
      <c r="C1468" s="3">
        <f t="shared" si="164"/>
        <v>45755</v>
      </c>
      <c r="D1468" s="4">
        <f t="shared" ca="1" si="159"/>
        <v>65</v>
      </c>
      <c r="E1468" s="2">
        <f t="shared" ca="1" si="160"/>
        <v>3264</v>
      </c>
      <c r="F1468" s="2">
        <f t="shared" ca="1" si="161"/>
        <v>12399</v>
      </c>
      <c r="G1468" s="2">
        <f t="shared" ca="1" si="162"/>
        <v>753</v>
      </c>
    </row>
    <row r="1469" spans="1:7" x14ac:dyDescent="0.3">
      <c r="A1469" s="5" t="str">
        <f t="shared" si="163"/>
        <v>New Balance</v>
      </c>
      <c r="B1469" s="5" t="str">
        <f t="shared" si="158"/>
        <v>327</v>
      </c>
      <c r="C1469" s="3">
        <f t="shared" si="164"/>
        <v>45755</v>
      </c>
      <c r="D1469" s="4">
        <f t="shared" ca="1" si="159"/>
        <v>68</v>
      </c>
      <c r="E1469" s="2">
        <f t="shared" ca="1" si="160"/>
        <v>9418</v>
      </c>
      <c r="F1469" s="2">
        <f t="shared" ca="1" si="161"/>
        <v>13820</v>
      </c>
      <c r="G1469" s="2">
        <f t="shared" ca="1" si="162"/>
        <v>586</v>
      </c>
    </row>
    <row r="1470" spans="1:7" x14ac:dyDescent="0.3">
      <c r="A1470" s="5" t="str">
        <f t="shared" si="163"/>
        <v>Reebok</v>
      </c>
      <c r="B1470" s="5" t="str">
        <f t="shared" si="158"/>
        <v>Question Mid</v>
      </c>
      <c r="C1470" s="3">
        <f t="shared" si="164"/>
        <v>45755</v>
      </c>
      <c r="D1470" s="4">
        <f t="shared" ca="1" si="159"/>
        <v>79</v>
      </c>
      <c r="E1470" s="2">
        <f t="shared" ca="1" si="160"/>
        <v>9735</v>
      </c>
      <c r="F1470" s="2">
        <f t="shared" ca="1" si="161"/>
        <v>28603</v>
      </c>
      <c r="G1470" s="2">
        <f t="shared" ca="1" si="162"/>
        <v>1815</v>
      </c>
    </row>
    <row r="1471" spans="1:7" x14ac:dyDescent="0.3">
      <c r="A1471" s="5" t="str">
        <f t="shared" si="163"/>
        <v>Nike</v>
      </c>
      <c r="B1471" s="5" t="str">
        <f t="shared" si="158"/>
        <v>Air Max 270</v>
      </c>
      <c r="C1471" s="3">
        <f t="shared" si="164"/>
        <v>45755</v>
      </c>
      <c r="D1471" s="4">
        <f t="shared" ca="1" si="159"/>
        <v>64</v>
      </c>
      <c r="E1471" s="2">
        <f t="shared" ca="1" si="160"/>
        <v>10902</v>
      </c>
      <c r="F1471" s="2">
        <f t="shared" ca="1" si="161"/>
        <v>22251</v>
      </c>
      <c r="G1471" s="2">
        <f t="shared" ca="1" si="162"/>
        <v>477</v>
      </c>
    </row>
    <row r="1472" spans="1:7" x14ac:dyDescent="0.3">
      <c r="A1472" s="5" t="str">
        <f t="shared" si="163"/>
        <v>Adidas</v>
      </c>
      <c r="B1472" s="5" t="str">
        <f t="shared" si="158"/>
        <v>Stan Smith</v>
      </c>
      <c r="C1472" s="3">
        <f t="shared" si="164"/>
        <v>45756</v>
      </c>
      <c r="D1472" s="4">
        <f t="shared" ca="1" si="159"/>
        <v>198</v>
      </c>
      <c r="E1472" s="2">
        <f t="shared" ca="1" si="160"/>
        <v>3678</v>
      </c>
      <c r="F1472" s="2">
        <f t="shared" ca="1" si="161"/>
        <v>29037</v>
      </c>
      <c r="G1472" s="2">
        <f t="shared" ca="1" si="162"/>
        <v>1459</v>
      </c>
    </row>
    <row r="1473" spans="1:7" x14ac:dyDescent="0.3">
      <c r="A1473" s="5" t="str">
        <f t="shared" si="163"/>
        <v>Puma</v>
      </c>
      <c r="B1473" s="5" t="str">
        <f t="shared" si="158"/>
        <v>Cali Dream</v>
      </c>
      <c r="C1473" s="3">
        <f t="shared" si="164"/>
        <v>45756</v>
      </c>
      <c r="D1473" s="4">
        <f t="shared" ca="1" si="159"/>
        <v>64</v>
      </c>
      <c r="E1473" s="2">
        <f t="shared" ca="1" si="160"/>
        <v>5619</v>
      </c>
      <c r="F1473" s="2">
        <f t="shared" ca="1" si="161"/>
        <v>20044</v>
      </c>
      <c r="G1473" s="2">
        <f t="shared" ca="1" si="162"/>
        <v>996</v>
      </c>
    </row>
    <row r="1474" spans="1:7" x14ac:dyDescent="0.3">
      <c r="A1474" s="5" t="str">
        <f t="shared" si="163"/>
        <v>New Balance</v>
      </c>
      <c r="B1474" s="5" t="str">
        <f t="shared" si="158"/>
        <v>9060</v>
      </c>
      <c r="C1474" s="3">
        <f t="shared" si="164"/>
        <v>45756</v>
      </c>
      <c r="D1474" s="4">
        <f t="shared" ca="1" si="159"/>
        <v>67</v>
      </c>
      <c r="E1474" s="2">
        <f t="shared" ca="1" si="160"/>
        <v>2659</v>
      </c>
      <c r="F1474" s="2">
        <f t="shared" ca="1" si="161"/>
        <v>8201</v>
      </c>
      <c r="G1474" s="2">
        <f t="shared" ca="1" si="162"/>
        <v>496</v>
      </c>
    </row>
    <row r="1475" spans="1:7" x14ac:dyDescent="0.3">
      <c r="A1475" s="5" t="str">
        <f t="shared" si="163"/>
        <v>Reebok</v>
      </c>
      <c r="B1475" s="5" t="str">
        <f t="shared" ref="B1475:B1538" si="165">IF(A1475="Nike",CHOOSE(MOD(ROW(A1474),6)+1,"Air Max 270","Air Force 1","Pegasus 40","Vaporfly 3","Cortez","Jordan 1"),
 IF(A1475="Adidas",CHOOSE(MOD(ROW(A1474),6)+1,"Ultraboost 23","Stan Smith","Superstar","Gazelle","Samba","NMD S1"),
 IF(A1475="Puma",CHOOSE(MOD(ROW(A1474),6)+1,"Suede Classic","RS-X","Cali Dream","Rider Vintage","Slipstream","Mayze"),
 IF(A1475="New Balance",CHOOSE(MOD(ROW(A1474),6)+1,"574 Core","990v6","2002R","9060","327","550"),
 IF(A1475="Reebok",CHOOSE(MOD(ROW(A1474),6)+1,"Classic Leather","Club C 85","Nano X3","Instapump Fury","Zig Kinetica","Question Mid"),"")))))</f>
        <v>Zig Kinetica</v>
      </c>
      <c r="C1475" s="3">
        <f t="shared" si="164"/>
        <v>45756</v>
      </c>
      <c r="D1475" s="4">
        <f t="shared" ref="D1475:D1538" ca="1" si="166">RANDBETWEEN(20,250)</f>
        <v>230</v>
      </c>
      <c r="E1475" s="2">
        <f t="shared" ref="E1475:E1538" ca="1" si="167">ROUND(RANDBETWEEN(1500,12000)+(RANDBETWEEN(-200,200)),2)</f>
        <v>6598</v>
      </c>
      <c r="F1475" s="2">
        <f t="shared" ref="F1475:F1538" ca="1" si="168">RANDBETWEEN(5000,35000)</f>
        <v>22605</v>
      </c>
      <c r="G1475" s="2">
        <f t="shared" ref="G1475:G1538" ca="1" si="169">RANDBETWEEN(ROUND(F1475*0.02,0),ROUND(F1475*0.08,0))</f>
        <v>1494</v>
      </c>
    </row>
    <row r="1476" spans="1:7" x14ac:dyDescent="0.3">
      <c r="A1476" s="5" t="str">
        <f t="shared" si="163"/>
        <v>Nike</v>
      </c>
      <c r="B1476" s="5" t="str">
        <f t="shared" si="165"/>
        <v>Jordan 1</v>
      </c>
      <c r="C1476" s="3">
        <f t="shared" si="164"/>
        <v>45756</v>
      </c>
      <c r="D1476" s="4">
        <f t="shared" ca="1" si="166"/>
        <v>41</v>
      </c>
      <c r="E1476" s="2">
        <f t="shared" ca="1" si="167"/>
        <v>3935</v>
      </c>
      <c r="F1476" s="2">
        <f t="shared" ca="1" si="168"/>
        <v>5014</v>
      </c>
      <c r="G1476" s="2">
        <f t="shared" ca="1" si="169"/>
        <v>121</v>
      </c>
    </row>
    <row r="1477" spans="1:7" x14ac:dyDescent="0.3">
      <c r="A1477" s="5" t="str">
        <f t="shared" si="163"/>
        <v>Adidas</v>
      </c>
      <c r="B1477" s="5" t="str">
        <f t="shared" si="165"/>
        <v>Ultraboost 23</v>
      </c>
      <c r="C1477" s="3">
        <f t="shared" si="164"/>
        <v>45756</v>
      </c>
      <c r="D1477" s="4">
        <f t="shared" ca="1" si="166"/>
        <v>92</v>
      </c>
      <c r="E1477" s="2">
        <f t="shared" ca="1" si="167"/>
        <v>2456</v>
      </c>
      <c r="F1477" s="2">
        <f t="shared" ca="1" si="168"/>
        <v>34514</v>
      </c>
      <c r="G1477" s="2">
        <f t="shared" ca="1" si="169"/>
        <v>2525</v>
      </c>
    </row>
    <row r="1478" spans="1:7" x14ac:dyDescent="0.3">
      <c r="A1478" s="5" t="str">
        <f t="shared" si="163"/>
        <v>Puma</v>
      </c>
      <c r="B1478" s="5" t="str">
        <f t="shared" si="165"/>
        <v>RS-X</v>
      </c>
      <c r="C1478" s="3">
        <f t="shared" si="164"/>
        <v>45756</v>
      </c>
      <c r="D1478" s="4">
        <f t="shared" ca="1" si="166"/>
        <v>20</v>
      </c>
      <c r="E1478" s="2">
        <f t="shared" ca="1" si="167"/>
        <v>6061</v>
      </c>
      <c r="F1478" s="2">
        <f t="shared" ca="1" si="168"/>
        <v>34689</v>
      </c>
      <c r="G1478" s="2">
        <f t="shared" ca="1" si="169"/>
        <v>1970</v>
      </c>
    </row>
    <row r="1479" spans="1:7" x14ac:dyDescent="0.3">
      <c r="A1479" s="5" t="str">
        <f t="shared" si="163"/>
        <v>New Balance</v>
      </c>
      <c r="B1479" s="5" t="str">
        <f t="shared" si="165"/>
        <v>2002R</v>
      </c>
      <c r="C1479" s="3">
        <f t="shared" si="164"/>
        <v>45756</v>
      </c>
      <c r="D1479" s="4">
        <f t="shared" ca="1" si="166"/>
        <v>79</v>
      </c>
      <c r="E1479" s="2">
        <f t="shared" ca="1" si="167"/>
        <v>9279</v>
      </c>
      <c r="F1479" s="2">
        <f t="shared" ca="1" si="168"/>
        <v>20373</v>
      </c>
      <c r="G1479" s="2">
        <f t="shared" ca="1" si="169"/>
        <v>440</v>
      </c>
    </row>
    <row r="1480" spans="1:7" x14ac:dyDescent="0.3">
      <c r="A1480" s="5" t="str">
        <f t="shared" si="163"/>
        <v>Reebok</v>
      </c>
      <c r="B1480" s="5" t="str">
        <f t="shared" si="165"/>
        <v>Instapump Fury</v>
      </c>
      <c r="C1480" s="3">
        <f t="shared" si="164"/>
        <v>45756</v>
      </c>
      <c r="D1480" s="4">
        <f t="shared" ca="1" si="166"/>
        <v>72</v>
      </c>
      <c r="E1480" s="2">
        <f t="shared" ca="1" si="167"/>
        <v>4573</v>
      </c>
      <c r="F1480" s="2">
        <f t="shared" ca="1" si="168"/>
        <v>15807</v>
      </c>
      <c r="G1480" s="2">
        <f t="shared" ca="1" si="169"/>
        <v>942</v>
      </c>
    </row>
    <row r="1481" spans="1:7" x14ac:dyDescent="0.3">
      <c r="A1481" s="5" t="str">
        <f t="shared" si="163"/>
        <v>Nike</v>
      </c>
      <c r="B1481" s="5" t="str">
        <f t="shared" si="165"/>
        <v>Cortez</v>
      </c>
      <c r="C1481" s="3">
        <f t="shared" si="164"/>
        <v>45756</v>
      </c>
      <c r="D1481" s="4">
        <f t="shared" ca="1" si="166"/>
        <v>195</v>
      </c>
      <c r="E1481" s="2">
        <f t="shared" ca="1" si="167"/>
        <v>2181</v>
      </c>
      <c r="F1481" s="2">
        <f t="shared" ca="1" si="168"/>
        <v>18756</v>
      </c>
      <c r="G1481" s="2">
        <f t="shared" ca="1" si="169"/>
        <v>1299</v>
      </c>
    </row>
    <row r="1482" spans="1:7" x14ac:dyDescent="0.3">
      <c r="A1482" s="5" t="str">
        <f t="shared" si="163"/>
        <v>Adidas</v>
      </c>
      <c r="B1482" s="5" t="str">
        <f t="shared" si="165"/>
        <v>NMD S1</v>
      </c>
      <c r="C1482" s="3">
        <f t="shared" si="164"/>
        <v>45756</v>
      </c>
      <c r="D1482" s="4">
        <f t="shared" ca="1" si="166"/>
        <v>241</v>
      </c>
      <c r="E1482" s="2">
        <f t="shared" ca="1" si="167"/>
        <v>10756</v>
      </c>
      <c r="F1482" s="2">
        <f t="shared" ca="1" si="168"/>
        <v>14027</v>
      </c>
      <c r="G1482" s="2">
        <f t="shared" ca="1" si="169"/>
        <v>695</v>
      </c>
    </row>
    <row r="1483" spans="1:7" x14ac:dyDescent="0.3">
      <c r="A1483" s="5" t="str">
        <f t="shared" si="163"/>
        <v>Puma</v>
      </c>
      <c r="B1483" s="5" t="str">
        <f t="shared" si="165"/>
        <v>Suede Classic</v>
      </c>
      <c r="C1483" s="3">
        <f t="shared" si="164"/>
        <v>45756</v>
      </c>
      <c r="D1483" s="4">
        <f t="shared" ca="1" si="166"/>
        <v>68</v>
      </c>
      <c r="E1483" s="2">
        <f t="shared" ca="1" si="167"/>
        <v>9307</v>
      </c>
      <c r="F1483" s="2">
        <f t="shared" ca="1" si="168"/>
        <v>11716</v>
      </c>
      <c r="G1483" s="2">
        <f t="shared" ca="1" si="169"/>
        <v>522</v>
      </c>
    </row>
    <row r="1484" spans="1:7" x14ac:dyDescent="0.3">
      <c r="A1484" s="5" t="str">
        <f t="shared" si="163"/>
        <v>New Balance</v>
      </c>
      <c r="B1484" s="5" t="str">
        <f t="shared" si="165"/>
        <v>990v6</v>
      </c>
      <c r="C1484" s="3">
        <f t="shared" si="164"/>
        <v>45756</v>
      </c>
      <c r="D1484" s="4">
        <f t="shared" ca="1" si="166"/>
        <v>86</v>
      </c>
      <c r="E1484" s="2">
        <f t="shared" ca="1" si="167"/>
        <v>10621</v>
      </c>
      <c r="F1484" s="2">
        <f t="shared" ca="1" si="168"/>
        <v>10677</v>
      </c>
      <c r="G1484" s="2">
        <f t="shared" ca="1" si="169"/>
        <v>230</v>
      </c>
    </row>
    <row r="1485" spans="1:7" x14ac:dyDescent="0.3">
      <c r="A1485" s="5" t="str">
        <f t="shared" si="163"/>
        <v>Reebok</v>
      </c>
      <c r="B1485" s="5" t="str">
        <f t="shared" si="165"/>
        <v>Nano X3</v>
      </c>
      <c r="C1485" s="3">
        <f t="shared" si="164"/>
        <v>45756</v>
      </c>
      <c r="D1485" s="4">
        <f t="shared" ca="1" si="166"/>
        <v>210</v>
      </c>
      <c r="E1485" s="2">
        <f t="shared" ca="1" si="167"/>
        <v>2134</v>
      </c>
      <c r="F1485" s="2">
        <f t="shared" ca="1" si="168"/>
        <v>28873</v>
      </c>
      <c r="G1485" s="2">
        <f t="shared" ca="1" si="169"/>
        <v>2012</v>
      </c>
    </row>
    <row r="1486" spans="1:7" x14ac:dyDescent="0.3">
      <c r="A1486" s="5" t="str">
        <f t="shared" si="163"/>
        <v>Nike</v>
      </c>
      <c r="B1486" s="5" t="str">
        <f t="shared" si="165"/>
        <v>Vaporfly 3</v>
      </c>
      <c r="C1486" s="3">
        <f t="shared" si="164"/>
        <v>45756</v>
      </c>
      <c r="D1486" s="4">
        <f t="shared" ca="1" si="166"/>
        <v>128</v>
      </c>
      <c r="E1486" s="2">
        <f t="shared" ca="1" si="167"/>
        <v>2509</v>
      </c>
      <c r="F1486" s="2">
        <f t="shared" ca="1" si="168"/>
        <v>33192</v>
      </c>
      <c r="G1486" s="2">
        <f t="shared" ca="1" si="169"/>
        <v>1031</v>
      </c>
    </row>
    <row r="1487" spans="1:7" x14ac:dyDescent="0.3">
      <c r="A1487" s="5" t="str">
        <f t="shared" si="163"/>
        <v>Adidas</v>
      </c>
      <c r="B1487" s="5" t="str">
        <f t="shared" si="165"/>
        <v>Samba</v>
      </c>
      <c r="C1487" s="3">
        <f t="shared" si="164"/>
        <v>45757</v>
      </c>
      <c r="D1487" s="4">
        <f t="shared" ca="1" si="166"/>
        <v>56</v>
      </c>
      <c r="E1487" s="2">
        <f t="shared" ca="1" si="167"/>
        <v>4409</v>
      </c>
      <c r="F1487" s="2">
        <f t="shared" ca="1" si="168"/>
        <v>23669</v>
      </c>
      <c r="G1487" s="2">
        <f t="shared" ca="1" si="169"/>
        <v>641</v>
      </c>
    </row>
    <row r="1488" spans="1:7" x14ac:dyDescent="0.3">
      <c r="A1488" s="5" t="str">
        <f t="shared" si="163"/>
        <v>Puma</v>
      </c>
      <c r="B1488" s="5" t="str">
        <f t="shared" si="165"/>
        <v>Mayze</v>
      </c>
      <c r="C1488" s="3">
        <f t="shared" si="164"/>
        <v>45757</v>
      </c>
      <c r="D1488" s="4">
        <f t="shared" ca="1" si="166"/>
        <v>86</v>
      </c>
      <c r="E1488" s="2">
        <f t="shared" ca="1" si="167"/>
        <v>11319</v>
      </c>
      <c r="F1488" s="2">
        <f t="shared" ca="1" si="168"/>
        <v>25681</v>
      </c>
      <c r="G1488" s="2">
        <f t="shared" ca="1" si="169"/>
        <v>1711</v>
      </c>
    </row>
    <row r="1489" spans="1:7" x14ac:dyDescent="0.3">
      <c r="A1489" s="5" t="str">
        <f t="shared" si="163"/>
        <v>New Balance</v>
      </c>
      <c r="B1489" s="5" t="str">
        <f t="shared" si="165"/>
        <v>574 Core</v>
      </c>
      <c r="C1489" s="3">
        <f t="shared" si="164"/>
        <v>45757</v>
      </c>
      <c r="D1489" s="4">
        <f t="shared" ca="1" si="166"/>
        <v>239</v>
      </c>
      <c r="E1489" s="2">
        <f t="shared" ca="1" si="167"/>
        <v>6680</v>
      </c>
      <c r="F1489" s="2">
        <f t="shared" ca="1" si="168"/>
        <v>13532</v>
      </c>
      <c r="G1489" s="2">
        <f t="shared" ca="1" si="169"/>
        <v>831</v>
      </c>
    </row>
    <row r="1490" spans="1:7" x14ac:dyDescent="0.3">
      <c r="A1490" s="5" t="str">
        <f t="shared" si="163"/>
        <v>Reebok</v>
      </c>
      <c r="B1490" s="5" t="str">
        <f t="shared" si="165"/>
        <v>Club C 85</v>
      </c>
      <c r="C1490" s="3">
        <f t="shared" si="164"/>
        <v>45757</v>
      </c>
      <c r="D1490" s="4">
        <f t="shared" ca="1" si="166"/>
        <v>30</v>
      </c>
      <c r="E1490" s="2">
        <f t="shared" ca="1" si="167"/>
        <v>4524</v>
      </c>
      <c r="F1490" s="2">
        <f t="shared" ca="1" si="168"/>
        <v>14753</v>
      </c>
      <c r="G1490" s="2">
        <f t="shared" ca="1" si="169"/>
        <v>1095</v>
      </c>
    </row>
    <row r="1491" spans="1:7" x14ac:dyDescent="0.3">
      <c r="A1491" s="5" t="str">
        <f t="shared" si="163"/>
        <v>Nike</v>
      </c>
      <c r="B1491" s="5" t="str">
        <f t="shared" si="165"/>
        <v>Pegasus 40</v>
      </c>
      <c r="C1491" s="3">
        <f t="shared" si="164"/>
        <v>45757</v>
      </c>
      <c r="D1491" s="4">
        <f t="shared" ca="1" si="166"/>
        <v>64</v>
      </c>
      <c r="E1491" s="2">
        <f t="shared" ca="1" si="167"/>
        <v>2186</v>
      </c>
      <c r="F1491" s="2">
        <f t="shared" ca="1" si="168"/>
        <v>7266</v>
      </c>
      <c r="G1491" s="2">
        <f t="shared" ca="1" si="169"/>
        <v>536</v>
      </c>
    </row>
    <row r="1492" spans="1:7" x14ac:dyDescent="0.3">
      <c r="A1492" s="5" t="str">
        <f t="shared" si="163"/>
        <v>Adidas</v>
      </c>
      <c r="B1492" s="5" t="str">
        <f t="shared" si="165"/>
        <v>Gazelle</v>
      </c>
      <c r="C1492" s="3">
        <f t="shared" si="164"/>
        <v>45757</v>
      </c>
      <c r="D1492" s="4">
        <f t="shared" ca="1" si="166"/>
        <v>25</v>
      </c>
      <c r="E1492" s="2">
        <f t="shared" ca="1" si="167"/>
        <v>1674</v>
      </c>
      <c r="F1492" s="2">
        <f t="shared" ca="1" si="168"/>
        <v>13840</v>
      </c>
      <c r="G1492" s="2">
        <f t="shared" ca="1" si="169"/>
        <v>930</v>
      </c>
    </row>
    <row r="1493" spans="1:7" x14ac:dyDescent="0.3">
      <c r="A1493" s="5" t="str">
        <f t="shared" si="163"/>
        <v>Puma</v>
      </c>
      <c r="B1493" s="5" t="str">
        <f t="shared" si="165"/>
        <v>Slipstream</v>
      </c>
      <c r="C1493" s="3">
        <f t="shared" si="164"/>
        <v>45757</v>
      </c>
      <c r="D1493" s="4">
        <f t="shared" ca="1" si="166"/>
        <v>168</v>
      </c>
      <c r="E1493" s="2">
        <f t="shared" ca="1" si="167"/>
        <v>4315</v>
      </c>
      <c r="F1493" s="2">
        <f t="shared" ca="1" si="168"/>
        <v>24735</v>
      </c>
      <c r="G1493" s="2">
        <f t="shared" ca="1" si="169"/>
        <v>1759</v>
      </c>
    </row>
    <row r="1494" spans="1:7" x14ac:dyDescent="0.3">
      <c r="A1494" s="5" t="str">
        <f t="shared" si="163"/>
        <v>New Balance</v>
      </c>
      <c r="B1494" s="5" t="str">
        <f t="shared" si="165"/>
        <v>550</v>
      </c>
      <c r="C1494" s="3">
        <f t="shared" si="164"/>
        <v>45757</v>
      </c>
      <c r="D1494" s="4">
        <f t="shared" ca="1" si="166"/>
        <v>155</v>
      </c>
      <c r="E1494" s="2">
        <f t="shared" ca="1" si="167"/>
        <v>2893</v>
      </c>
      <c r="F1494" s="2">
        <f t="shared" ca="1" si="168"/>
        <v>33362</v>
      </c>
      <c r="G1494" s="2">
        <f t="shared" ca="1" si="169"/>
        <v>1311</v>
      </c>
    </row>
    <row r="1495" spans="1:7" x14ac:dyDescent="0.3">
      <c r="A1495" s="5" t="str">
        <f t="shared" si="163"/>
        <v>Reebok</v>
      </c>
      <c r="B1495" s="5" t="str">
        <f t="shared" si="165"/>
        <v>Classic Leather</v>
      </c>
      <c r="C1495" s="3">
        <f t="shared" si="164"/>
        <v>45757</v>
      </c>
      <c r="D1495" s="4">
        <f t="shared" ca="1" si="166"/>
        <v>225</v>
      </c>
      <c r="E1495" s="2">
        <f t="shared" ca="1" si="167"/>
        <v>5620</v>
      </c>
      <c r="F1495" s="2">
        <f t="shared" ca="1" si="168"/>
        <v>29359</v>
      </c>
      <c r="G1495" s="2">
        <f t="shared" ca="1" si="169"/>
        <v>644</v>
      </c>
    </row>
    <row r="1496" spans="1:7" x14ac:dyDescent="0.3">
      <c r="A1496" s="5" t="str">
        <f t="shared" si="163"/>
        <v>Nike</v>
      </c>
      <c r="B1496" s="5" t="str">
        <f t="shared" si="165"/>
        <v>Air Force 1</v>
      </c>
      <c r="C1496" s="3">
        <f t="shared" si="164"/>
        <v>45757</v>
      </c>
      <c r="D1496" s="4">
        <f t="shared" ca="1" si="166"/>
        <v>213</v>
      </c>
      <c r="E1496" s="2">
        <f t="shared" ca="1" si="167"/>
        <v>6931</v>
      </c>
      <c r="F1496" s="2">
        <f t="shared" ca="1" si="168"/>
        <v>16381</v>
      </c>
      <c r="G1496" s="2">
        <f t="shared" ca="1" si="169"/>
        <v>655</v>
      </c>
    </row>
    <row r="1497" spans="1:7" x14ac:dyDescent="0.3">
      <c r="A1497" s="5" t="str">
        <f t="shared" si="163"/>
        <v>Adidas</v>
      </c>
      <c r="B1497" s="5" t="str">
        <f t="shared" si="165"/>
        <v>Superstar</v>
      </c>
      <c r="C1497" s="3">
        <f t="shared" si="164"/>
        <v>45757</v>
      </c>
      <c r="D1497" s="4">
        <f t="shared" ca="1" si="166"/>
        <v>186</v>
      </c>
      <c r="E1497" s="2">
        <f t="shared" ca="1" si="167"/>
        <v>5722</v>
      </c>
      <c r="F1497" s="2">
        <f t="shared" ca="1" si="168"/>
        <v>33198</v>
      </c>
      <c r="G1497" s="2">
        <f t="shared" ca="1" si="169"/>
        <v>1919</v>
      </c>
    </row>
    <row r="1498" spans="1:7" x14ac:dyDescent="0.3">
      <c r="A1498" s="5" t="str">
        <f t="shared" si="163"/>
        <v>Puma</v>
      </c>
      <c r="B1498" s="5" t="str">
        <f t="shared" si="165"/>
        <v>Rider Vintage</v>
      </c>
      <c r="C1498" s="3">
        <f t="shared" si="164"/>
        <v>45757</v>
      </c>
      <c r="D1498" s="4">
        <f t="shared" ca="1" si="166"/>
        <v>103</v>
      </c>
      <c r="E1498" s="2">
        <f t="shared" ca="1" si="167"/>
        <v>7919</v>
      </c>
      <c r="F1498" s="2">
        <f t="shared" ca="1" si="168"/>
        <v>32959</v>
      </c>
      <c r="G1498" s="2">
        <f t="shared" ca="1" si="169"/>
        <v>2382</v>
      </c>
    </row>
    <row r="1499" spans="1:7" x14ac:dyDescent="0.3">
      <c r="A1499" s="5" t="str">
        <f t="shared" si="163"/>
        <v>New Balance</v>
      </c>
      <c r="B1499" s="5" t="str">
        <f t="shared" si="165"/>
        <v>327</v>
      </c>
      <c r="C1499" s="3">
        <f t="shared" si="164"/>
        <v>45757</v>
      </c>
      <c r="D1499" s="4">
        <f t="shared" ca="1" si="166"/>
        <v>24</v>
      </c>
      <c r="E1499" s="2">
        <f t="shared" ca="1" si="167"/>
        <v>11060</v>
      </c>
      <c r="F1499" s="2">
        <f t="shared" ca="1" si="168"/>
        <v>34294</v>
      </c>
      <c r="G1499" s="2">
        <f t="shared" ca="1" si="169"/>
        <v>1549</v>
      </c>
    </row>
    <row r="1500" spans="1:7" x14ac:dyDescent="0.3">
      <c r="A1500" s="5" t="str">
        <f t="shared" si="163"/>
        <v>Reebok</v>
      </c>
      <c r="B1500" s="5" t="str">
        <f t="shared" si="165"/>
        <v>Question Mid</v>
      </c>
      <c r="C1500" s="3">
        <f t="shared" si="164"/>
        <v>45757</v>
      </c>
      <c r="D1500" s="4">
        <f t="shared" ca="1" si="166"/>
        <v>109</v>
      </c>
      <c r="E1500" s="2">
        <f t="shared" ca="1" si="167"/>
        <v>9322</v>
      </c>
      <c r="F1500" s="2">
        <f t="shared" ca="1" si="168"/>
        <v>7284</v>
      </c>
      <c r="G1500" s="2">
        <f t="shared" ca="1" si="169"/>
        <v>471</v>
      </c>
    </row>
    <row r="1501" spans="1:7" x14ac:dyDescent="0.3">
      <c r="A1501" s="5" t="str">
        <f t="shared" si="163"/>
        <v>Nike</v>
      </c>
      <c r="B1501" s="5" t="str">
        <f t="shared" si="165"/>
        <v>Air Max 270</v>
      </c>
      <c r="C1501" s="3">
        <f t="shared" si="164"/>
        <v>45757</v>
      </c>
      <c r="D1501" s="4">
        <f t="shared" ca="1" si="166"/>
        <v>56</v>
      </c>
      <c r="E1501" s="2">
        <f t="shared" ca="1" si="167"/>
        <v>7741</v>
      </c>
      <c r="F1501" s="2">
        <f t="shared" ca="1" si="168"/>
        <v>22286</v>
      </c>
      <c r="G1501" s="2">
        <f t="shared" ca="1" si="169"/>
        <v>620</v>
      </c>
    </row>
    <row r="1502" spans="1:7" x14ac:dyDescent="0.3">
      <c r="A1502" s="5" t="str">
        <f t="shared" si="163"/>
        <v>Adidas</v>
      </c>
      <c r="B1502" s="5" t="str">
        <f t="shared" si="165"/>
        <v>Stan Smith</v>
      </c>
      <c r="C1502" s="3">
        <f t="shared" si="164"/>
        <v>45758</v>
      </c>
      <c r="D1502" s="4">
        <f t="shared" ca="1" si="166"/>
        <v>83</v>
      </c>
      <c r="E1502" s="2">
        <f t="shared" ca="1" si="167"/>
        <v>8002</v>
      </c>
      <c r="F1502" s="2">
        <f t="shared" ca="1" si="168"/>
        <v>22435</v>
      </c>
      <c r="G1502" s="2">
        <f t="shared" ca="1" si="169"/>
        <v>912</v>
      </c>
    </row>
    <row r="1503" spans="1:7" x14ac:dyDescent="0.3">
      <c r="A1503" s="5" t="str">
        <f t="shared" si="163"/>
        <v>Puma</v>
      </c>
      <c r="B1503" s="5" t="str">
        <f t="shared" si="165"/>
        <v>Cali Dream</v>
      </c>
      <c r="C1503" s="3">
        <f t="shared" si="164"/>
        <v>45758</v>
      </c>
      <c r="D1503" s="4">
        <f t="shared" ca="1" si="166"/>
        <v>158</v>
      </c>
      <c r="E1503" s="2">
        <f t="shared" ca="1" si="167"/>
        <v>4636</v>
      </c>
      <c r="F1503" s="2">
        <f t="shared" ca="1" si="168"/>
        <v>19728</v>
      </c>
      <c r="G1503" s="2">
        <f t="shared" ca="1" si="169"/>
        <v>1233</v>
      </c>
    </row>
    <row r="1504" spans="1:7" x14ac:dyDescent="0.3">
      <c r="A1504" s="5" t="str">
        <f t="shared" si="163"/>
        <v>New Balance</v>
      </c>
      <c r="B1504" s="5" t="str">
        <f t="shared" si="165"/>
        <v>9060</v>
      </c>
      <c r="C1504" s="3">
        <f t="shared" si="164"/>
        <v>45758</v>
      </c>
      <c r="D1504" s="4">
        <f t="shared" ca="1" si="166"/>
        <v>59</v>
      </c>
      <c r="E1504" s="2">
        <f t="shared" ca="1" si="167"/>
        <v>2168</v>
      </c>
      <c r="F1504" s="2">
        <f t="shared" ca="1" si="168"/>
        <v>26750</v>
      </c>
      <c r="G1504" s="2">
        <f t="shared" ca="1" si="169"/>
        <v>1882</v>
      </c>
    </row>
    <row r="1505" spans="1:7" x14ac:dyDescent="0.3">
      <c r="A1505" s="5" t="str">
        <f t="shared" si="163"/>
        <v>Reebok</v>
      </c>
      <c r="B1505" s="5" t="str">
        <f t="shared" si="165"/>
        <v>Zig Kinetica</v>
      </c>
      <c r="C1505" s="3">
        <f t="shared" si="164"/>
        <v>45758</v>
      </c>
      <c r="D1505" s="4">
        <f t="shared" ca="1" si="166"/>
        <v>58</v>
      </c>
      <c r="E1505" s="2">
        <f t="shared" ca="1" si="167"/>
        <v>9977</v>
      </c>
      <c r="F1505" s="2">
        <f t="shared" ca="1" si="168"/>
        <v>24867</v>
      </c>
      <c r="G1505" s="2">
        <f t="shared" ca="1" si="169"/>
        <v>1471</v>
      </c>
    </row>
    <row r="1506" spans="1:7" x14ac:dyDescent="0.3">
      <c r="A1506" s="5" t="str">
        <f t="shared" si="163"/>
        <v>Nike</v>
      </c>
      <c r="B1506" s="5" t="str">
        <f t="shared" si="165"/>
        <v>Jordan 1</v>
      </c>
      <c r="C1506" s="3">
        <f t="shared" si="164"/>
        <v>45758</v>
      </c>
      <c r="D1506" s="4">
        <f t="shared" ca="1" si="166"/>
        <v>103</v>
      </c>
      <c r="E1506" s="2">
        <f t="shared" ca="1" si="167"/>
        <v>6126</v>
      </c>
      <c r="F1506" s="2">
        <f t="shared" ca="1" si="168"/>
        <v>13468</v>
      </c>
      <c r="G1506" s="2">
        <f t="shared" ca="1" si="169"/>
        <v>916</v>
      </c>
    </row>
    <row r="1507" spans="1:7" x14ac:dyDescent="0.3">
      <c r="A1507" s="5" t="str">
        <f t="shared" si="163"/>
        <v>Adidas</v>
      </c>
      <c r="B1507" s="5" t="str">
        <f t="shared" si="165"/>
        <v>Ultraboost 23</v>
      </c>
      <c r="C1507" s="3">
        <f t="shared" si="164"/>
        <v>45758</v>
      </c>
      <c r="D1507" s="4">
        <f t="shared" ca="1" si="166"/>
        <v>232</v>
      </c>
      <c r="E1507" s="2">
        <f t="shared" ca="1" si="167"/>
        <v>5974</v>
      </c>
      <c r="F1507" s="2">
        <f t="shared" ca="1" si="168"/>
        <v>6478</v>
      </c>
      <c r="G1507" s="2">
        <f t="shared" ca="1" si="169"/>
        <v>409</v>
      </c>
    </row>
    <row r="1508" spans="1:7" x14ac:dyDescent="0.3">
      <c r="A1508" s="5" t="str">
        <f t="shared" si="163"/>
        <v>Puma</v>
      </c>
      <c r="B1508" s="5" t="str">
        <f t="shared" si="165"/>
        <v>RS-X</v>
      </c>
      <c r="C1508" s="3">
        <f t="shared" si="164"/>
        <v>45758</v>
      </c>
      <c r="D1508" s="4">
        <f t="shared" ca="1" si="166"/>
        <v>110</v>
      </c>
      <c r="E1508" s="2">
        <f t="shared" ca="1" si="167"/>
        <v>3757</v>
      </c>
      <c r="F1508" s="2">
        <f t="shared" ca="1" si="168"/>
        <v>19109</v>
      </c>
      <c r="G1508" s="2">
        <f t="shared" ca="1" si="169"/>
        <v>883</v>
      </c>
    </row>
    <row r="1509" spans="1:7" x14ac:dyDescent="0.3">
      <c r="A1509" s="5" t="str">
        <f t="shared" si="163"/>
        <v>New Balance</v>
      </c>
      <c r="B1509" s="5" t="str">
        <f t="shared" si="165"/>
        <v>2002R</v>
      </c>
      <c r="C1509" s="3">
        <f t="shared" si="164"/>
        <v>45758</v>
      </c>
      <c r="D1509" s="4">
        <f t="shared" ca="1" si="166"/>
        <v>173</v>
      </c>
      <c r="E1509" s="2">
        <f t="shared" ca="1" si="167"/>
        <v>4159</v>
      </c>
      <c r="F1509" s="2">
        <f t="shared" ca="1" si="168"/>
        <v>18907</v>
      </c>
      <c r="G1509" s="2">
        <f t="shared" ca="1" si="169"/>
        <v>1367</v>
      </c>
    </row>
    <row r="1510" spans="1:7" x14ac:dyDescent="0.3">
      <c r="A1510" s="5" t="str">
        <f t="shared" si="163"/>
        <v>Reebok</v>
      </c>
      <c r="B1510" s="5" t="str">
        <f t="shared" si="165"/>
        <v>Instapump Fury</v>
      </c>
      <c r="C1510" s="3">
        <f t="shared" si="164"/>
        <v>45758</v>
      </c>
      <c r="D1510" s="4">
        <f t="shared" ca="1" si="166"/>
        <v>98</v>
      </c>
      <c r="E1510" s="2">
        <f t="shared" ca="1" si="167"/>
        <v>8986</v>
      </c>
      <c r="F1510" s="2">
        <f t="shared" ca="1" si="168"/>
        <v>27879</v>
      </c>
      <c r="G1510" s="2">
        <f t="shared" ca="1" si="169"/>
        <v>1417</v>
      </c>
    </row>
    <row r="1511" spans="1:7" x14ac:dyDescent="0.3">
      <c r="A1511" s="5" t="str">
        <f t="shared" si="163"/>
        <v>Nike</v>
      </c>
      <c r="B1511" s="5" t="str">
        <f t="shared" si="165"/>
        <v>Cortez</v>
      </c>
      <c r="C1511" s="3">
        <f t="shared" si="164"/>
        <v>45758</v>
      </c>
      <c r="D1511" s="4">
        <f t="shared" ca="1" si="166"/>
        <v>179</v>
      </c>
      <c r="E1511" s="2">
        <f t="shared" ca="1" si="167"/>
        <v>4970</v>
      </c>
      <c r="F1511" s="2">
        <f t="shared" ca="1" si="168"/>
        <v>27816</v>
      </c>
      <c r="G1511" s="2">
        <f t="shared" ca="1" si="169"/>
        <v>1547</v>
      </c>
    </row>
    <row r="1512" spans="1:7" x14ac:dyDescent="0.3">
      <c r="A1512" s="5" t="str">
        <f t="shared" si="163"/>
        <v>Adidas</v>
      </c>
      <c r="B1512" s="5" t="str">
        <f t="shared" si="165"/>
        <v>NMD S1</v>
      </c>
      <c r="C1512" s="3">
        <f t="shared" si="164"/>
        <v>45758</v>
      </c>
      <c r="D1512" s="4">
        <f t="shared" ca="1" si="166"/>
        <v>121</v>
      </c>
      <c r="E1512" s="2">
        <f t="shared" ca="1" si="167"/>
        <v>6353</v>
      </c>
      <c r="F1512" s="2">
        <f t="shared" ca="1" si="168"/>
        <v>26826</v>
      </c>
      <c r="G1512" s="2">
        <f t="shared" ca="1" si="169"/>
        <v>1507</v>
      </c>
    </row>
    <row r="1513" spans="1:7" x14ac:dyDescent="0.3">
      <c r="A1513" s="5" t="str">
        <f t="shared" si="163"/>
        <v>Puma</v>
      </c>
      <c r="B1513" s="5" t="str">
        <f t="shared" si="165"/>
        <v>Suede Classic</v>
      </c>
      <c r="C1513" s="3">
        <f t="shared" si="164"/>
        <v>45758</v>
      </c>
      <c r="D1513" s="4">
        <f t="shared" ca="1" si="166"/>
        <v>40</v>
      </c>
      <c r="E1513" s="2">
        <f t="shared" ca="1" si="167"/>
        <v>6739</v>
      </c>
      <c r="F1513" s="2">
        <f t="shared" ca="1" si="168"/>
        <v>29634</v>
      </c>
      <c r="G1513" s="2">
        <f t="shared" ca="1" si="169"/>
        <v>715</v>
      </c>
    </row>
    <row r="1514" spans="1:7" x14ac:dyDescent="0.3">
      <c r="A1514" s="5" t="str">
        <f t="shared" si="163"/>
        <v>New Balance</v>
      </c>
      <c r="B1514" s="5" t="str">
        <f t="shared" si="165"/>
        <v>990v6</v>
      </c>
      <c r="C1514" s="3">
        <f t="shared" si="164"/>
        <v>45758</v>
      </c>
      <c r="D1514" s="4">
        <f t="shared" ca="1" si="166"/>
        <v>217</v>
      </c>
      <c r="E1514" s="2">
        <f t="shared" ca="1" si="167"/>
        <v>9952</v>
      </c>
      <c r="F1514" s="2">
        <f t="shared" ca="1" si="168"/>
        <v>20787</v>
      </c>
      <c r="G1514" s="2">
        <f t="shared" ca="1" si="169"/>
        <v>1262</v>
      </c>
    </row>
    <row r="1515" spans="1:7" x14ac:dyDescent="0.3">
      <c r="A1515" s="5" t="str">
        <f t="shared" ref="A1515:A1578" si="170">CHOOSE(MOD(ROW(A1514),5)+1,"Nike","Adidas","Puma","New Balance","Reebok")</f>
        <v>Reebok</v>
      </c>
      <c r="B1515" s="5" t="str">
        <f t="shared" si="165"/>
        <v>Nano X3</v>
      </c>
      <c r="C1515" s="3">
        <f t="shared" ref="C1515:C1578" si="171">DATE(2025,1,1)+INT((ROW(A1515)-2)/15)</f>
        <v>45758</v>
      </c>
      <c r="D1515" s="4">
        <f t="shared" ca="1" si="166"/>
        <v>152</v>
      </c>
      <c r="E1515" s="2">
        <f t="shared" ca="1" si="167"/>
        <v>8005</v>
      </c>
      <c r="F1515" s="2">
        <f t="shared" ca="1" si="168"/>
        <v>15172</v>
      </c>
      <c r="G1515" s="2">
        <f t="shared" ca="1" si="169"/>
        <v>322</v>
      </c>
    </row>
    <row r="1516" spans="1:7" x14ac:dyDescent="0.3">
      <c r="A1516" s="5" t="str">
        <f t="shared" si="170"/>
        <v>Nike</v>
      </c>
      <c r="B1516" s="5" t="str">
        <f t="shared" si="165"/>
        <v>Vaporfly 3</v>
      </c>
      <c r="C1516" s="3">
        <f t="shared" si="171"/>
        <v>45758</v>
      </c>
      <c r="D1516" s="4">
        <f t="shared" ca="1" si="166"/>
        <v>128</v>
      </c>
      <c r="E1516" s="2">
        <f t="shared" ca="1" si="167"/>
        <v>11120</v>
      </c>
      <c r="F1516" s="2">
        <f t="shared" ca="1" si="168"/>
        <v>12037</v>
      </c>
      <c r="G1516" s="2">
        <f t="shared" ca="1" si="169"/>
        <v>309</v>
      </c>
    </row>
    <row r="1517" spans="1:7" x14ac:dyDescent="0.3">
      <c r="A1517" s="5" t="str">
        <f t="shared" si="170"/>
        <v>Adidas</v>
      </c>
      <c r="B1517" s="5" t="str">
        <f t="shared" si="165"/>
        <v>Samba</v>
      </c>
      <c r="C1517" s="3">
        <f t="shared" si="171"/>
        <v>45759</v>
      </c>
      <c r="D1517" s="4">
        <f t="shared" ca="1" si="166"/>
        <v>143</v>
      </c>
      <c r="E1517" s="2">
        <f t="shared" ca="1" si="167"/>
        <v>3747</v>
      </c>
      <c r="F1517" s="2">
        <f t="shared" ca="1" si="168"/>
        <v>24848</v>
      </c>
      <c r="G1517" s="2">
        <f t="shared" ca="1" si="169"/>
        <v>897</v>
      </c>
    </row>
    <row r="1518" spans="1:7" x14ac:dyDescent="0.3">
      <c r="A1518" s="5" t="str">
        <f t="shared" si="170"/>
        <v>Puma</v>
      </c>
      <c r="B1518" s="5" t="str">
        <f t="shared" si="165"/>
        <v>Mayze</v>
      </c>
      <c r="C1518" s="3">
        <f t="shared" si="171"/>
        <v>45759</v>
      </c>
      <c r="D1518" s="4">
        <f t="shared" ca="1" si="166"/>
        <v>112</v>
      </c>
      <c r="E1518" s="2">
        <f t="shared" ca="1" si="167"/>
        <v>7531</v>
      </c>
      <c r="F1518" s="2">
        <f t="shared" ca="1" si="168"/>
        <v>9416</v>
      </c>
      <c r="G1518" s="2">
        <f t="shared" ca="1" si="169"/>
        <v>696</v>
      </c>
    </row>
    <row r="1519" spans="1:7" x14ac:dyDescent="0.3">
      <c r="A1519" s="5" t="str">
        <f t="shared" si="170"/>
        <v>New Balance</v>
      </c>
      <c r="B1519" s="5" t="str">
        <f t="shared" si="165"/>
        <v>574 Core</v>
      </c>
      <c r="C1519" s="3">
        <f t="shared" si="171"/>
        <v>45759</v>
      </c>
      <c r="D1519" s="4">
        <f t="shared" ca="1" si="166"/>
        <v>171</v>
      </c>
      <c r="E1519" s="2">
        <f t="shared" ca="1" si="167"/>
        <v>6224</v>
      </c>
      <c r="F1519" s="2">
        <f t="shared" ca="1" si="168"/>
        <v>13247</v>
      </c>
      <c r="G1519" s="2">
        <f t="shared" ca="1" si="169"/>
        <v>729</v>
      </c>
    </row>
    <row r="1520" spans="1:7" x14ac:dyDescent="0.3">
      <c r="A1520" s="5" t="str">
        <f t="shared" si="170"/>
        <v>Reebok</v>
      </c>
      <c r="B1520" s="5" t="str">
        <f t="shared" si="165"/>
        <v>Club C 85</v>
      </c>
      <c r="C1520" s="3">
        <f t="shared" si="171"/>
        <v>45759</v>
      </c>
      <c r="D1520" s="4">
        <f t="shared" ca="1" si="166"/>
        <v>202</v>
      </c>
      <c r="E1520" s="2">
        <f t="shared" ca="1" si="167"/>
        <v>3668</v>
      </c>
      <c r="F1520" s="2">
        <f t="shared" ca="1" si="168"/>
        <v>30064</v>
      </c>
      <c r="G1520" s="2">
        <f t="shared" ca="1" si="169"/>
        <v>1860</v>
      </c>
    </row>
    <row r="1521" spans="1:7" x14ac:dyDescent="0.3">
      <c r="A1521" s="5" t="str">
        <f t="shared" si="170"/>
        <v>Nike</v>
      </c>
      <c r="B1521" s="5" t="str">
        <f t="shared" si="165"/>
        <v>Pegasus 40</v>
      </c>
      <c r="C1521" s="3">
        <f t="shared" si="171"/>
        <v>45759</v>
      </c>
      <c r="D1521" s="4">
        <f t="shared" ca="1" si="166"/>
        <v>217</v>
      </c>
      <c r="E1521" s="2">
        <f t="shared" ca="1" si="167"/>
        <v>5401</v>
      </c>
      <c r="F1521" s="2">
        <f t="shared" ca="1" si="168"/>
        <v>22451</v>
      </c>
      <c r="G1521" s="2">
        <f t="shared" ca="1" si="169"/>
        <v>1163</v>
      </c>
    </row>
    <row r="1522" spans="1:7" x14ac:dyDescent="0.3">
      <c r="A1522" s="5" t="str">
        <f t="shared" si="170"/>
        <v>Adidas</v>
      </c>
      <c r="B1522" s="5" t="str">
        <f t="shared" si="165"/>
        <v>Gazelle</v>
      </c>
      <c r="C1522" s="3">
        <f t="shared" si="171"/>
        <v>45759</v>
      </c>
      <c r="D1522" s="4">
        <f t="shared" ca="1" si="166"/>
        <v>40</v>
      </c>
      <c r="E1522" s="2">
        <f t="shared" ca="1" si="167"/>
        <v>6562</v>
      </c>
      <c r="F1522" s="2">
        <f t="shared" ca="1" si="168"/>
        <v>32843</v>
      </c>
      <c r="G1522" s="2">
        <f t="shared" ca="1" si="169"/>
        <v>2071</v>
      </c>
    </row>
    <row r="1523" spans="1:7" x14ac:dyDescent="0.3">
      <c r="A1523" s="5" t="str">
        <f t="shared" si="170"/>
        <v>Puma</v>
      </c>
      <c r="B1523" s="5" t="str">
        <f t="shared" si="165"/>
        <v>Slipstream</v>
      </c>
      <c r="C1523" s="3">
        <f t="shared" si="171"/>
        <v>45759</v>
      </c>
      <c r="D1523" s="4">
        <f t="shared" ca="1" si="166"/>
        <v>112</v>
      </c>
      <c r="E1523" s="2">
        <f t="shared" ca="1" si="167"/>
        <v>9585</v>
      </c>
      <c r="F1523" s="2">
        <f t="shared" ca="1" si="168"/>
        <v>26091</v>
      </c>
      <c r="G1523" s="2">
        <f t="shared" ca="1" si="169"/>
        <v>1171</v>
      </c>
    </row>
    <row r="1524" spans="1:7" x14ac:dyDescent="0.3">
      <c r="A1524" s="5" t="str">
        <f t="shared" si="170"/>
        <v>New Balance</v>
      </c>
      <c r="B1524" s="5" t="str">
        <f t="shared" si="165"/>
        <v>550</v>
      </c>
      <c r="C1524" s="3">
        <f t="shared" si="171"/>
        <v>45759</v>
      </c>
      <c r="D1524" s="4">
        <f t="shared" ca="1" si="166"/>
        <v>111</v>
      </c>
      <c r="E1524" s="2">
        <f t="shared" ca="1" si="167"/>
        <v>7625</v>
      </c>
      <c r="F1524" s="2">
        <f t="shared" ca="1" si="168"/>
        <v>13470</v>
      </c>
      <c r="G1524" s="2">
        <f t="shared" ca="1" si="169"/>
        <v>409</v>
      </c>
    </row>
    <row r="1525" spans="1:7" x14ac:dyDescent="0.3">
      <c r="A1525" s="5" t="str">
        <f t="shared" si="170"/>
        <v>Reebok</v>
      </c>
      <c r="B1525" s="5" t="str">
        <f t="shared" si="165"/>
        <v>Classic Leather</v>
      </c>
      <c r="C1525" s="3">
        <f t="shared" si="171"/>
        <v>45759</v>
      </c>
      <c r="D1525" s="4">
        <f t="shared" ca="1" si="166"/>
        <v>222</v>
      </c>
      <c r="E1525" s="2">
        <f t="shared" ca="1" si="167"/>
        <v>7886</v>
      </c>
      <c r="F1525" s="2">
        <f t="shared" ca="1" si="168"/>
        <v>24646</v>
      </c>
      <c r="G1525" s="2">
        <f t="shared" ca="1" si="169"/>
        <v>1148</v>
      </c>
    </row>
    <row r="1526" spans="1:7" x14ac:dyDescent="0.3">
      <c r="A1526" s="5" t="str">
        <f t="shared" si="170"/>
        <v>Nike</v>
      </c>
      <c r="B1526" s="5" t="str">
        <f t="shared" si="165"/>
        <v>Air Force 1</v>
      </c>
      <c r="C1526" s="3">
        <f t="shared" si="171"/>
        <v>45759</v>
      </c>
      <c r="D1526" s="4">
        <f t="shared" ca="1" si="166"/>
        <v>232</v>
      </c>
      <c r="E1526" s="2">
        <f t="shared" ca="1" si="167"/>
        <v>2584</v>
      </c>
      <c r="F1526" s="2">
        <f t="shared" ca="1" si="168"/>
        <v>27228</v>
      </c>
      <c r="G1526" s="2">
        <f t="shared" ca="1" si="169"/>
        <v>1054</v>
      </c>
    </row>
    <row r="1527" spans="1:7" x14ac:dyDescent="0.3">
      <c r="A1527" s="5" t="str">
        <f t="shared" si="170"/>
        <v>Adidas</v>
      </c>
      <c r="B1527" s="5" t="str">
        <f t="shared" si="165"/>
        <v>Superstar</v>
      </c>
      <c r="C1527" s="3">
        <f t="shared" si="171"/>
        <v>45759</v>
      </c>
      <c r="D1527" s="4">
        <f t="shared" ca="1" si="166"/>
        <v>203</v>
      </c>
      <c r="E1527" s="2">
        <f t="shared" ca="1" si="167"/>
        <v>7818</v>
      </c>
      <c r="F1527" s="2">
        <f t="shared" ca="1" si="168"/>
        <v>13217</v>
      </c>
      <c r="G1527" s="2">
        <f t="shared" ca="1" si="169"/>
        <v>281</v>
      </c>
    </row>
    <row r="1528" spans="1:7" x14ac:dyDescent="0.3">
      <c r="A1528" s="5" t="str">
        <f t="shared" si="170"/>
        <v>Puma</v>
      </c>
      <c r="B1528" s="5" t="str">
        <f t="shared" si="165"/>
        <v>Rider Vintage</v>
      </c>
      <c r="C1528" s="3">
        <f t="shared" si="171"/>
        <v>45759</v>
      </c>
      <c r="D1528" s="4">
        <f t="shared" ca="1" si="166"/>
        <v>27</v>
      </c>
      <c r="E1528" s="2">
        <f t="shared" ca="1" si="167"/>
        <v>10153</v>
      </c>
      <c r="F1528" s="2">
        <f t="shared" ca="1" si="168"/>
        <v>33811</v>
      </c>
      <c r="G1528" s="2">
        <f t="shared" ca="1" si="169"/>
        <v>1882</v>
      </c>
    </row>
    <row r="1529" spans="1:7" x14ac:dyDescent="0.3">
      <c r="A1529" s="5" t="str">
        <f t="shared" si="170"/>
        <v>New Balance</v>
      </c>
      <c r="B1529" s="5" t="str">
        <f t="shared" si="165"/>
        <v>327</v>
      </c>
      <c r="C1529" s="3">
        <f t="shared" si="171"/>
        <v>45759</v>
      </c>
      <c r="D1529" s="4">
        <f t="shared" ca="1" si="166"/>
        <v>201</v>
      </c>
      <c r="E1529" s="2">
        <f t="shared" ca="1" si="167"/>
        <v>6796</v>
      </c>
      <c r="F1529" s="2">
        <f t="shared" ca="1" si="168"/>
        <v>16315</v>
      </c>
      <c r="G1529" s="2">
        <f t="shared" ca="1" si="169"/>
        <v>943</v>
      </c>
    </row>
    <row r="1530" spans="1:7" x14ac:dyDescent="0.3">
      <c r="A1530" s="5" t="str">
        <f t="shared" si="170"/>
        <v>Reebok</v>
      </c>
      <c r="B1530" s="5" t="str">
        <f t="shared" si="165"/>
        <v>Question Mid</v>
      </c>
      <c r="C1530" s="3">
        <f t="shared" si="171"/>
        <v>45759</v>
      </c>
      <c r="D1530" s="4">
        <f t="shared" ca="1" si="166"/>
        <v>151</v>
      </c>
      <c r="E1530" s="2">
        <f t="shared" ca="1" si="167"/>
        <v>3475</v>
      </c>
      <c r="F1530" s="2">
        <f t="shared" ca="1" si="168"/>
        <v>12862</v>
      </c>
      <c r="G1530" s="2">
        <f t="shared" ca="1" si="169"/>
        <v>622</v>
      </c>
    </row>
    <row r="1531" spans="1:7" x14ac:dyDescent="0.3">
      <c r="A1531" s="5" t="str">
        <f t="shared" si="170"/>
        <v>Nike</v>
      </c>
      <c r="B1531" s="5" t="str">
        <f t="shared" si="165"/>
        <v>Air Max 270</v>
      </c>
      <c r="C1531" s="3">
        <f t="shared" si="171"/>
        <v>45759</v>
      </c>
      <c r="D1531" s="4">
        <f t="shared" ca="1" si="166"/>
        <v>140</v>
      </c>
      <c r="E1531" s="2">
        <f t="shared" ca="1" si="167"/>
        <v>5947</v>
      </c>
      <c r="F1531" s="2">
        <f t="shared" ca="1" si="168"/>
        <v>32516</v>
      </c>
      <c r="G1531" s="2">
        <f t="shared" ca="1" si="169"/>
        <v>2188</v>
      </c>
    </row>
    <row r="1532" spans="1:7" x14ac:dyDescent="0.3">
      <c r="A1532" s="5" t="str">
        <f t="shared" si="170"/>
        <v>Adidas</v>
      </c>
      <c r="B1532" s="5" t="str">
        <f t="shared" si="165"/>
        <v>Stan Smith</v>
      </c>
      <c r="C1532" s="3">
        <f t="shared" si="171"/>
        <v>45760</v>
      </c>
      <c r="D1532" s="4">
        <f t="shared" ca="1" si="166"/>
        <v>216</v>
      </c>
      <c r="E1532" s="2">
        <f t="shared" ca="1" si="167"/>
        <v>2161</v>
      </c>
      <c r="F1532" s="2">
        <f t="shared" ca="1" si="168"/>
        <v>8109</v>
      </c>
      <c r="G1532" s="2">
        <f t="shared" ca="1" si="169"/>
        <v>195</v>
      </c>
    </row>
    <row r="1533" spans="1:7" x14ac:dyDescent="0.3">
      <c r="A1533" s="5" t="str">
        <f t="shared" si="170"/>
        <v>Puma</v>
      </c>
      <c r="B1533" s="5" t="str">
        <f t="shared" si="165"/>
        <v>Cali Dream</v>
      </c>
      <c r="C1533" s="3">
        <f t="shared" si="171"/>
        <v>45760</v>
      </c>
      <c r="D1533" s="4">
        <f t="shared" ca="1" si="166"/>
        <v>104</v>
      </c>
      <c r="E1533" s="2">
        <f t="shared" ca="1" si="167"/>
        <v>10069</v>
      </c>
      <c r="F1533" s="2">
        <f t="shared" ca="1" si="168"/>
        <v>8846</v>
      </c>
      <c r="G1533" s="2">
        <f t="shared" ca="1" si="169"/>
        <v>247</v>
      </c>
    </row>
    <row r="1534" spans="1:7" x14ac:dyDescent="0.3">
      <c r="A1534" s="5" t="str">
        <f t="shared" si="170"/>
        <v>New Balance</v>
      </c>
      <c r="B1534" s="5" t="str">
        <f t="shared" si="165"/>
        <v>9060</v>
      </c>
      <c r="C1534" s="3">
        <f t="shared" si="171"/>
        <v>45760</v>
      </c>
      <c r="D1534" s="4">
        <f t="shared" ca="1" si="166"/>
        <v>209</v>
      </c>
      <c r="E1534" s="2">
        <f t="shared" ca="1" si="167"/>
        <v>5249</v>
      </c>
      <c r="F1534" s="2">
        <f t="shared" ca="1" si="168"/>
        <v>18333</v>
      </c>
      <c r="G1534" s="2">
        <f t="shared" ca="1" si="169"/>
        <v>732</v>
      </c>
    </row>
    <row r="1535" spans="1:7" x14ac:dyDescent="0.3">
      <c r="A1535" s="5" t="str">
        <f t="shared" si="170"/>
        <v>Reebok</v>
      </c>
      <c r="B1535" s="5" t="str">
        <f t="shared" si="165"/>
        <v>Zig Kinetica</v>
      </c>
      <c r="C1535" s="3">
        <f t="shared" si="171"/>
        <v>45760</v>
      </c>
      <c r="D1535" s="4">
        <f t="shared" ca="1" si="166"/>
        <v>229</v>
      </c>
      <c r="E1535" s="2">
        <f t="shared" ca="1" si="167"/>
        <v>9300</v>
      </c>
      <c r="F1535" s="2">
        <f t="shared" ca="1" si="168"/>
        <v>15245</v>
      </c>
      <c r="G1535" s="2">
        <f t="shared" ca="1" si="169"/>
        <v>715</v>
      </c>
    </row>
    <row r="1536" spans="1:7" x14ac:dyDescent="0.3">
      <c r="A1536" s="5" t="str">
        <f t="shared" si="170"/>
        <v>Nike</v>
      </c>
      <c r="B1536" s="5" t="str">
        <f t="shared" si="165"/>
        <v>Jordan 1</v>
      </c>
      <c r="C1536" s="3">
        <f t="shared" si="171"/>
        <v>45760</v>
      </c>
      <c r="D1536" s="4">
        <f t="shared" ca="1" si="166"/>
        <v>237</v>
      </c>
      <c r="E1536" s="2">
        <f t="shared" ca="1" si="167"/>
        <v>8687</v>
      </c>
      <c r="F1536" s="2">
        <f t="shared" ca="1" si="168"/>
        <v>14370</v>
      </c>
      <c r="G1536" s="2">
        <f t="shared" ca="1" si="169"/>
        <v>360</v>
      </c>
    </row>
    <row r="1537" spans="1:7" x14ac:dyDescent="0.3">
      <c r="A1537" s="5" t="str">
        <f t="shared" si="170"/>
        <v>Adidas</v>
      </c>
      <c r="B1537" s="5" t="str">
        <f t="shared" si="165"/>
        <v>Ultraboost 23</v>
      </c>
      <c r="C1537" s="3">
        <f t="shared" si="171"/>
        <v>45760</v>
      </c>
      <c r="D1537" s="4">
        <f t="shared" ca="1" si="166"/>
        <v>81</v>
      </c>
      <c r="E1537" s="2">
        <f t="shared" ca="1" si="167"/>
        <v>11855</v>
      </c>
      <c r="F1537" s="2">
        <f t="shared" ca="1" si="168"/>
        <v>8341</v>
      </c>
      <c r="G1537" s="2">
        <f t="shared" ca="1" si="169"/>
        <v>346</v>
      </c>
    </row>
    <row r="1538" spans="1:7" x14ac:dyDescent="0.3">
      <c r="A1538" s="5" t="str">
        <f t="shared" si="170"/>
        <v>Puma</v>
      </c>
      <c r="B1538" s="5" t="str">
        <f t="shared" si="165"/>
        <v>RS-X</v>
      </c>
      <c r="C1538" s="3">
        <f t="shared" si="171"/>
        <v>45760</v>
      </c>
      <c r="D1538" s="4">
        <f t="shared" ca="1" si="166"/>
        <v>47</v>
      </c>
      <c r="E1538" s="2">
        <f t="shared" ca="1" si="167"/>
        <v>7501</v>
      </c>
      <c r="F1538" s="2">
        <f t="shared" ca="1" si="168"/>
        <v>30088</v>
      </c>
      <c r="G1538" s="2">
        <f t="shared" ca="1" si="169"/>
        <v>1767</v>
      </c>
    </row>
    <row r="1539" spans="1:7" x14ac:dyDescent="0.3">
      <c r="A1539" s="5" t="str">
        <f t="shared" si="170"/>
        <v>New Balance</v>
      </c>
      <c r="B1539" s="5" t="str">
        <f t="shared" ref="B1539:B1602" si="172">IF(A1539="Nike",CHOOSE(MOD(ROW(A1538),6)+1,"Air Max 270","Air Force 1","Pegasus 40","Vaporfly 3","Cortez","Jordan 1"),
 IF(A1539="Adidas",CHOOSE(MOD(ROW(A1538),6)+1,"Ultraboost 23","Stan Smith","Superstar","Gazelle","Samba","NMD S1"),
 IF(A1539="Puma",CHOOSE(MOD(ROW(A1538),6)+1,"Suede Classic","RS-X","Cali Dream","Rider Vintage","Slipstream","Mayze"),
 IF(A1539="New Balance",CHOOSE(MOD(ROW(A1538),6)+1,"574 Core","990v6","2002R","9060","327","550"),
 IF(A1539="Reebok",CHOOSE(MOD(ROW(A1538),6)+1,"Classic Leather","Club C 85","Nano X3","Instapump Fury","Zig Kinetica","Question Mid"),"")))))</f>
        <v>2002R</v>
      </c>
      <c r="C1539" s="3">
        <f t="shared" si="171"/>
        <v>45760</v>
      </c>
      <c r="D1539" s="4">
        <f t="shared" ref="D1539:D1602" ca="1" si="173">RANDBETWEEN(20,250)</f>
        <v>33</v>
      </c>
      <c r="E1539" s="2">
        <f t="shared" ref="E1539:E1602" ca="1" si="174">ROUND(RANDBETWEEN(1500,12000)+(RANDBETWEEN(-200,200)),2)</f>
        <v>5728</v>
      </c>
      <c r="F1539" s="2">
        <f t="shared" ref="F1539:F1602" ca="1" si="175">RANDBETWEEN(5000,35000)</f>
        <v>21004</v>
      </c>
      <c r="G1539" s="2">
        <f t="shared" ref="G1539:G1602" ca="1" si="176">RANDBETWEEN(ROUND(F1539*0.02,0),ROUND(F1539*0.08,0))</f>
        <v>1207</v>
      </c>
    </row>
    <row r="1540" spans="1:7" x14ac:dyDescent="0.3">
      <c r="A1540" s="5" t="str">
        <f t="shared" si="170"/>
        <v>Reebok</v>
      </c>
      <c r="B1540" s="5" t="str">
        <f t="shared" si="172"/>
        <v>Instapump Fury</v>
      </c>
      <c r="C1540" s="3">
        <f t="shared" si="171"/>
        <v>45760</v>
      </c>
      <c r="D1540" s="4">
        <f t="shared" ca="1" si="173"/>
        <v>130</v>
      </c>
      <c r="E1540" s="2">
        <f t="shared" ca="1" si="174"/>
        <v>8786</v>
      </c>
      <c r="F1540" s="2">
        <f t="shared" ca="1" si="175"/>
        <v>25301</v>
      </c>
      <c r="G1540" s="2">
        <f t="shared" ca="1" si="176"/>
        <v>728</v>
      </c>
    </row>
    <row r="1541" spans="1:7" x14ac:dyDescent="0.3">
      <c r="A1541" s="5" t="str">
        <f t="shared" si="170"/>
        <v>Nike</v>
      </c>
      <c r="B1541" s="5" t="str">
        <f t="shared" si="172"/>
        <v>Cortez</v>
      </c>
      <c r="C1541" s="3">
        <f t="shared" si="171"/>
        <v>45760</v>
      </c>
      <c r="D1541" s="4">
        <f t="shared" ca="1" si="173"/>
        <v>156</v>
      </c>
      <c r="E1541" s="2">
        <f t="shared" ca="1" si="174"/>
        <v>6125</v>
      </c>
      <c r="F1541" s="2">
        <f t="shared" ca="1" si="175"/>
        <v>29243</v>
      </c>
      <c r="G1541" s="2">
        <f t="shared" ca="1" si="176"/>
        <v>1268</v>
      </c>
    </row>
    <row r="1542" spans="1:7" x14ac:dyDescent="0.3">
      <c r="A1542" s="5" t="str">
        <f t="shared" si="170"/>
        <v>Adidas</v>
      </c>
      <c r="B1542" s="5" t="str">
        <f t="shared" si="172"/>
        <v>NMD S1</v>
      </c>
      <c r="C1542" s="3">
        <f t="shared" si="171"/>
        <v>45760</v>
      </c>
      <c r="D1542" s="4">
        <f t="shared" ca="1" si="173"/>
        <v>86</v>
      </c>
      <c r="E1542" s="2">
        <f t="shared" ca="1" si="174"/>
        <v>9613</v>
      </c>
      <c r="F1542" s="2">
        <f t="shared" ca="1" si="175"/>
        <v>11161</v>
      </c>
      <c r="G1542" s="2">
        <f t="shared" ca="1" si="176"/>
        <v>844</v>
      </c>
    </row>
    <row r="1543" spans="1:7" x14ac:dyDescent="0.3">
      <c r="A1543" s="5" t="str">
        <f t="shared" si="170"/>
        <v>Puma</v>
      </c>
      <c r="B1543" s="5" t="str">
        <f t="shared" si="172"/>
        <v>Suede Classic</v>
      </c>
      <c r="C1543" s="3">
        <f t="shared" si="171"/>
        <v>45760</v>
      </c>
      <c r="D1543" s="4">
        <f t="shared" ca="1" si="173"/>
        <v>223</v>
      </c>
      <c r="E1543" s="2">
        <f t="shared" ca="1" si="174"/>
        <v>5310</v>
      </c>
      <c r="F1543" s="2">
        <f t="shared" ca="1" si="175"/>
        <v>12885</v>
      </c>
      <c r="G1543" s="2">
        <f t="shared" ca="1" si="176"/>
        <v>356</v>
      </c>
    </row>
    <row r="1544" spans="1:7" x14ac:dyDescent="0.3">
      <c r="A1544" s="5" t="str">
        <f t="shared" si="170"/>
        <v>New Balance</v>
      </c>
      <c r="B1544" s="5" t="str">
        <f t="shared" si="172"/>
        <v>990v6</v>
      </c>
      <c r="C1544" s="3">
        <f t="shared" si="171"/>
        <v>45760</v>
      </c>
      <c r="D1544" s="4">
        <f t="shared" ca="1" si="173"/>
        <v>73</v>
      </c>
      <c r="E1544" s="2">
        <f t="shared" ca="1" si="174"/>
        <v>4480</v>
      </c>
      <c r="F1544" s="2">
        <f t="shared" ca="1" si="175"/>
        <v>26899</v>
      </c>
      <c r="G1544" s="2">
        <f t="shared" ca="1" si="176"/>
        <v>2035</v>
      </c>
    </row>
    <row r="1545" spans="1:7" x14ac:dyDescent="0.3">
      <c r="A1545" s="5" t="str">
        <f t="shared" si="170"/>
        <v>Reebok</v>
      </c>
      <c r="B1545" s="5" t="str">
        <f t="shared" si="172"/>
        <v>Nano X3</v>
      </c>
      <c r="C1545" s="3">
        <f t="shared" si="171"/>
        <v>45760</v>
      </c>
      <c r="D1545" s="4">
        <f t="shared" ca="1" si="173"/>
        <v>72</v>
      </c>
      <c r="E1545" s="2">
        <f t="shared" ca="1" si="174"/>
        <v>9193</v>
      </c>
      <c r="F1545" s="2">
        <f t="shared" ca="1" si="175"/>
        <v>33618</v>
      </c>
      <c r="G1545" s="2">
        <f t="shared" ca="1" si="176"/>
        <v>2458</v>
      </c>
    </row>
    <row r="1546" spans="1:7" x14ac:dyDescent="0.3">
      <c r="A1546" s="5" t="str">
        <f t="shared" si="170"/>
        <v>Nike</v>
      </c>
      <c r="B1546" s="5" t="str">
        <f t="shared" si="172"/>
        <v>Vaporfly 3</v>
      </c>
      <c r="C1546" s="3">
        <f t="shared" si="171"/>
        <v>45760</v>
      </c>
      <c r="D1546" s="4">
        <f t="shared" ca="1" si="173"/>
        <v>39</v>
      </c>
      <c r="E1546" s="2">
        <f t="shared" ca="1" si="174"/>
        <v>11498</v>
      </c>
      <c r="F1546" s="2">
        <f t="shared" ca="1" si="175"/>
        <v>23074</v>
      </c>
      <c r="G1546" s="2">
        <f t="shared" ca="1" si="176"/>
        <v>1084</v>
      </c>
    </row>
    <row r="1547" spans="1:7" x14ac:dyDescent="0.3">
      <c r="A1547" s="5" t="str">
        <f t="shared" si="170"/>
        <v>Adidas</v>
      </c>
      <c r="B1547" s="5" t="str">
        <f t="shared" si="172"/>
        <v>Samba</v>
      </c>
      <c r="C1547" s="3">
        <f t="shared" si="171"/>
        <v>45761</v>
      </c>
      <c r="D1547" s="4">
        <f t="shared" ca="1" si="173"/>
        <v>56</v>
      </c>
      <c r="E1547" s="2">
        <f t="shared" ca="1" si="174"/>
        <v>9461</v>
      </c>
      <c r="F1547" s="2">
        <f t="shared" ca="1" si="175"/>
        <v>8525</v>
      </c>
      <c r="G1547" s="2">
        <f t="shared" ca="1" si="176"/>
        <v>675</v>
      </c>
    </row>
    <row r="1548" spans="1:7" x14ac:dyDescent="0.3">
      <c r="A1548" s="5" t="str">
        <f t="shared" si="170"/>
        <v>Puma</v>
      </c>
      <c r="B1548" s="5" t="str">
        <f t="shared" si="172"/>
        <v>Mayze</v>
      </c>
      <c r="C1548" s="3">
        <f t="shared" si="171"/>
        <v>45761</v>
      </c>
      <c r="D1548" s="4">
        <f t="shared" ca="1" si="173"/>
        <v>207</v>
      </c>
      <c r="E1548" s="2">
        <f t="shared" ca="1" si="174"/>
        <v>7935</v>
      </c>
      <c r="F1548" s="2">
        <f t="shared" ca="1" si="175"/>
        <v>7657</v>
      </c>
      <c r="G1548" s="2">
        <f t="shared" ca="1" si="176"/>
        <v>444</v>
      </c>
    </row>
    <row r="1549" spans="1:7" x14ac:dyDescent="0.3">
      <c r="A1549" s="5" t="str">
        <f t="shared" si="170"/>
        <v>New Balance</v>
      </c>
      <c r="B1549" s="5" t="str">
        <f t="shared" si="172"/>
        <v>574 Core</v>
      </c>
      <c r="C1549" s="3">
        <f t="shared" si="171"/>
        <v>45761</v>
      </c>
      <c r="D1549" s="4">
        <f t="shared" ca="1" si="173"/>
        <v>238</v>
      </c>
      <c r="E1549" s="2">
        <f t="shared" ca="1" si="174"/>
        <v>8032</v>
      </c>
      <c r="F1549" s="2">
        <f t="shared" ca="1" si="175"/>
        <v>14758</v>
      </c>
      <c r="G1549" s="2">
        <f t="shared" ca="1" si="176"/>
        <v>377</v>
      </c>
    </row>
    <row r="1550" spans="1:7" x14ac:dyDescent="0.3">
      <c r="A1550" s="5" t="str">
        <f t="shared" si="170"/>
        <v>Reebok</v>
      </c>
      <c r="B1550" s="5" t="str">
        <f t="shared" si="172"/>
        <v>Club C 85</v>
      </c>
      <c r="C1550" s="3">
        <f t="shared" si="171"/>
        <v>45761</v>
      </c>
      <c r="D1550" s="4">
        <f t="shared" ca="1" si="173"/>
        <v>219</v>
      </c>
      <c r="E1550" s="2">
        <f t="shared" ca="1" si="174"/>
        <v>8943</v>
      </c>
      <c r="F1550" s="2">
        <f t="shared" ca="1" si="175"/>
        <v>18547</v>
      </c>
      <c r="G1550" s="2">
        <f t="shared" ca="1" si="176"/>
        <v>1074</v>
      </c>
    </row>
    <row r="1551" spans="1:7" x14ac:dyDescent="0.3">
      <c r="A1551" s="5" t="str">
        <f t="shared" si="170"/>
        <v>Nike</v>
      </c>
      <c r="B1551" s="5" t="str">
        <f t="shared" si="172"/>
        <v>Pegasus 40</v>
      </c>
      <c r="C1551" s="3">
        <f t="shared" si="171"/>
        <v>45761</v>
      </c>
      <c r="D1551" s="4">
        <f t="shared" ca="1" si="173"/>
        <v>153</v>
      </c>
      <c r="E1551" s="2">
        <f t="shared" ca="1" si="174"/>
        <v>1677</v>
      </c>
      <c r="F1551" s="2">
        <f t="shared" ca="1" si="175"/>
        <v>8966</v>
      </c>
      <c r="G1551" s="2">
        <f t="shared" ca="1" si="176"/>
        <v>530</v>
      </c>
    </row>
    <row r="1552" spans="1:7" x14ac:dyDescent="0.3">
      <c r="A1552" s="5" t="str">
        <f t="shared" si="170"/>
        <v>Adidas</v>
      </c>
      <c r="B1552" s="5" t="str">
        <f t="shared" si="172"/>
        <v>Gazelle</v>
      </c>
      <c r="C1552" s="3">
        <f t="shared" si="171"/>
        <v>45761</v>
      </c>
      <c r="D1552" s="4">
        <f t="shared" ca="1" si="173"/>
        <v>58</v>
      </c>
      <c r="E1552" s="2">
        <f t="shared" ca="1" si="174"/>
        <v>7139</v>
      </c>
      <c r="F1552" s="2">
        <f t="shared" ca="1" si="175"/>
        <v>19814</v>
      </c>
      <c r="G1552" s="2">
        <f t="shared" ca="1" si="176"/>
        <v>609</v>
      </c>
    </row>
    <row r="1553" spans="1:7" x14ac:dyDescent="0.3">
      <c r="A1553" s="5" t="str">
        <f t="shared" si="170"/>
        <v>Puma</v>
      </c>
      <c r="B1553" s="5" t="str">
        <f t="shared" si="172"/>
        <v>Slipstream</v>
      </c>
      <c r="C1553" s="3">
        <f t="shared" si="171"/>
        <v>45761</v>
      </c>
      <c r="D1553" s="4">
        <f t="shared" ca="1" si="173"/>
        <v>118</v>
      </c>
      <c r="E1553" s="2">
        <f t="shared" ca="1" si="174"/>
        <v>10233</v>
      </c>
      <c r="F1553" s="2">
        <f t="shared" ca="1" si="175"/>
        <v>10144</v>
      </c>
      <c r="G1553" s="2">
        <f t="shared" ca="1" si="176"/>
        <v>236</v>
      </c>
    </row>
    <row r="1554" spans="1:7" x14ac:dyDescent="0.3">
      <c r="A1554" s="5" t="str">
        <f t="shared" si="170"/>
        <v>New Balance</v>
      </c>
      <c r="B1554" s="5" t="str">
        <f t="shared" si="172"/>
        <v>550</v>
      </c>
      <c r="C1554" s="3">
        <f t="shared" si="171"/>
        <v>45761</v>
      </c>
      <c r="D1554" s="4">
        <f t="shared" ca="1" si="173"/>
        <v>53</v>
      </c>
      <c r="E1554" s="2">
        <f t="shared" ca="1" si="174"/>
        <v>4393</v>
      </c>
      <c r="F1554" s="2">
        <f t="shared" ca="1" si="175"/>
        <v>23516</v>
      </c>
      <c r="G1554" s="2">
        <f t="shared" ca="1" si="176"/>
        <v>1807</v>
      </c>
    </row>
    <row r="1555" spans="1:7" x14ac:dyDescent="0.3">
      <c r="A1555" s="5" t="str">
        <f t="shared" si="170"/>
        <v>Reebok</v>
      </c>
      <c r="B1555" s="5" t="str">
        <f t="shared" si="172"/>
        <v>Classic Leather</v>
      </c>
      <c r="C1555" s="3">
        <f t="shared" si="171"/>
        <v>45761</v>
      </c>
      <c r="D1555" s="4">
        <f t="shared" ca="1" si="173"/>
        <v>198</v>
      </c>
      <c r="E1555" s="2">
        <f t="shared" ca="1" si="174"/>
        <v>8950</v>
      </c>
      <c r="F1555" s="2">
        <f t="shared" ca="1" si="175"/>
        <v>15818</v>
      </c>
      <c r="G1555" s="2">
        <f t="shared" ca="1" si="176"/>
        <v>597</v>
      </c>
    </row>
    <row r="1556" spans="1:7" x14ac:dyDescent="0.3">
      <c r="A1556" s="5" t="str">
        <f t="shared" si="170"/>
        <v>Nike</v>
      </c>
      <c r="B1556" s="5" t="str">
        <f t="shared" si="172"/>
        <v>Air Force 1</v>
      </c>
      <c r="C1556" s="3">
        <f t="shared" si="171"/>
        <v>45761</v>
      </c>
      <c r="D1556" s="4">
        <f t="shared" ca="1" si="173"/>
        <v>28</v>
      </c>
      <c r="E1556" s="2">
        <f t="shared" ca="1" si="174"/>
        <v>9175</v>
      </c>
      <c r="F1556" s="2">
        <f t="shared" ca="1" si="175"/>
        <v>31649</v>
      </c>
      <c r="G1556" s="2">
        <f t="shared" ca="1" si="176"/>
        <v>1631</v>
      </c>
    </row>
    <row r="1557" spans="1:7" x14ac:dyDescent="0.3">
      <c r="A1557" s="5" t="str">
        <f t="shared" si="170"/>
        <v>Adidas</v>
      </c>
      <c r="B1557" s="5" t="str">
        <f t="shared" si="172"/>
        <v>Superstar</v>
      </c>
      <c r="C1557" s="3">
        <f t="shared" si="171"/>
        <v>45761</v>
      </c>
      <c r="D1557" s="4">
        <f t="shared" ca="1" si="173"/>
        <v>31</v>
      </c>
      <c r="E1557" s="2">
        <f t="shared" ca="1" si="174"/>
        <v>10277</v>
      </c>
      <c r="F1557" s="2">
        <f t="shared" ca="1" si="175"/>
        <v>22866</v>
      </c>
      <c r="G1557" s="2">
        <f t="shared" ca="1" si="176"/>
        <v>1571</v>
      </c>
    </row>
    <row r="1558" spans="1:7" x14ac:dyDescent="0.3">
      <c r="A1558" s="5" t="str">
        <f t="shared" si="170"/>
        <v>Puma</v>
      </c>
      <c r="B1558" s="5" t="str">
        <f t="shared" si="172"/>
        <v>Rider Vintage</v>
      </c>
      <c r="C1558" s="3">
        <f t="shared" si="171"/>
        <v>45761</v>
      </c>
      <c r="D1558" s="4">
        <f t="shared" ca="1" si="173"/>
        <v>223</v>
      </c>
      <c r="E1558" s="2">
        <f t="shared" ca="1" si="174"/>
        <v>8651</v>
      </c>
      <c r="F1558" s="2">
        <f t="shared" ca="1" si="175"/>
        <v>28097</v>
      </c>
      <c r="G1558" s="2">
        <f t="shared" ca="1" si="176"/>
        <v>695</v>
      </c>
    </row>
    <row r="1559" spans="1:7" x14ac:dyDescent="0.3">
      <c r="A1559" s="5" t="str">
        <f t="shared" si="170"/>
        <v>New Balance</v>
      </c>
      <c r="B1559" s="5" t="str">
        <f t="shared" si="172"/>
        <v>327</v>
      </c>
      <c r="C1559" s="3">
        <f t="shared" si="171"/>
        <v>45761</v>
      </c>
      <c r="D1559" s="4">
        <f t="shared" ca="1" si="173"/>
        <v>212</v>
      </c>
      <c r="E1559" s="2">
        <f t="shared" ca="1" si="174"/>
        <v>5415</v>
      </c>
      <c r="F1559" s="2">
        <f t="shared" ca="1" si="175"/>
        <v>23937</v>
      </c>
      <c r="G1559" s="2">
        <f t="shared" ca="1" si="176"/>
        <v>874</v>
      </c>
    </row>
    <row r="1560" spans="1:7" x14ac:dyDescent="0.3">
      <c r="A1560" s="5" t="str">
        <f t="shared" si="170"/>
        <v>Reebok</v>
      </c>
      <c r="B1560" s="5" t="str">
        <f t="shared" si="172"/>
        <v>Question Mid</v>
      </c>
      <c r="C1560" s="3">
        <f t="shared" si="171"/>
        <v>45761</v>
      </c>
      <c r="D1560" s="4">
        <f t="shared" ca="1" si="173"/>
        <v>151</v>
      </c>
      <c r="E1560" s="2">
        <f t="shared" ca="1" si="174"/>
        <v>10448</v>
      </c>
      <c r="F1560" s="2">
        <f t="shared" ca="1" si="175"/>
        <v>5606</v>
      </c>
      <c r="G1560" s="2">
        <f t="shared" ca="1" si="176"/>
        <v>444</v>
      </c>
    </row>
    <row r="1561" spans="1:7" x14ac:dyDescent="0.3">
      <c r="A1561" s="5" t="str">
        <f t="shared" si="170"/>
        <v>Nike</v>
      </c>
      <c r="B1561" s="5" t="str">
        <f t="shared" si="172"/>
        <v>Air Max 270</v>
      </c>
      <c r="C1561" s="3">
        <f t="shared" si="171"/>
        <v>45761</v>
      </c>
      <c r="D1561" s="4">
        <f t="shared" ca="1" si="173"/>
        <v>27</v>
      </c>
      <c r="E1561" s="2">
        <f t="shared" ca="1" si="174"/>
        <v>8535</v>
      </c>
      <c r="F1561" s="2">
        <f t="shared" ca="1" si="175"/>
        <v>9894</v>
      </c>
      <c r="G1561" s="2">
        <f t="shared" ca="1" si="176"/>
        <v>632</v>
      </c>
    </row>
    <row r="1562" spans="1:7" x14ac:dyDescent="0.3">
      <c r="A1562" s="5" t="str">
        <f t="shared" si="170"/>
        <v>Adidas</v>
      </c>
      <c r="B1562" s="5" t="str">
        <f t="shared" si="172"/>
        <v>Stan Smith</v>
      </c>
      <c r="C1562" s="3">
        <f t="shared" si="171"/>
        <v>45762</v>
      </c>
      <c r="D1562" s="4">
        <f t="shared" ca="1" si="173"/>
        <v>127</v>
      </c>
      <c r="E1562" s="2">
        <f t="shared" ca="1" si="174"/>
        <v>11208</v>
      </c>
      <c r="F1562" s="2">
        <f t="shared" ca="1" si="175"/>
        <v>22642</v>
      </c>
      <c r="G1562" s="2">
        <f t="shared" ca="1" si="176"/>
        <v>500</v>
      </c>
    </row>
    <row r="1563" spans="1:7" x14ac:dyDescent="0.3">
      <c r="A1563" s="5" t="str">
        <f t="shared" si="170"/>
        <v>Puma</v>
      </c>
      <c r="B1563" s="5" t="str">
        <f t="shared" si="172"/>
        <v>Cali Dream</v>
      </c>
      <c r="C1563" s="3">
        <f t="shared" si="171"/>
        <v>45762</v>
      </c>
      <c r="D1563" s="4">
        <f t="shared" ca="1" si="173"/>
        <v>159</v>
      </c>
      <c r="E1563" s="2">
        <f t="shared" ca="1" si="174"/>
        <v>6092</v>
      </c>
      <c r="F1563" s="2">
        <f t="shared" ca="1" si="175"/>
        <v>7087</v>
      </c>
      <c r="G1563" s="2">
        <f t="shared" ca="1" si="176"/>
        <v>544</v>
      </c>
    </row>
    <row r="1564" spans="1:7" x14ac:dyDescent="0.3">
      <c r="A1564" s="5" t="str">
        <f t="shared" si="170"/>
        <v>New Balance</v>
      </c>
      <c r="B1564" s="5" t="str">
        <f t="shared" si="172"/>
        <v>9060</v>
      </c>
      <c r="C1564" s="3">
        <f t="shared" si="171"/>
        <v>45762</v>
      </c>
      <c r="D1564" s="4">
        <f t="shared" ca="1" si="173"/>
        <v>249</v>
      </c>
      <c r="E1564" s="2">
        <f t="shared" ca="1" si="174"/>
        <v>11636</v>
      </c>
      <c r="F1564" s="2">
        <f t="shared" ca="1" si="175"/>
        <v>6490</v>
      </c>
      <c r="G1564" s="2">
        <f t="shared" ca="1" si="176"/>
        <v>443</v>
      </c>
    </row>
    <row r="1565" spans="1:7" x14ac:dyDescent="0.3">
      <c r="A1565" s="5" t="str">
        <f t="shared" si="170"/>
        <v>Reebok</v>
      </c>
      <c r="B1565" s="5" t="str">
        <f t="shared" si="172"/>
        <v>Zig Kinetica</v>
      </c>
      <c r="C1565" s="3">
        <f t="shared" si="171"/>
        <v>45762</v>
      </c>
      <c r="D1565" s="4">
        <f t="shared" ca="1" si="173"/>
        <v>233</v>
      </c>
      <c r="E1565" s="2">
        <f t="shared" ca="1" si="174"/>
        <v>2399</v>
      </c>
      <c r="F1565" s="2">
        <f t="shared" ca="1" si="175"/>
        <v>7628</v>
      </c>
      <c r="G1565" s="2">
        <f t="shared" ca="1" si="176"/>
        <v>173</v>
      </c>
    </row>
    <row r="1566" spans="1:7" x14ac:dyDescent="0.3">
      <c r="A1566" s="5" t="str">
        <f t="shared" si="170"/>
        <v>Nike</v>
      </c>
      <c r="B1566" s="5" t="str">
        <f t="shared" si="172"/>
        <v>Jordan 1</v>
      </c>
      <c r="C1566" s="3">
        <f t="shared" si="171"/>
        <v>45762</v>
      </c>
      <c r="D1566" s="4">
        <f t="shared" ca="1" si="173"/>
        <v>131</v>
      </c>
      <c r="E1566" s="2">
        <f t="shared" ca="1" si="174"/>
        <v>8142</v>
      </c>
      <c r="F1566" s="2">
        <f t="shared" ca="1" si="175"/>
        <v>11203</v>
      </c>
      <c r="G1566" s="2">
        <f t="shared" ca="1" si="176"/>
        <v>566</v>
      </c>
    </row>
    <row r="1567" spans="1:7" x14ac:dyDescent="0.3">
      <c r="A1567" s="5" t="str">
        <f t="shared" si="170"/>
        <v>Adidas</v>
      </c>
      <c r="B1567" s="5" t="str">
        <f t="shared" si="172"/>
        <v>Ultraboost 23</v>
      </c>
      <c r="C1567" s="3">
        <f t="shared" si="171"/>
        <v>45762</v>
      </c>
      <c r="D1567" s="4">
        <f t="shared" ca="1" si="173"/>
        <v>117</v>
      </c>
      <c r="E1567" s="2">
        <f t="shared" ca="1" si="174"/>
        <v>5309</v>
      </c>
      <c r="F1567" s="2">
        <f t="shared" ca="1" si="175"/>
        <v>29614</v>
      </c>
      <c r="G1567" s="2">
        <f t="shared" ca="1" si="176"/>
        <v>1501</v>
      </c>
    </row>
    <row r="1568" spans="1:7" x14ac:dyDescent="0.3">
      <c r="A1568" s="5" t="str">
        <f t="shared" si="170"/>
        <v>Puma</v>
      </c>
      <c r="B1568" s="5" t="str">
        <f t="shared" si="172"/>
        <v>RS-X</v>
      </c>
      <c r="C1568" s="3">
        <f t="shared" si="171"/>
        <v>45762</v>
      </c>
      <c r="D1568" s="4">
        <f t="shared" ca="1" si="173"/>
        <v>216</v>
      </c>
      <c r="E1568" s="2">
        <f t="shared" ca="1" si="174"/>
        <v>10911</v>
      </c>
      <c r="F1568" s="2">
        <f t="shared" ca="1" si="175"/>
        <v>13101</v>
      </c>
      <c r="G1568" s="2">
        <f t="shared" ca="1" si="176"/>
        <v>964</v>
      </c>
    </row>
    <row r="1569" spans="1:7" x14ac:dyDescent="0.3">
      <c r="A1569" s="5" t="str">
        <f t="shared" si="170"/>
        <v>New Balance</v>
      </c>
      <c r="B1569" s="5" t="str">
        <f t="shared" si="172"/>
        <v>2002R</v>
      </c>
      <c r="C1569" s="3">
        <f t="shared" si="171"/>
        <v>45762</v>
      </c>
      <c r="D1569" s="4">
        <f t="shared" ca="1" si="173"/>
        <v>89</v>
      </c>
      <c r="E1569" s="2">
        <f t="shared" ca="1" si="174"/>
        <v>2363</v>
      </c>
      <c r="F1569" s="2">
        <f t="shared" ca="1" si="175"/>
        <v>30288</v>
      </c>
      <c r="G1569" s="2">
        <f t="shared" ca="1" si="176"/>
        <v>616</v>
      </c>
    </row>
    <row r="1570" spans="1:7" x14ac:dyDescent="0.3">
      <c r="A1570" s="5" t="str">
        <f t="shared" si="170"/>
        <v>Reebok</v>
      </c>
      <c r="B1570" s="5" t="str">
        <f t="shared" si="172"/>
        <v>Instapump Fury</v>
      </c>
      <c r="C1570" s="3">
        <f t="shared" si="171"/>
        <v>45762</v>
      </c>
      <c r="D1570" s="4">
        <f t="shared" ca="1" si="173"/>
        <v>38</v>
      </c>
      <c r="E1570" s="2">
        <f t="shared" ca="1" si="174"/>
        <v>7602</v>
      </c>
      <c r="F1570" s="2">
        <f t="shared" ca="1" si="175"/>
        <v>29176</v>
      </c>
      <c r="G1570" s="2">
        <f t="shared" ca="1" si="176"/>
        <v>1068</v>
      </c>
    </row>
    <row r="1571" spans="1:7" x14ac:dyDescent="0.3">
      <c r="A1571" s="5" t="str">
        <f t="shared" si="170"/>
        <v>Nike</v>
      </c>
      <c r="B1571" s="5" t="str">
        <f t="shared" si="172"/>
        <v>Cortez</v>
      </c>
      <c r="C1571" s="3">
        <f t="shared" si="171"/>
        <v>45762</v>
      </c>
      <c r="D1571" s="4">
        <f t="shared" ca="1" si="173"/>
        <v>156</v>
      </c>
      <c r="E1571" s="2">
        <f t="shared" ca="1" si="174"/>
        <v>3114</v>
      </c>
      <c r="F1571" s="2">
        <f t="shared" ca="1" si="175"/>
        <v>14699</v>
      </c>
      <c r="G1571" s="2">
        <f t="shared" ca="1" si="176"/>
        <v>716</v>
      </c>
    </row>
    <row r="1572" spans="1:7" x14ac:dyDescent="0.3">
      <c r="A1572" s="5" t="str">
        <f t="shared" si="170"/>
        <v>Adidas</v>
      </c>
      <c r="B1572" s="5" t="str">
        <f t="shared" si="172"/>
        <v>NMD S1</v>
      </c>
      <c r="C1572" s="3">
        <f t="shared" si="171"/>
        <v>45762</v>
      </c>
      <c r="D1572" s="4">
        <f t="shared" ca="1" si="173"/>
        <v>72</v>
      </c>
      <c r="E1572" s="2">
        <f t="shared" ca="1" si="174"/>
        <v>7306</v>
      </c>
      <c r="F1572" s="2">
        <f t="shared" ca="1" si="175"/>
        <v>9008</v>
      </c>
      <c r="G1572" s="2">
        <f t="shared" ca="1" si="176"/>
        <v>583</v>
      </c>
    </row>
    <row r="1573" spans="1:7" x14ac:dyDescent="0.3">
      <c r="A1573" s="5" t="str">
        <f t="shared" si="170"/>
        <v>Puma</v>
      </c>
      <c r="B1573" s="5" t="str">
        <f t="shared" si="172"/>
        <v>Suede Classic</v>
      </c>
      <c r="C1573" s="3">
        <f t="shared" si="171"/>
        <v>45762</v>
      </c>
      <c r="D1573" s="4">
        <f t="shared" ca="1" si="173"/>
        <v>157</v>
      </c>
      <c r="E1573" s="2">
        <f t="shared" ca="1" si="174"/>
        <v>5836</v>
      </c>
      <c r="F1573" s="2">
        <f t="shared" ca="1" si="175"/>
        <v>25651</v>
      </c>
      <c r="G1573" s="2">
        <f t="shared" ca="1" si="176"/>
        <v>911</v>
      </c>
    </row>
    <row r="1574" spans="1:7" x14ac:dyDescent="0.3">
      <c r="A1574" s="5" t="str">
        <f t="shared" si="170"/>
        <v>New Balance</v>
      </c>
      <c r="B1574" s="5" t="str">
        <f t="shared" si="172"/>
        <v>990v6</v>
      </c>
      <c r="C1574" s="3">
        <f t="shared" si="171"/>
        <v>45762</v>
      </c>
      <c r="D1574" s="4">
        <f t="shared" ca="1" si="173"/>
        <v>84</v>
      </c>
      <c r="E1574" s="2">
        <f t="shared" ca="1" si="174"/>
        <v>4355</v>
      </c>
      <c r="F1574" s="2">
        <f t="shared" ca="1" si="175"/>
        <v>27130</v>
      </c>
      <c r="G1574" s="2">
        <f t="shared" ca="1" si="176"/>
        <v>1998</v>
      </c>
    </row>
    <row r="1575" spans="1:7" x14ac:dyDescent="0.3">
      <c r="A1575" s="5" t="str">
        <f t="shared" si="170"/>
        <v>Reebok</v>
      </c>
      <c r="B1575" s="5" t="str">
        <f t="shared" si="172"/>
        <v>Nano X3</v>
      </c>
      <c r="C1575" s="3">
        <f t="shared" si="171"/>
        <v>45762</v>
      </c>
      <c r="D1575" s="4">
        <f t="shared" ca="1" si="173"/>
        <v>105</v>
      </c>
      <c r="E1575" s="2">
        <f t="shared" ca="1" si="174"/>
        <v>7220</v>
      </c>
      <c r="F1575" s="2">
        <f t="shared" ca="1" si="175"/>
        <v>24797</v>
      </c>
      <c r="G1575" s="2">
        <f t="shared" ca="1" si="176"/>
        <v>1209</v>
      </c>
    </row>
    <row r="1576" spans="1:7" x14ac:dyDescent="0.3">
      <c r="A1576" s="5" t="str">
        <f t="shared" si="170"/>
        <v>Nike</v>
      </c>
      <c r="B1576" s="5" t="str">
        <f t="shared" si="172"/>
        <v>Vaporfly 3</v>
      </c>
      <c r="C1576" s="3">
        <f t="shared" si="171"/>
        <v>45762</v>
      </c>
      <c r="D1576" s="4">
        <f t="shared" ca="1" si="173"/>
        <v>110</v>
      </c>
      <c r="E1576" s="2">
        <f t="shared" ca="1" si="174"/>
        <v>7506</v>
      </c>
      <c r="F1576" s="2">
        <f t="shared" ca="1" si="175"/>
        <v>32888</v>
      </c>
      <c r="G1576" s="2">
        <f t="shared" ca="1" si="176"/>
        <v>2393</v>
      </c>
    </row>
    <row r="1577" spans="1:7" x14ac:dyDescent="0.3">
      <c r="A1577" s="5" t="str">
        <f t="shared" si="170"/>
        <v>Adidas</v>
      </c>
      <c r="B1577" s="5" t="str">
        <f t="shared" si="172"/>
        <v>Samba</v>
      </c>
      <c r="C1577" s="3">
        <f t="shared" si="171"/>
        <v>45763</v>
      </c>
      <c r="D1577" s="4">
        <f t="shared" ca="1" si="173"/>
        <v>163</v>
      </c>
      <c r="E1577" s="2">
        <f t="shared" ca="1" si="174"/>
        <v>4403</v>
      </c>
      <c r="F1577" s="2">
        <f t="shared" ca="1" si="175"/>
        <v>9601</v>
      </c>
      <c r="G1577" s="2">
        <f t="shared" ca="1" si="176"/>
        <v>466</v>
      </c>
    </row>
    <row r="1578" spans="1:7" x14ac:dyDescent="0.3">
      <c r="A1578" s="5" t="str">
        <f t="shared" si="170"/>
        <v>Puma</v>
      </c>
      <c r="B1578" s="5" t="str">
        <f t="shared" si="172"/>
        <v>Mayze</v>
      </c>
      <c r="C1578" s="3">
        <f t="shared" si="171"/>
        <v>45763</v>
      </c>
      <c r="D1578" s="4">
        <f t="shared" ca="1" si="173"/>
        <v>141</v>
      </c>
      <c r="E1578" s="2">
        <f t="shared" ca="1" si="174"/>
        <v>11409</v>
      </c>
      <c r="F1578" s="2">
        <f t="shared" ca="1" si="175"/>
        <v>10998</v>
      </c>
      <c r="G1578" s="2">
        <f t="shared" ca="1" si="176"/>
        <v>857</v>
      </c>
    </row>
    <row r="1579" spans="1:7" x14ac:dyDescent="0.3">
      <c r="A1579" s="5" t="str">
        <f t="shared" ref="A1579:A1642" si="177">CHOOSE(MOD(ROW(A1578),5)+1,"Nike","Adidas","Puma","New Balance","Reebok")</f>
        <v>New Balance</v>
      </c>
      <c r="B1579" s="5" t="str">
        <f t="shared" si="172"/>
        <v>574 Core</v>
      </c>
      <c r="C1579" s="3">
        <f t="shared" ref="C1579:C1642" si="178">DATE(2025,1,1)+INT((ROW(A1579)-2)/15)</f>
        <v>45763</v>
      </c>
      <c r="D1579" s="4">
        <f t="shared" ca="1" si="173"/>
        <v>226</v>
      </c>
      <c r="E1579" s="2">
        <f t="shared" ca="1" si="174"/>
        <v>1594</v>
      </c>
      <c r="F1579" s="2">
        <f t="shared" ca="1" si="175"/>
        <v>15794</v>
      </c>
      <c r="G1579" s="2">
        <f t="shared" ca="1" si="176"/>
        <v>683</v>
      </c>
    </row>
    <row r="1580" spans="1:7" x14ac:dyDescent="0.3">
      <c r="A1580" s="5" t="str">
        <f t="shared" si="177"/>
        <v>Reebok</v>
      </c>
      <c r="B1580" s="5" t="str">
        <f t="shared" si="172"/>
        <v>Club C 85</v>
      </c>
      <c r="C1580" s="3">
        <f t="shared" si="178"/>
        <v>45763</v>
      </c>
      <c r="D1580" s="4">
        <f t="shared" ca="1" si="173"/>
        <v>27</v>
      </c>
      <c r="E1580" s="2">
        <f t="shared" ca="1" si="174"/>
        <v>4421</v>
      </c>
      <c r="F1580" s="2">
        <f t="shared" ca="1" si="175"/>
        <v>10654</v>
      </c>
      <c r="G1580" s="2">
        <f t="shared" ca="1" si="176"/>
        <v>522</v>
      </c>
    </row>
    <row r="1581" spans="1:7" x14ac:dyDescent="0.3">
      <c r="A1581" s="5" t="str">
        <f t="shared" si="177"/>
        <v>Nike</v>
      </c>
      <c r="B1581" s="5" t="str">
        <f t="shared" si="172"/>
        <v>Pegasus 40</v>
      </c>
      <c r="C1581" s="3">
        <f t="shared" si="178"/>
        <v>45763</v>
      </c>
      <c r="D1581" s="4">
        <f t="shared" ca="1" si="173"/>
        <v>154</v>
      </c>
      <c r="E1581" s="2">
        <f t="shared" ca="1" si="174"/>
        <v>9933</v>
      </c>
      <c r="F1581" s="2">
        <f t="shared" ca="1" si="175"/>
        <v>19266</v>
      </c>
      <c r="G1581" s="2">
        <f t="shared" ca="1" si="176"/>
        <v>1477</v>
      </c>
    </row>
    <row r="1582" spans="1:7" x14ac:dyDescent="0.3">
      <c r="A1582" s="5" t="str">
        <f t="shared" si="177"/>
        <v>Adidas</v>
      </c>
      <c r="B1582" s="5" t="str">
        <f t="shared" si="172"/>
        <v>Gazelle</v>
      </c>
      <c r="C1582" s="3">
        <f t="shared" si="178"/>
        <v>45763</v>
      </c>
      <c r="D1582" s="4">
        <f t="shared" ca="1" si="173"/>
        <v>229</v>
      </c>
      <c r="E1582" s="2">
        <f t="shared" ca="1" si="174"/>
        <v>8386</v>
      </c>
      <c r="F1582" s="2">
        <f t="shared" ca="1" si="175"/>
        <v>26179</v>
      </c>
      <c r="G1582" s="2">
        <f t="shared" ca="1" si="176"/>
        <v>1461</v>
      </c>
    </row>
    <row r="1583" spans="1:7" x14ac:dyDescent="0.3">
      <c r="A1583" s="5" t="str">
        <f t="shared" si="177"/>
        <v>Puma</v>
      </c>
      <c r="B1583" s="5" t="str">
        <f t="shared" si="172"/>
        <v>Slipstream</v>
      </c>
      <c r="C1583" s="3">
        <f t="shared" si="178"/>
        <v>45763</v>
      </c>
      <c r="D1583" s="4">
        <f t="shared" ca="1" si="173"/>
        <v>129</v>
      </c>
      <c r="E1583" s="2">
        <f t="shared" ca="1" si="174"/>
        <v>1407</v>
      </c>
      <c r="F1583" s="2">
        <f t="shared" ca="1" si="175"/>
        <v>22524</v>
      </c>
      <c r="G1583" s="2">
        <f t="shared" ca="1" si="176"/>
        <v>1425</v>
      </c>
    </row>
    <row r="1584" spans="1:7" x14ac:dyDescent="0.3">
      <c r="A1584" s="5" t="str">
        <f t="shared" si="177"/>
        <v>New Balance</v>
      </c>
      <c r="B1584" s="5" t="str">
        <f t="shared" si="172"/>
        <v>550</v>
      </c>
      <c r="C1584" s="3">
        <f t="shared" si="178"/>
        <v>45763</v>
      </c>
      <c r="D1584" s="4">
        <f t="shared" ca="1" si="173"/>
        <v>226</v>
      </c>
      <c r="E1584" s="2">
        <f t="shared" ca="1" si="174"/>
        <v>2403</v>
      </c>
      <c r="F1584" s="2">
        <f t="shared" ca="1" si="175"/>
        <v>13448</v>
      </c>
      <c r="G1584" s="2">
        <f t="shared" ca="1" si="176"/>
        <v>445</v>
      </c>
    </row>
    <row r="1585" spans="1:7" x14ac:dyDescent="0.3">
      <c r="A1585" s="5" t="str">
        <f t="shared" si="177"/>
        <v>Reebok</v>
      </c>
      <c r="B1585" s="5" t="str">
        <f t="shared" si="172"/>
        <v>Classic Leather</v>
      </c>
      <c r="C1585" s="3">
        <f t="shared" si="178"/>
        <v>45763</v>
      </c>
      <c r="D1585" s="4">
        <f t="shared" ca="1" si="173"/>
        <v>24</v>
      </c>
      <c r="E1585" s="2">
        <f t="shared" ca="1" si="174"/>
        <v>9998</v>
      </c>
      <c r="F1585" s="2">
        <f t="shared" ca="1" si="175"/>
        <v>34115</v>
      </c>
      <c r="G1585" s="2">
        <f t="shared" ca="1" si="176"/>
        <v>1119</v>
      </c>
    </row>
    <row r="1586" spans="1:7" x14ac:dyDescent="0.3">
      <c r="A1586" s="5" t="str">
        <f t="shared" si="177"/>
        <v>Nike</v>
      </c>
      <c r="B1586" s="5" t="str">
        <f t="shared" si="172"/>
        <v>Air Force 1</v>
      </c>
      <c r="C1586" s="3">
        <f t="shared" si="178"/>
        <v>45763</v>
      </c>
      <c r="D1586" s="4">
        <f t="shared" ca="1" si="173"/>
        <v>155</v>
      </c>
      <c r="E1586" s="2">
        <f t="shared" ca="1" si="174"/>
        <v>6390</v>
      </c>
      <c r="F1586" s="2">
        <f t="shared" ca="1" si="175"/>
        <v>23085</v>
      </c>
      <c r="G1586" s="2">
        <f t="shared" ca="1" si="176"/>
        <v>1092</v>
      </c>
    </row>
    <row r="1587" spans="1:7" x14ac:dyDescent="0.3">
      <c r="A1587" s="5" t="str">
        <f t="shared" si="177"/>
        <v>Adidas</v>
      </c>
      <c r="B1587" s="5" t="str">
        <f t="shared" si="172"/>
        <v>Superstar</v>
      </c>
      <c r="C1587" s="3">
        <f t="shared" si="178"/>
        <v>45763</v>
      </c>
      <c r="D1587" s="4">
        <f t="shared" ca="1" si="173"/>
        <v>55</v>
      </c>
      <c r="E1587" s="2">
        <f t="shared" ca="1" si="174"/>
        <v>10262</v>
      </c>
      <c r="F1587" s="2">
        <f t="shared" ca="1" si="175"/>
        <v>27025</v>
      </c>
      <c r="G1587" s="2">
        <f t="shared" ca="1" si="176"/>
        <v>1955</v>
      </c>
    </row>
    <row r="1588" spans="1:7" x14ac:dyDescent="0.3">
      <c r="A1588" s="5" t="str">
        <f t="shared" si="177"/>
        <v>Puma</v>
      </c>
      <c r="B1588" s="5" t="str">
        <f t="shared" si="172"/>
        <v>Rider Vintage</v>
      </c>
      <c r="C1588" s="3">
        <f t="shared" si="178"/>
        <v>45763</v>
      </c>
      <c r="D1588" s="4">
        <f t="shared" ca="1" si="173"/>
        <v>122</v>
      </c>
      <c r="E1588" s="2">
        <f t="shared" ca="1" si="174"/>
        <v>2481</v>
      </c>
      <c r="F1588" s="2">
        <f t="shared" ca="1" si="175"/>
        <v>22542</v>
      </c>
      <c r="G1588" s="2">
        <f t="shared" ca="1" si="176"/>
        <v>1060</v>
      </c>
    </row>
    <row r="1589" spans="1:7" x14ac:dyDescent="0.3">
      <c r="A1589" s="5" t="str">
        <f t="shared" si="177"/>
        <v>New Balance</v>
      </c>
      <c r="B1589" s="5" t="str">
        <f t="shared" si="172"/>
        <v>327</v>
      </c>
      <c r="C1589" s="3">
        <f t="shared" si="178"/>
        <v>45763</v>
      </c>
      <c r="D1589" s="4">
        <f t="shared" ca="1" si="173"/>
        <v>172</v>
      </c>
      <c r="E1589" s="2">
        <f t="shared" ca="1" si="174"/>
        <v>8846</v>
      </c>
      <c r="F1589" s="2">
        <f t="shared" ca="1" si="175"/>
        <v>32592</v>
      </c>
      <c r="G1589" s="2">
        <f t="shared" ca="1" si="176"/>
        <v>729</v>
      </c>
    </row>
    <row r="1590" spans="1:7" x14ac:dyDescent="0.3">
      <c r="A1590" s="5" t="str">
        <f t="shared" si="177"/>
        <v>Reebok</v>
      </c>
      <c r="B1590" s="5" t="str">
        <f t="shared" si="172"/>
        <v>Question Mid</v>
      </c>
      <c r="C1590" s="3">
        <f t="shared" si="178"/>
        <v>45763</v>
      </c>
      <c r="D1590" s="4">
        <f t="shared" ca="1" si="173"/>
        <v>79</v>
      </c>
      <c r="E1590" s="2">
        <f t="shared" ca="1" si="174"/>
        <v>2970</v>
      </c>
      <c r="F1590" s="2">
        <f t="shared" ca="1" si="175"/>
        <v>22276</v>
      </c>
      <c r="G1590" s="2">
        <f t="shared" ca="1" si="176"/>
        <v>551</v>
      </c>
    </row>
    <row r="1591" spans="1:7" x14ac:dyDescent="0.3">
      <c r="A1591" s="5" t="str">
        <f t="shared" si="177"/>
        <v>Nike</v>
      </c>
      <c r="B1591" s="5" t="str">
        <f t="shared" si="172"/>
        <v>Air Max 270</v>
      </c>
      <c r="C1591" s="3">
        <f t="shared" si="178"/>
        <v>45763</v>
      </c>
      <c r="D1591" s="4">
        <f t="shared" ca="1" si="173"/>
        <v>197</v>
      </c>
      <c r="E1591" s="2">
        <f t="shared" ca="1" si="174"/>
        <v>9408</v>
      </c>
      <c r="F1591" s="2">
        <f t="shared" ca="1" si="175"/>
        <v>14961</v>
      </c>
      <c r="G1591" s="2">
        <f t="shared" ca="1" si="176"/>
        <v>400</v>
      </c>
    </row>
    <row r="1592" spans="1:7" x14ac:dyDescent="0.3">
      <c r="A1592" s="5" t="str">
        <f t="shared" si="177"/>
        <v>Adidas</v>
      </c>
      <c r="B1592" s="5" t="str">
        <f t="shared" si="172"/>
        <v>Stan Smith</v>
      </c>
      <c r="C1592" s="3">
        <f t="shared" si="178"/>
        <v>45764</v>
      </c>
      <c r="D1592" s="4">
        <f t="shared" ca="1" si="173"/>
        <v>163</v>
      </c>
      <c r="E1592" s="2">
        <f t="shared" ca="1" si="174"/>
        <v>4256</v>
      </c>
      <c r="F1592" s="2">
        <f t="shared" ca="1" si="175"/>
        <v>21157</v>
      </c>
      <c r="G1592" s="2">
        <f t="shared" ca="1" si="176"/>
        <v>880</v>
      </c>
    </row>
    <row r="1593" spans="1:7" x14ac:dyDescent="0.3">
      <c r="A1593" s="5" t="str">
        <f t="shared" si="177"/>
        <v>Puma</v>
      </c>
      <c r="B1593" s="5" t="str">
        <f t="shared" si="172"/>
        <v>Cali Dream</v>
      </c>
      <c r="C1593" s="3">
        <f t="shared" si="178"/>
        <v>45764</v>
      </c>
      <c r="D1593" s="4">
        <f t="shared" ca="1" si="173"/>
        <v>116</v>
      </c>
      <c r="E1593" s="2">
        <f t="shared" ca="1" si="174"/>
        <v>11933</v>
      </c>
      <c r="F1593" s="2">
        <f t="shared" ca="1" si="175"/>
        <v>25569</v>
      </c>
      <c r="G1593" s="2">
        <f t="shared" ca="1" si="176"/>
        <v>855</v>
      </c>
    </row>
    <row r="1594" spans="1:7" x14ac:dyDescent="0.3">
      <c r="A1594" s="5" t="str">
        <f t="shared" si="177"/>
        <v>New Balance</v>
      </c>
      <c r="B1594" s="5" t="str">
        <f t="shared" si="172"/>
        <v>9060</v>
      </c>
      <c r="C1594" s="3">
        <f t="shared" si="178"/>
        <v>45764</v>
      </c>
      <c r="D1594" s="4">
        <f t="shared" ca="1" si="173"/>
        <v>100</v>
      </c>
      <c r="E1594" s="2">
        <f t="shared" ca="1" si="174"/>
        <v>8822</v>
      </c>
      <c r="F1594" s="2">
        <f t="shared" ca="1" si="175"/>
        <v>20960</v>
      </c>
      <c r="G1594" s="2">
        <f t="shared" ca="1" si="176"/>
        <v>1195</v>
      </c>
    </row>
    <row r="1595" spans="1:7" x14ac:dyDescent="0.3">
      <c r="A1595" s="5" t="str">
        <f t="shared" si="177"/>
        <v>Reebok</v>
      </c>
      <c r="B1595" s="5" t="str">
        <f t="shared" si="172"/>
        <v>Zig Kinetica</v>
      </c>
      <c r="C1595" s="3">
        <f t="shared" si="178"/>
        <v>45764</v>
      </c>
      <c r="D1595" s="4">
        <f t="shared" ca="1" si="173"/>
        <v>201</v>
      </c>
      <c r="E1595" s="2">
        <f t="shared" ca="1" si="174"/>
        <v>3062</v>
      </c>
      <c r="F1595" s="2">
        <f t="shared" ca="1" si="175"/>
        <v>10263</v>
      </c>
      <c r="G1595" s="2">
        <f t="shared" ca="1" si="176"/>
        <v>316</v>
      </c>
    </row>
    <row r="1596" spans="1:7" x14ac:dyDescent="0.3">
      <c r="A1596" s="5" t="str">
        <f t="shared" si="177"/>
        <v>Nike</v>
      </c>
      <c r="B1596" s="5" t="str">
        <f t="shared" si="172"/>
        <v>Jordan 1</v>
      </c>
      <c r="C1596" s="3">
        <f t="shared" si="178"/>
        <v>45764</v>
      </c>
      <c r="D1596" s="4">
        <f t="shared" ca="1" si="173"/>
        <v>51</v>
      </c>
      <c r="E1596" s="2">
        <f t="shared" ca="1" si="174"/>
        <v>9639</v>
      </c>
      <c r="F1596" s="2">
        <f t="shared" ca="1" si="175"/>
        <v>27626</v>
      </c>
      <c r="G1596" s="2">
        <f t="shared" ca="1" si="176"/>
        <v>1358</v>
      </c>
    </row>
    <row r="1597" spans="1:7" x14ac:dyDescent="0.3">
      <c r="A1597" s="5" t="str">
        <f t="shared" si="177"/>
        <v>Adidas</v>
      </c>
      <c r="B1597" s="5" t="str">
        <f t="shared" si="172"/>
        <v>Ultraboost 23</v>
      </c>
      <c r="C1597" s="3">
        <f t="shared" si="178"/>
        <v>45764</v>
      </c>
      <c r="D1597" s="4">
        <f t="shared" ca="1" si="173"/>
        <v>31</v>
      </c>
      <c r="E1597" s="2">
        <f t="shared" ca="1" si="174"/>
        <v>2894</v>
      </c>
      <c r="F1597" s="2">
        <f t="shared" ca="1" si="175"/>
        <v>10469</v>
      </c>
      <c r="G1597" s="2">
        <f t="shared" ca="1" si="176"/>
        <v>422</v>
      </c>
    </row>
    <row r="1598" spans="1:7" x14ac:dyDescent="0.3">
      <c r="A1598" s="5" t="str">
        <f t="shared" si="177"/>
        <v>Puma</v>
      </c>
      <c r="B1598" s="5" t="str">
        <f t="shared" si="172"/>
        <v>RS-X</v>
      </c>
      <c r="C1598" s="3">
        <f t="shared" si="178"/>
        <v>45764</v>
      </c>
      <c r="D1598" s="4">
        <f t="shared" ca="1" si="173"/>
        <v>250</v>
      </c>
      <c r="E1598" s="2">
        <f t="shared" ca="1" si="174"/>
        <v>11834</v>
      </c>
      <c r="F1598" s="2">
        <f t="shared" ca="1" si="175"/>
        <v>10407</v>
      </c>
      <c r="G1598" s="2">
        <f t="shared" ca="1" si="176"/>
        <v>799</v>
      </c>
    </row>
    <row r="1599" spans="1:7" x14ac:dyDescent="0.3">
      <c r="A1599" s="5" t="str">
        <f t="shared" si="177"/>
        <v>New Balance</v>
      </c>
      <c r="B1599" s="5" t="str">
        <f t="shared" si="172"/>
        <v>2002R</v>
      </c>
      <c r="C1599" s="3">
        <f t="shared" si="178"/>
        <v>45764</v>
      </c>
      <c r="D1599" s="4">
        <f t="shared" ca="1" si="173"/>
        <v>69</v>
      </c>
      <c r="E1599" s="2">
        <f t="shared" ca="1" si="174"/>
        <v>6088</v>
      </c>
      <c r="F1599" s="2">
        <f t="shared" ca="1" si="175"/>
        <v>19813</v>
      </c>
      <c r="G1599" s="2">
        <f t="shared" ca="1" si="176"/>
        <v>1576</v>
      </c>
    </row>
    <row r="1600" spans="1:7" x14ac:dyDescent="0.3">
      <c r="A1600" s="5" t="str">
        <f t="shared" si="177"/>
        <v>Reebok</v>
      </c>
      <c r="B1600" s="5" t="str">
        <f t="shared" si="172"/>
        <v>Instapump Fury</v>
      </c>
      <c r="C1600" s="3">
        <f t="shared" si="178"/>
        <v>45764</v>
      </c>
      <c r="D1600" s="4">
        <f t="shared" ca="1" si="173"/>
        <v>186</v>
      </c>
      <c r="E1600" s="2">
        <f t="shared" ca="1" si="174"/>
        <v>6131</v>
      </c>
      <c r="F1600" s="2">
        <f t="shared" ca="1" si="175"/>
        <v>13750</v>
      </c>
      <c r="G1600" s="2">
        <f t="shared" ca="1" si="176"/>
        <v>343</v>
      </c>
    </row>
    <row r="1601" spans="1:7" x14ac:dyDescent="0.3">
      <c r="A1601" s="5" t="str">
        <f t="shared" si="177"/>
        <v>Nike</v>
      </c>
      <c r="B1601" s="5" t="str">
        <f t="shared" si="172"/>
        <v>Cortez</v>
      </c>
      <c r="C1601" s="3">
        <f t="shared" si="178"/>
        <v>45764</v>
      </c>
      <c r="D1601" s="4">
        <f t="shared" ca="1" si="173"/>
        <v>78</v>
      </c>
      <c r="E1601" s="2">
        <f t="shared" ca="1" si="174"/>
        <v>3064</v>
      </c>
      <c r="F1601" s="2">
        <f t="shared" ca="1" si="175"/>
        <v>21675</v>
      </c>
      <c r="G1601" s="2">
        <f t="shared" ca="1" si="176"/>
        <v>531</v>
      </c>
    </row>
    <row r="1602" spans="1:7" x14ac:dyDescent="0.3">
      <c r="A1602" s="5" t="str">
        <f t="shared" si="177"/>
        <v>Adidas</v>
      </c>
      <c r="B1602" s="5" t="str">
        <f t="shared" si="172"/>
        <v>NMD S1</v>
      </c>
      <c r="C1602" s="3">
        <f t="shared" si="178"/>
        <v>45764</v>
      </c>
      <c r="D1602" s="4">
        <f t="shared" ca="1" si="173"/>
        <v>104</v>
      </c>
      <c r="E1602" s="2">
        <f t="shared" ca="1" si="174"/>
        <v>10467</v>
      </c>
      <c r="F1602" s="2">
        <f t="shared" ca="1" si="175"/>
        <v>14448</v>
      </c>
      <c r="G1602" s="2">
        <f t="shared" ca="1" si="176"/>
        <v>672</v>
      </c>
    </row>
    <row r="1603" spans="1:7" x14ac:dyDescent="0.3">
      <c r="A1603" s="5" t="str">
        <f t="shared" si="177"/>
        <v>Puma</v>
      </c>
      <c r="B1603" s="5" t="str">
        <f t="shared" ref="B1603:B1666" si="179">IF(A1603="Nike",CHOOSE(MOD(ROW(A1602),6)+1,"Air Max 270","Air Force 1","Pegasus 40","Vaporfly 3","Cortez","Jordan 1"),
 IF(A1603="Adidas",CHOOSE(MOD(ROW(A1602),6)+1,"Ultraboost 23","Stan Smith","Superstar","Gazelle","Samba","NMD S1"),
 IF(A1603="Puma",CHOOSE(MOD(ROW(A1602),6)+1,"Suede Classic","RS-X","Cali Dream","Rider Vintage","Slipstream","Mayze"),
 IF(A1603="New Balance",CHOOSE(MOD(ROW(A1602),6)+1,"574 Core","990v6","2002R","9060","327","550"),
 IF(A1603="Reebok",CHOOSE(MOD(ROW(A1602),6)+1,"Classic Leather","Club C 85","Nano X3","Instapump Fury","Zig Kinetica","Question Mid"),"")))))</f>
        <v>Suede Classic</v>
      </c>
      <c r="C1603" s="3">
        <f t="shared" si="178"/>
        <v>45764</v>
      </c>
      <c r="D1603" s="4">
        <f t="shared" ref="D1603:D1666" ca="1" si="180">RANDBETWEEN(20,250)</f>
        <v>201</v>
      </c>
      <c r="E1603" s="2">
        <f t="shared" ref="E1603:E1666" ca="1" si="181">ROUND(RANDBETWEEN(1500,12000)+(RANDBETWEEN(-200,200)),2)</f>
        <v>4889</v>
      </c>
      <c r="F1603" s="2">
        <f t="shared" ref="F1603:F1666" ca="1" si="182">RANDBETWEEN(5000,35000)</f>
        <v>7958</v>
      </c>
      <c r="G1603" s="2">
        <f t="shared" ref="G1603:G1666" ca="1" si="183">RANDBETWEEN(ROUND(F1603*0.02,0),ROUND(F1603*0.08,0))</f>
        <v>520</v>
      </c>
    </row>
    <row r="1604" spans="1:7" x14ac:dyDescent="0.3">
      <c r="A1604" s="5" t="str">
        <f t="shared" si="177"/>
        <v>New Balance</v>
      </c>
      <c r="B1604" s="5" t="str">
        <f t="shared" si="179"/>
        <v>990v6</v>
      </c>
      <c r="C1604" s="3">
        <f t="shared" si="178"/>
        <v>45764</v>
      </c>
      <c r="D1604" s="4">
        <f t="shared" ca="1" si="180"/>
        <v>241</v>
      </c>
      <c r="E1604" s="2">
        <f t="shared" ca="1" si="181"/>
        <v>3513</v>
      </c>
      <c r="F1604" s="2">
        <f t="shared" ca="1" si="182"/>
        <v>31474</v>
      </c>
      <c r="G1604" s="2">
        <f t="shared" ca="1" si="183"/>
        <v>2058</v>
      </c>
    </row>
    <row r="1605" spans="1:7" x14ac:dyDescent="0.3">
      <c r="A1605" s="5" t="str">
        <f t="shared" si="177"/>
        <v>Reebok</v>
      </c>
      <c r="B1605" s="5" t="str">
        <f t="shared" si="179"/>
        <v>Nano X3</v>
      </c>
      <c r="C1605" s="3">
        <f t="shared" si="178"/>
        <v>45764</v>
      </c>
      <c r="D1605" s="4">
        <f t="shared" ca="1" si="180"/>
        <v>231</v>
      </c>
      <c r="E1605" s="2">
        <f t="shared" ca="1" si="181"/>
        <v>8488</v>
      </c>
      <c r="F1605" s="2">
        <f t="shared" ca="1" si="182"/>
        <v>19329</v>
      </c>
      <c r="G1605" s="2">
        <f t="shared" ca="1" si="183"/>
        <v>1037</v>
      </c>
    </row>
    <row r="1606" spans="1:7" x14ac:dyDescent="0.3">
      <c r="A1606" s="5" t="str">
        <f t="shared" si="177"/>
        <v>Nike</v>
      </c>
      <c r="B1606" s="5" t="str">
        <f t="shared" si="179"/>
        <v>Vaporfly 3</v>
      </c>
      <c r="C1606" s="3">
        <f t="shared" si="178"/>
        <v>45764</v>
      </c>
      <c r="D1606" s="4">
        <f t="shared" ca="1" si="180"/>
        <v>210</v>
      </c>
      <c r="E1606" s="2">
        <f t="shared" ca="1" si="181"/>
        <v>3588</v>
      </c>
      <c r="F1606" s="2">
        <f t="shared" ca="1" si="182"/>
        <v>14295</v>
      </c>
      <c r="G1606" s="2">
        <f t="shared" ca="1" si="183"/>
        <v>623</v>
      </c>
    </row>
    <row r="1607" spans="1:7" x14ac:dyDescent="0.3">
      <c r="A1607" s="5" t="str">
        <f t="shared" si="177"/>
        <v>Adidas</v>
      </c>
      <c r="B1607" s="5" t="str">
        <f t="shared" si="179"/>
        <v>Samba</v>
      </c>
      <c r="C1607" s="3">
        <f t="shared" si="178"/>
        <v>45765</v>
      </c>
      <c r="D1607" s="4">
        <f t="shared" ca="1" si="180"/>
        <v>99</v>
      </c>
      <c r="E1607" s="2">
        <f t="shared" ca="1" si="181"/>
        <v>7811</v>
      </c>
      <c r="F1607" s="2">
        <f t="shared" ca="1" si="182"/>
        <v>11961</v>
      </c>
      <c r="G1607" s="2">
        <f t="shared" ca="1" si="183"/>
        <v>276</v>
      </c>
    </row>
    <row r="1608" spans="1:7" x14ac:dyDescent="0.3">
      <c r="A1608" s="5" t="str">
        <f t="shared" si="177"/>
        <v>Puma</v>
      </c>
      <c r="B1608" s="5" t="str">
        <f t="shared" si="179"/>
        <v>Mayze</v>
      </c>
      <c r="C1608" s="3">
        <f t="shared" si="178"/>
        <v>45765</v>
      </c>
      <c r="D1608" s="4">
        <f t="shared" ca="1" si="180"/>
        <v>68</v>
      </c>
      <c r="E1608" s="2">
        <f t="shared" ca="1" si="181"/>
        <v>3073</v>
      </c>
      <c r="F1608" s="2">
        <f t="shared" ca="1" si="182"/>
        <v>23639</v>
      </c>
      <c r="G1608" s="2">
        <f t="shared" ca="1" si="183"/>
        <v>1138</v>
      </c>
    </row>
    <row r="1609" spans="1:7" x14ac:dyDescent="0.3">
      <c r="A1609" s="5" t="str">
        <f t="shared" si="177"/>
        <v>New Balance</v>
      </c>
      <c r="B1609" s="5" t="str">
        <f t="shared" si="179"/>
        <v>574 Core</v>
      </c>
      <c r="C1609" s="3">
        <f t="shared" si="178"/>
        <v>45765</v>
      </c>
      <c r="D1609" s="4">
        <f t="shared" ca="1" si="180"/>
        <v>184</v>
      </c>
      <c r="E1609" s="2">
        <f t="shared" ca="1" si="181"/>
        <v>5484</v>
      </c>
      <c r="F1609" s="2">
        <f t="shared" ca="1" si="182"/>
        <v>16845</v>
      </c>
      <c r="G1609" s="2">
        <f t="shared" ca="1" si="183"/>
        <v>652</v>
      </c>
    </row>
    <row r="1610" spans="1:7" x14ac:dyDescent="0.3">
      <c r="A1610" s="5" t="str">
        <f t="shared" si="177"/>
        <v>Reebok</v>
      </c>
      <c r="B1610" s="5" t="str">
        <f t="shared" si="179"/>
        <v>Club C 85</v>
      </c>
      <c r="C1610" s="3">
        <f t="shared" si="178"/>
        <v>45765</v>
      </c>
      <c r="D1610" s="4">
        <f t="shared" ca="1" si="180"/>
        <v>26</v>
      </c>
      <c r="E1610" s="2">
        <f t="shared" ca="1" si="181"/>
        <v>9797</v>
      </c>
      <c r="F1610" s="2">
        <f t="shared" ca="1" si="182"/>
        <v>24213</v>
      </c>
      <c r="G1610" s="2">
        <f t="shared" ca="1" si="183"/>
        <v>1691</v>
      </c>
    </row>
    <row r="1611" spans="1:7" x14ac:dyDescent="0.3">
      <c r="A1611" s="5" t="str">
        <f t="shared" si="177"/>
        <v>Nike</v>
      </c>
      <c r="B1611" s="5" t="str">
        <f t="shared" si="179"/>
        <v>Pegasus 40</v>
      </c>
      <c r="C1611" s="3">
        <f t="shared" si="178"/>
        <v>45765</v>
      </c>
      <c r="D1611" s="4">
        <f t="shared" ca="1" si="180"/>
        <v>183</v>
      </c>
      <c r="E1611" s="2">
        <f t="shared" ca="1" si="181"/>
        <v>3728</v>
      </c>
      <c r="F1611" s="2">
        <f t="shared" ca="1" si="182"/>
        <v>23552</v>
      </c>
      <c r="G1611" s="2">
        <f t="shared" ca="1" si="183"/>
        <v>1458</v>
      </c>
    </row>
    <row r="1612" spans="1:7" x14ac:dyDescent="0.3">
      <c r="A1612" s="5" t="str">
        <f t="shared" si="177"/>
        <v>Adidas</v>
      </c>
      <c r="B1612" s="5" t="str">
        <f t="shared" si="179"/>
        <v>Gazelle</v>
      </c>
      <c r="C1612" s="3">
        <f t="shared" si="178"/>
        <v>45765</v>
      </c>
      <c r="D1612" s="4">
        <f t="shared" ca="1" si="180"/>
        <v>194</v>
      </c>
      <c r="E1612" s="2">
        <f t="shared" ca="1" si="181"/>
        <v>6490</v>
      </c>
      <c r="F1612" s="2">
        <f t="shared" ca="1" si="182"/>
        <v>10918</v>
      </c>
      <c r="G1612" s="2">
        <f t="shared" ca="1" si="183"/>
        <v>570</v>
      </c>
    </row>
    <row r="1613" spans="1:7" x14ac:dyDescent="0.3">
      <c r="A1613" s="5" t="str">
        <f t="shared" si="177"/>
        <v>Puma</v>
      </c>
      <c r="B1613" s="5" t="str">
        <f t="shared" si="179"/>
        <v>Slipstream</v>
      </c>
      <c r="C1613" s="3">
        <f t="shared" si="178"/>
        <v>45765</v>
      </c>
      <c r="D1613" s="4">
        <f t="shared" ca="1" si="180"/>
        <v>205</v>
      </c>
      <c r="E1613" s="2">
        <f t="shared" ca="1" si="181"/>
        <v>8617</v>
      </c>
      <c r="F1613" s="2">
        <f t="shared" ca="1" si="182"/>
        <v>15507</v>
      </c>
      <c r="G1613" s="2">
        <f t="shared" ca="1" si="183"/>
        <v>583</v>
      </c>
    </row>
    <row r="1614" spans="1:7" x14ac:dyDescent="0.3">
      <c r="A1614" s="5" t="str">
        <f t="shared" si="177"/>
        <v>New Balance</v>
      </c>
      <c r="B1614" s="5" t="str">
        <f t="shared" si="179"/>
        <v>550</v>
      </c>
      <c r="C1614" s="3">
        <f t="shared" si="178"/>
        <v>45765</v>
      </c>
      <c r="D1614" s="4">
        <f t="shared" ca="1" si="180"/>
        <v>215</v>
      </c>
      <c r="E1614" s="2">
        <f t="shared" ca="1" si="181"/>
        <v>7914</v>
      </c>
      <c r="F1614" s="2">
        <f t="shared" ca="1" si="182"/>
        <v>16671</v>
      </c>
      <c r="G1614" s="2">
        <f t="shared" ca="1" si="183"/>
        <v>478</v>
      </c>
    </row>
    <row r="1615" spans="1:7" x14ac:dyDescent="0.3">
      <c r="A1615" s="5" t="str">
        <f t="shared" si="177"/>
        <v>Reebok</v>
      </c>
      <c r="B1615" s="5" t="str">
        <f t="shared" si="179"/>
        <v>Classic Leather</v>
      </c>
      <c r="C1615" s="3">
        <f t="shared" si="178"/>
        <v>45765</v>
      </c>
      <c r="D1615" s="4">
        <f t="shared" ca="1" si="180"/>
        <v>79</v>
      </c>
      <c r="E1615" s="2">
        <f t="shared" ca="1" si="181"/>
        <v>7695</v>
      </c>
      <c r="F1615" s="2">
        <f t="shared" ca="1" si="182"/>
        <v>21874</v>
      </c>
      <c r="G1615" s="2">
        <f t="shared" ca="1" si="183"/>
        <v>812</v>
      </c>
    </row>
    <row r="1616" spans="1:7" x14ac:dyDescent="0.3">
      <c r="A1616" s="5" t="str">
        <f t="shared" si="177"/>
        <v>Nike</v>
      </c>
      <c r="B1616" s="5" t="str">
        <f t="shared" si="179"/>
        <v>Air Force 1</v>
      </c>
      <c r="C1616" s="3">
        <f t="shared" si="178"/>
        <v>45765</v>
      </c>
      <c r="D1616" s="4">
        <f t="shared" ca="1" si="180"/>
        <v>98</v>
      </c>
      <c r="E1616" s="2">
        <f t="shared" ca="1" si="181"/>
        <v>8309</v>
      </c>
      <c r="F1616" s="2">
        <f t="shared" ca="1" si="182"/>
        <v>22952</v>
      </c>
      <c r="G1616" s="2">
        <f t="shared" ca="1" si="183"/>
        <v>806</v>
      </c>
    </row>
    <row r="1617" spans="1:7" x14ac:dyDescent="0.3">
      <c r="A1617" s="5" t="str">
        <f t="shared" si="177"/>
        <v>Adidas</v>
      </c>
      <c r="B1617" s="5" t="str">
        <f t="shared" si="179"/>
        <v>Superstar</v>
      </c>
      <c r="C1617" s="3">
        <f t="shared" si="178"/>
        <v>45765</v>
      </c>
      <c r="D1617" s="4">
        <f t="shared" ca="1" si="180"/>
        <v>38</v>
      </c>
      <c r="E1617" s="2">
        <f t="shared" ca="1" si="181"/>
        <v>6349</v>
      </c>
      <c r="F1617" s="2">
        <f t="shared" ca="1" si="182"/>
        <v>7055</v>
      </c>
      <c r="G1617" s="2">
        <f t="shared" ca="1" si="183"/>
        <v>539</v>
      </c>
    </row>
    <row r="1618" spans="1:7" x14ac:dyDescent="0.3">
      <c r="A1618" s="5" t="str">
        <f t="shared" si="177"/>
        <v>Puma</v>
      </c>
      <c r="B1618" s="5" t="str">
        <f t="shared" si="179"/>
        <v>Rider Vintage</v>
      </c>
      <c r="C1618" s="3">
        <f t="shared" si="178"/>
        <v>45765</v>
      </c>
      <c r="D1618" s="4">
        <f t="shared" ca="1" si="180"/>
        <v>63</v>
      </c>
      <c r="E1618" s="2">
        <f t="shared" ca="1" si="181"/>
        <v>10920</v>
      </c>
      <c r="F1618" s="2">
        <f t="shared" ca="1" si="182"/>
        <v>27460</v>
      </c>
      <c r="G1618" s="2">
        <f t="shared" ca="1" si="183"/>
        <v>980</v>
      </c>
    </row>
    <row r="1619" spans="1:7" x14ac:dyDescent="0.3">
      <c r="A1619" s="5" t="str">
        <f t="shared" si="177"/>
        <v>New Balance</v>
      </c>
      <c r="B1619" s="5" t="str">
        <f t="shared" si="179"/>
        <v>327</v>
      </c>
      <c r="C1619" s="3">
        <f t="shared" si="178"/>
        <v>45765</v>
      </c>
      <c r="D1619" s="4">
        <f t="shared" ca="1" si="180"/>
        <v>230</v>
      </c>
      <c r="E1619" s="2">
        <f t="shared" ca="1" si="181"/>
        <v>2422</v>
      </c>
      <c r="F1619" s="2">
        <f t="shared" ca="1" si="182"/>
        <v>22690</v>
      </c>
      <c r="G1619" s="2">
        <f t="shared" ca="1" si="183"/>
        <v>814</v>
      </c>
    </row>
    <row r="1620" spans="1:7" x14ac:dyDescent="0.3">
      <c r="A1620" s="5" t="str">
        <f t="shared" si="177"/>
        <v>Reebok</v>
      </c>
      <c r="B1620" s="5" t="str">
        <f t="shared" si="179"/>
        <v>Question Mid</v>
      </c>
      <c r="C1620" s="3">
        <f t="shared" si="178"/>
        <v>45765</v>
      </c>
      <c r="D1620" s="4">
        <f t="shared" ca="1" si="180"/>
        <v>206</v>
      </c>
      <c r="E1620" s="2">
        <f t="shared" ca="1" si="181"/>
        <v>10244</v>
      </c>
      <c r="F1620" s="2">
        <f t="shared" ca="1" si="182"/>
        <v>14712</v>
      </c>
      <c r="G1620" s="2">
        <f t="shared" ca="1" si="183"/>
        <v>758</v>
      </c>
    </row>
    <row r="1621" spans="1:7" x14ac:dyDescent="0.3">
      <c r="A1621" s="5" t="str">
        <f t="shared" si="177"/>
        <v>Nike</v>
      </c>
      <c r="B1621" s="5" t="str">
        <f t="shared" si="179"/>
        <v>Air Max 270</v>
      </c>
      <c r="C1621" s="3">
        <f t="shared" si="178"/>
        <v>45765</v>
      </c>
      <c r="D1621" s="4">
        <f t="shared" ca="1" si="180"/>
        <v>172</v>
      </c>
      <c r="E1621" s="2">
        <f t="shared" ca="1" si="181"/>
        <v>11683</v>
      </c>
      <c r="F1621" s="2">
        <f t="shared" ca="1" si="182"/>
        <v>30272</v>
      </c>
      <c r="G1621" s="2">
        <f t="shared" ca="1" si="183"/>
        <v>1929</v>
      </c>
    </row>
    <row r="1622" spans="1:7" x14ac:dyDescent="0.3">
      <c r="A1622" s="5" t="str">
        <f t="shared" si="177"/>
        <v>Adidas</v>
      </c>
      <c r="B1622" s="5" t="str">
        <f t="shared" si="179"/>
        <v>Stan Smith</v>
      </c>
      <c r="C1622" s="3">
        <f t="shared" si="178"/>
        <v>45766</v>
      </c>
      <c r="D1622" s="4">
        <f t="shared" ca="1" si="180"/>
        <v>230</v>
      </c>
      <c r="E1622" s="2">
        <f t="shared" ca="1" si="181"/>
        <v>5610</v>
      </c>
      <c r="F1622" s="2">
        <f t="shared" ca="1" si="182"/>
        <v>7074</v>
      </c>
      <c r="G1622" s="2">
        <f t="shared" ca="1" si="183"/>
        <v>325</v>
      </c>
    </row>
    <row r="1623" spans="1:7" x14ac:dyDescent="0.3">
      <c r="A1623" s="5" t="str">
        <f t="shared" si="177"/>
        <v>Puma</v>
      </c>
      <c r="B1623" s="5" t="str">
        <f t="shared" si="179"/>
        <v>Cali Dream</v>
      </c>
      <c r="C1623" s="3">
        <f t="shared" si="178"/>
        <v>45766</v>
      </c>
      <c r="D1623" s="4">
        <f t="shared" ca="1" si="180"/>
        <v>185</v>
      </c>
      <c r="E1623" s="2">
        <f t="shared" ca="1" si="181"/>
        <v>11884</v>
      </c>
      <c r="F1623" s="2">
        <f t="shared" ca="1" si="182"/>
        <v>8833</v>
      </c>
      <c r="G1623" s="2">
        <f t="shared" ca="1" si="183"/>
        <v>451</v>
      </c>
    </row>
    <row r="1624" spans="1:7" x14ac:dyDescent="0.3">
      <c r="A1624" s="5" t="str">
        <f t="shared" si="177"/>
        <v>New Balance</v>
      </c>
      <c r="B1624" s="5" t="str">
        <f t="shared" si="179"/>
        <v>9060</v>
      </c>
      <c r="C1624" s="3">
        <f t="shared" si="178"/>
        <v>45766</v>
      </c>
      <c r="D1624" s="4">
        <f t="shared" ca="1" si="180"/>
        <v>109</v>
      </c>
      <c r="E1624" s="2">
        <f t="shared" ca="1" si="181"/>
        <v>7059</v>
      </c>
      <c r="F1624" s="2">
        <f t="shared" ca="1" si="182"/>
        <v>32503</v>
      </c>
      <c r="G1624" s="2">
        <f t="shared" ca="1" si="183"/>
        <v>1311</v>
      </c>
    </row>
    <row r="1625" spans="1:7" x14ac:dyDescent="0.3">
      <c r="A1625" s="5" t="str">
        <f t="shared" si="177"/>
        <v>Reebok</v>
      </c>
      <c r="B1625" s="5" t="str">
        <f t="shared" si="179"/>
        <v>Zig Kinetica</v>
      </c>
      <c r="C1625" s="3">
        <f t="shared" si="178"/>
        <v>45766</v>
      </c>
      <c r="D1625" s="4">
        <f t="shared" ca="1" si="180"/>
        <v>153</v>
      </c>
      <c r="E1625" s="2">
        <f t="shared" ca="1" si="181"/>
        <v>1799</v>
      </c>
      <c r="F1625" s="2">
        <f t="shared" ca="1" si="182"/>
        <v>16746</v>
      </c>
      <c r="G1625" s="2">
        <f t="shared" ca="1" si="183"/>
        <v>938</v>
      </c>
    </row>
    <row r="1626" spans="1:7" x14ac:dyDescent="0.3">
      <c r="A1626" s="5" t="str">
        <f t="shared" si="177"/>
        <v>Nike</v>
      </c>
      <c r="B1626" s="5" t="str">
        <f t="shared" si="179"/>
        <v>Jordan 1</v>
      </c>
      <c r="C1626" s="3">
        <f t="shared" si="178"/>
        <v>45766</v>
      </c>
      <c r="D1626" s="4">
        <f t="shared" ca="1" si="180"/>
        <v>78</v>
      </c>
      <c r="E1626" s="2">
        <f t="shared" ca="1" si="181"/>
        <v>9572</v>
      </c>
      <c r="F1626" s="2">
        <f t="shared" ca="1" si="182"/>
        <v>24832</v>
      </c>
      <c r="G1626" s="2">
        <f t="shared" ca="1" si="183"/>
        <v>563</v>
      </c>
    </row>
    <row r="1627" spans="1:7" x14ac:dyDescent="0.3">
      <c r="A1627" s="5" t="str">
        <f t="shared" si="177"/>
        <v>Adidas</v>
      </c>
      <c r="B1627" s="5" t="str">
        <f t="shared" si="179"/>
        <v>Ultraboost 23</v>
      </c>
      <c r="C1627" s="3">
        <f t="shared" si="178"/>
        <v>45766</v>
      </c>
      <c r="D1627" s="4">
        <f t="shared" ca="1" si="180"/>
        <v>150</v>
      </c>
      <c r="E1627" s="2">
        <f t="shared" ca="1" si="181"/>
        <v>1808</v>
      </c>
      <c r="F1627" s="2">
        <f t="shared" ca="1" si="182"/>
        <v>8359</v>
      </c>
      <c r="G1627" s="2">
        <f t="shared" ca="1" si="183"/>
        <v>506</v>
      </c>
    </row>
    <row r="1628" spans="1:7" x14ac:dyDescent="0.3">
      <c r="A1628" s="5" t="str">
        <f t="shared" si="177"/>
        <v>Puma</v>
      </c>
      <c r="B1628" s="5" t="str">
        <f t="shared" si="179"/>
        <v>RS-X</v>
      </c>
      <c r="C1628" s="3">
        <f t="shared" si="178"/>
        <v>45766</v>
      </c>
      <c r="D1628" s="4">
        <f t="shared" ca="1" si="180"/>
        <v>131</v>
      </c>
      <c r="E1628" s="2">
        <f t="shared" ca="1" si="181"/>
        <v>11082</v>
      </c>
      <c r="F1628" s="2">
        <f t="shared" ca="1" si="182"/>
        <v>19999</v>
      </c>
      <c r="G1628" s="2">
        <f t="shared" ca="1" si="183"/>
        <v>1516</v>
      </c>
    </row>
    <row r="1629" spans="1:7" x14ac:dyDescent="0.3">
      <c r="A1629" s="5" t="str">
        <f t="shared" si="177"/>
        <v>New Balance</v>
      </c>
      <c r="B1629" s="5" t="str">
        <f t="shared" si="179"/>
        <v>2002R</v>
      </c>
      <c r="C1629" s="3">
        <f t="shared" si="178"/>
        <v>45766</v>
      </c>
      <c r="D1629" s="4">
        <f t="shared" ca="1" si="180"/>
        <v>70</v>
      </c>
      <c r="E1629" s="2">
        <f t="shared" ca="1" si="181"/>
        <v>7720</v>
      </c>
      <c r="F1629" s="2">
        <f t="shared" ca="1" si="182"/>
        <v>29921</v>
      </c>
      <c r="G1629" s="2">
        <f t="shared" ca="1" si="183"/>
        <v>970</v>
      </c>
    </row>
    <row r="1630" spans="1:7" x14ac:dyDescent="0.3">
      <c r="A1630" s="5" t="str">
        <f t="shared" si="177"/>
        <v>Reebok</v>
      </c>
      <c r="B1630" s="5" t="str">
        <f t="shared" si="179"/>
        <v>Instapump Fury</v>
      </c>
      <c r="C1630" s="3">
        <f t="shared" si="178"/>
        <v>45766</v>
      </c>
      <c r="D1630" s="4">
        <f t="shared" ca="1" si="180"/>
        <v>125</v>
      </c>
      <c r="E1630" s="2">
        <f t="shared" ca="1" si="181"/>
        <v>7076</v>
      </c>
      <c r="F1630" s="2">
        <f t="shared" ca="1" si="182"/>
        <v>13229</v>
      </c>
      <c r="G1630" s="2">
        <f t="shared" ca="1" si="183"/>
        <v>782</v>
      </c>
    </row>
    <row r="1631" spans="1:7" x14ac:dyDescent="0.3">
      <c r="A1631" s="5" t="str">
        <f t="shared" si="177"/>
        <v>Nike</v>
      </c>
      <c r="B1631" s="5" t="str">
        <f t="shared" si="179"/>
        <v>Cortez</v>
      </c>
      <c r="C1631" s="3">
        <f t="shared" si="178"/>
        <v>45766</v>
      </c>
      <c r="D1631" s="4">
        <f t="shared" ca="1" si="180"/>
        <v>50</v>
      </c>
      <c r="E1631" s="2">
        <f t="shared" ca="1" si="181"/>
        <v>5433</v>
      </c>
      <c r="F1631" s="2">
        <f t="shared" ca="1" si="182"/>
        <v>12001</v>
      </c>
      <c r="G1631" s="2">
        <f t="shared" ca="1" si="183"/>
        <v>267</v>
      </c>
    </row>
    <row r="1632" spans="1:7" x14ac:dyDescent="0.3">
      <c r="A1632" s="5" t="str">
        <f t="shared" si="177"/>
        <v>Adidas</v>
      </c>
      <c r="B1632" s="5" t="str">
        <f t="shared" si="179"/>
        <v>NMD S1</v>
      </c>
      <c r="C1632" s="3">
        <f t="shared" si="178"/>
        <v>45766</v>
      </c>
      <c r="D1632" s="4">
        <f t="shared" ca="1" si="180"/>
        <v>182</v>
      </c>
      <c r="E1632" s="2">
        <f t="shared" ca="1" si="181"/>
        <v>11897</v>
      </c>
      <c r="F1632" s="2">
        <f t="shared" ca="1" si="182"/>
        <v>30863</v>
      </c>
      <c r="G1632" s="2">
        <f t="shared" ca="1" si="183"/>
        <v>1720</v>
      </c>
    </row>
    <row r="1633" spans="1:7" x14ac:dyDescent="0.3">
      <c r="A1633" s="5" t="str">
        <f t="shared" si="177"/>
        <v>Puma</v>
      </c>
      <c r="B1633" s="5" t="str">
        <f t="shared" si="179"/>
        <v>Suede Classic</v>
      </c>
      <c r="C1633" s="3">
        <f t="shared" si="178"/>
        <v>45766</v>
      </c>
      <c r="D1633" s="4">
        <f t="shared" ca="1" si="180"/>
        <v>169</v>
      </c>
      <c r="E1633" s="2">
        <f t="shared" ca="1" si="181"/>
        <v>1955</v>
      </c>
      <c r="F1633" s="2">
        <f t="shared" ca="1" si="182"/>
        <v>5586</v>
      </c>
      <c r="G1633" s="2">
        <f t="shared" ca="1" si="183"/>
        <v>394</v>
      </c>
    </row>
    <row r="1634" spans="1:7" x14ac:dyDescent="0.3">
      <c r="A1634" s="5" t="str">
        <f t="shared" si="177"/>
        <v>New Balance</v>
      </c>
      <c r="B1634" s="5" t="str">
        <f t="shared" si="179"/>
        <v>990v6</v>
      </c>
      <c r="C1634" s="3">
        <f t="shared" si="178"/>
        <v>45766</v>
      </c>
      <c r="D1634" s="4">
        <f t="shared" ca="1" si="180"/>
        <v>249</v>
      </c>
      <c r="E1634" s="2">
        <f t="shared" ca="1" si="181"/>
        <v>6133</v>
      </c>
      <c r="F1634" s="2">
        <f t="shared" ca="1" si="182"/>
        <v>26015</v>
      </c>
      <c r="G1634" s="2">
        <f t="shared" ca="1" si="183"/>
        <v>1257</v>
      </c>
    </row>
    <row r="1635" spans="1:7" x14ac:dyDescent="0.3">
      <c r="A1635" s="5" t="str">
        <f t="shared" si="177"/>
        <v>Reebok</v>
      </c>
      <c r="B1635" s="5" t="str">
        <f t="shared" si="179"/>
        <v>Nano X3</v>
      </c>
      <c r="C1635" s="3">
        <f t="shared" si="178"/>
        <v>45766</v>
      </c>
      <c r="D1635" s="4">
        <f t="shared" ca="1" si="180"/>
        <v>64</v>
      </c>
      <c r="E1635" s="2">
        <f t="shared" ca="1" si="181"/>
        <v>9861</v>
      </c>
      <c r="F1635" s="2">
        <f t="shared" ca="1" si="182"/>
        <v>11040</v>
      </c>
      <c r="G1635" s="2">
        <f t="shared" ca="1" si="183"/>
        <v>568</v>
      </c>
    </row>
    <row r="1636" spans="1:7" x14ac:dyDescent="0.3">
      <c r="A1636" s="5" t="str">
        <f t="shared" si="177"/>
        <v>Nike</v>
      </c>
      <c r="B1636" s="5" t="str">
        <f t="shared" si="179"/>
        <v>Vaporfly 3</v>
      </c>
      <c r="C1636" s="3">
        <f t="shared" si="178"/>
        <v>45766</v>
      </c>
      <c r="D1636" s="4">
        <f t="shared" ca="1" si="180"/>
        <v>114</v>
      </c>
      <c r="E1636" s="2">
        <f t="shared" ca="1" si="181"/>
        <v>3874</v>
      </c>
      <c r="F1636" s="2">
        <f t="shared" ca="1" si="182"/>
        <v>16021</v>
      </c>
      <c r="G1636" s="2">
        <f t="shared" ca="1" si="183"/>
        <v>559</v>
      </c>
    </row>
    <row r="1637" spans="1:7" x14ac:dyDescent="0.3">
      <c r="A1637" s="5" t="str">
        <f t="shared" si="177"/>
        <v>Adidas</v>
      </c>
      <c r="B1637" s="5" t="str">
        <f t="shared" si="179"/>
        <v>Samba</v>
      </c>
      <c r="C1637" s="3">
        <f t="shared" si="178"/>
        <v>45767</v>
      </c>
      <c r="D1637" s="4">
        <f t="shared" ca="1" si="180"/>
        <v>218</v>
      </c>
      <c r="E1637" s="2">
        <f t="shared" ca="1" si="181"/>
        <v>6974</v>
      </c>
      <c r="F1637" s="2">
        <f t="shared" ca="1" si="182"/>
        <v>31540</v>
      </c>
      <c r="G1637" s="2">
        <f t="shared" ca="1" si="183"/>
        <v>1207</v>
      </c>
    </row>
    <row r="1638" spans="1:7" x14ac:dyDescent="0.3">
      <c r="A1638" s="5" t="str">
        <f t="shared" si="177"/>
        <v>Puma</v>
      </c>
      <c r="B1638" s="5" t="str">
        <f t="shared" si="179"/>
        <v>Mayze</v>
      </c>
      <c r="C1638" s="3">
        <f t="shared" si="178"/>
        <v>45767</v>
      </c>
      <c r="D1638" s="4">
        <f t="shared" ca="1" si="180"/>
        <v>48</v>
      </c>
      <c r="E1638" s="2">
        <f t="shared" ca="1" si="181"/>
        <v>3461</v>
      </c>
      <c r="F1638" s="2">
        <f t="shared" ca="1" si="182"/>
        <v>16907</v>
      </c>
      <c r="G1638" s="2">
        <f t="shared" ca="1" si="183"/>
        <v>1270</v>
      </c>
    </row>
    <row r="1639" spans="1:7" x14ac:dyDescent="0.3">
      <c r="A1639" s="5" t="str">
        <f t="shared" si="177"/>
        <v>New Balance</v>
      </c>
      <c r="B1639" s="5" t="str">
        <f t="shared" si="179"/>
        <v>574 Core</v>
      </c>
      <c r="C1639" s="3">
        <f t="shared" si="178"/>
        <v>45767</v>
      </c>
      <c r="D1639" s="4">
        <f t="shared" ca="1" si="180"/>
        <v>94</v>
      </c>
      <c r="E1639" s="2">
        <f t="shared" ca="1" si="181"/>
        <v>10674</v>
      </c>
      <c r="F1639" s="2">
        <f t="shared" ca="1" si="182"/>
        <v>12699</v>
      </c>
      <c r="G1639" s="2">
        <f t="shared" ca="1" si="183"/>
        <v>281</v>
      </c>
    </row>
    <row r="1640" spans="1:7" x14ac:dyDescent="0.3">
      <c r="A1640" s="5" t="str">
        <f t="shared" si="177"/>
        <v>Reebok</v>
      </c>
      <c r="B1640" s="5" t="str">
        <f t="shared" si="179"/>
        <v>Club C 85</v>
      </c>
      <c r="C1640" s="3">
        <f t="shared" si="178"/>
        <v>45767</v>
      </c>
      <c r="D1640" s="4">
        <f t="shared" ca="1" si="180"/>
        <v>162</v>
      </c>
      <c r="E1640" s="2">
        <f t="shared" ca="1" si="181"/>
        <v>8252</v>
      </c>
      <c r="F1640" s="2">
        <f t="shared" ca="1" si="182"/>
        <v>12324</v>
      </c>
      <c r="G1640" s="2">
        <f t="shared" ca="1" si="183"/>
        <v>635</v>
      </c>
    </row>
    <row r="1641" spans="1:7" x14ac:dyDescent="0.3">
      <c r="A1641" s="5" t="str">
        <f t="shared" si="177"/>
        <v>Nike</v>
      </c>
      <c r="B1641" s="5" t="str">
        <f t="shared" si="179"/>
        <v>Pegasus 40</v>
      </c>
      <c r="C1641" s="3">
        <f t="shared" si="178"/>
        <v>45767</v>
      </c>
      <c r="D1641" s="4">
        <f t="shared" ca="1" si="180"/>
        <v>96</v>
      </c>
      <c r="E1641" s="2">
        <f t="shared" ca="1" si="181"/>
        <v>11978</v>
      </c>
      <c r="F1641" s="2">
        <f t="shared" ca="1" si="182"/>
        <v>17479</v>
      </c>
      <c r="G1641" s="2">
        <f t="shared" ca="1" si="183"/>
        <v>1383</v>
      </c>
    </row>
    <row r="1642" spans="1:7" x14ac:dyDescent="0.3">
      <c r="A1642" s="5" t="str">
        <f t="shared" si="177"/>
        <v>Adidas</v>
      </c>
      <c r="B1642" s="5" t="str">
        <f t="shared" si="179"/>
        <v>Gazelle</v>
      </c>
      <c r="C1642" s="3">
        <f t="shared" si="178"/>
        <v>45767</v>
      </c>
      <c r="D1642" s="4">
        <f t="shared" ca="1" si="180"/>
        <v>205</v>
      </c>
      <c r="E1642" s="2">
        <f t="shared" ca="1" si="181"/>
        <v>2683</v>
      </c>
      <c r="F1642" s="2">
        <f t="shared" ca="1" si="182"/>
        <v>25781</v>
      </c>
      <c r="G1642" s="2">
        <f t="shared" ca="1" si="183"/>
        <v>1567</v>
      </c>
    </row>
    <row r="1643" spans="1:7" x14ac:dyDescent="0.3">
      <c r="A1643" s="5" t="str">
        <f t="shared" ref="A1643:A1706" si="184">CHOOSE(MOD(ROW(A1642),5)+1,"Nike","Adidas","Puma","New Balance","Reebok")</f>
        <v>Puma</v>
      </c>
      <c r="B1643" s="5" t="str">
        <f t="shared" si="179"/>
        <v>Slipstream</v>
      </c>
      <c r="C1643" s="3">
        <f t="shared" ref="C1643:C1706" si="185">DATE(2025,1,1)+INT((ROW(A1643)-2)/15)</f>
        <v>45767</v>
      </c>
      <c r="D1643" s="4">
        <f t="shared" ca="1" si="180"/>
        <v>24</v>
      </c>
      <c r="E1643" s="2">
        <f t="shared" ca="1" si="181"/>
        <v>9943</v>
      </c>
      <c r="F1643" s="2">
        <f t="shared" ca="1" si="182"/>
        <v>19162</v>
      </c>
      <c r="G1643" s="2">
        <f t="shared" ca="1" si="183"/>
        <v>1450</v>
      </c>
    </row>
    <row r="1644" spans="1:7" x14ac:dyDescent="0.3">
      <c r="A1644" s="5" t="str">
        <f t="shared" si="184"/>
        <v>New Balance</v>
      </c>
      <c r="B1644" s="5" t="str">
        <f t="shared" si="179"/>
        <v>550</v>
      </c>
      <c r="C1644" s="3">
        <f t="shared" si="185"/>
        <v>45767</v>
      </c>
      <c r="D1644" s="4">
        <f t="shared" ca="1" si="180"/>
        <v>169</v>
      </c>
      <c r="E1644" s="2">
        <f t="shared" ca="1" si="181"/>
        <v>11300</v>
      </c>
      <c r="F1644" s="2">
        <f t="shared" ca="1" si="182"/>
        <v>6420</v>
      </c>
      <c r="G1644" s="2">
        <f t="shared" ca="1" si="183"/>
        <v>253</v>
      </c>
    </row>
    <row r="1645" spans="1:7" x14ac:dyDescent="0.3">
      <c r="A1645" s="5" t="str">
        <f t="shared" si="184"/>
        <v>Reebok</v>
      </c>
      <c r="B1645" s="5" t="str">
        <f t="shared" si="179"/>
        <v>Classic Leather</v>
      </c>
      <c r="C1645" s="3">
        <f t="shared" si="185"/>
        <v>45767</v>
      </c>
      <c r="D1645" s="4">
        <f t="shared" ca="1" si="180"/>
        <v>209</v>
      </c>
      <c r="E1645" s="2">
        <f t="shared" ca="1" si="181"/>
        <v>2427</v>
      </c>
      <c r="F1645" s="2">
        <f t="shared" ca="1" si="182"/>
        <v>17947</v>
      </c>
      <c r="G1645" s="2">
        <f t="shared" ca="1" si="183"/>
        <v>989</v>
      </c>
    </row>
    <row r="1646" spans="1:7" x14ac:dyDescent="0.3">
      <c r="A1646" s="5" t="str">
        <f t="shared" si="184"/>
        <v>Nike</v>
      </c>
      <c r="B1646" s="5" t="str">
        <f t="shared" si="179"/>
        <v>Air Force 1</v>
      </c>
      <c r="C1646" s="3">
        <f t="shared" si="185"/>
        <v>45767</v>
      </c>
      <c r="D1646" s="4">
        <f t="shared" ca="1" si="180"/>
        <v>226</v>
      </c>
      <c r="E1646" s="2">
        <f t="shared" ca="1" si="181"/>
        <v>6001</v>
      </c>
      <c r="F1646" s="2">
        <f t="shared" ca="1" si="182"/>
        <v>15697</v>
      </c>
      <c r="G1646" s="2">
        <f t="shared" ca="1" si="183"/>
        <v>1059</v>
      </c>
    </row>
    <row r="1647" spans="1:7" x14ac:dyDescent="0.3">
      <c r="A1647" s="5" t="str">
        <f t="shared" si="184"/>
        <v>Adidas</v>
      </c>
      <c r="B1647" s="5" t="str">
        <f t="shared" si="179"/>
        <v>Superstar</v>
      </c>
      <c r="C1647" s="3">
        <f t="shared" si="185"/>
        <v>45767</v>
      </c>
      <c r="D1647" s="4">
        <f t="shared" ca="1" si="180"/>
        <v>171</v>
      </c>
      <c r="E1647" s="2">
        <f t="shared" ca="1" si="181"/>
        <v>11641</v>
      </c>
      <c r="F1647" s="2">
        <f t="shared" ca="1" si="182"/>
        <v>8277</v>
      </c>
      <c r="G1647" s="2">
        <f t="shared" ca="1" si="183"/>
        <v>418</v>
      </c>
    </row>
    <row r="1648" spans="1:7" x14ac:dyDescent="0.3">
      <c r="A1648" s="5" t="str">
        <f t="shared" si="184"/>
        <v>Puma</v>
      </c>
      <c r="B1648" s="5" t="str">
        <f t="shared" si="179"/>
        <v>Rider Vintage</v>
      </c>
      <c r="C1648" s="3">
        <f t="shared" si="185"/>
        <v>45767</v>
      </c>
      <c r="D1648" s="4">
        <f t="shared" ca="1" si="180"/>
        <v>180</v>
      </c>
      <c r="E1648" s="2">
        <f t="shared" ca="1" si="181"/>
        <v>4366</v>
      </c>
      <c r="F1648" s="2">
        <f t="shared" ca="1" si="182"/>
        <v>32609</v>
      </c>
      <c r="G1648" s="2">
        <f t="shared" ca="1" si="183"/>
        <v>923</v>
      </c>
    </row>
    <row r="1649" spans="1:7" x14ac:dyDescent="0.3">
      <c r="A1649" s="5" t="str">
        <f t="shared" si="184"/>
        <v>New Balance</v>
      </c>
      <c r="B1649" s="5" t="str">
        <f t="shared" si="179"/>
        <v>327</v>
      </c>
      <c r="C1649" s="3">
        <f t="shared" si="185"/>
        <v>45767</v>
      </c>
      <c r="D1649" s="4">
        <f t="shared" ca="1" si="180"/>
        <v>65</v>
      </c>
      <c r="E1649" s="2">
        <f t="shared" ca="1" si="181"/>
        <v>11536</v>
      </c>
      <c r="F1649" s="2">
        <f t="shared" ca="1" si="182"/>
        <v>6514</v>
      </c>
      <c r="G1649" s="2">
        <f t="shared" ca="1" si="183"/>
        <v>493</v>
      </c>
    </row>
    <row r="1650" spans="1:7" x14ac:dyDescent="0.3">
      <c r="A1650" s="5" t="str">
        <f t="shared" si="184"/>
        <v>Reebok</v>
      </c>
      <c r="B1650" s="5" t="str">
        <f t="shared" si="179"/>
        <v>Question Mid</v>
      </c>
      <c r="C1650" s="3">
        <f t="shared" si="185"/>
        <v>45767</v>
      </c>
      <c r="D1650" s="4">
        <f t="shared" ca="1" si="180"/>
        <v>125</v>
      </c>
      <c r="E1650" s="2">
        <f t="shared" ca="1" si="181"/>
        <v>10920</v>
      </c>
      <c r="F1650" s="2">
        <f t="shared" ca="1" si="182"/>
        <v>28444</v>
      </c>
      <c r="G1650" s="2">
        <f t="shared" ca="1" si="183"/>
        <v>633</v>
      </c>
    </row>
    <row r="1651" spans="1:7" x14ac:dyDescent="0.3">
      <c r="A1651" s="5" t="str">
        <f t="shared" si="184"/>
        <v>Nike</v>
      </c>
      <c r="B1651" s="5" t="str">
        <f t="shared" si="179"/>
        <v>Air Max 270</v>
      </c>
      <c r="C1651" s="3">
        <f t="shared" si="185"/>
        <v>45767</v>
      </c>
      <c r="D1651" s="4">
        <f t="shared" ca="1" si="180"/>
        <v>53</v>
      </c>
      <c r="E1651" s="2">
        <f t="shared" ca="1" si="181"/>
        <v>10842</v>
      </c>
      <c r="F1651" s="2">
        <f t="shared" ca="1" si="182"/>
        <v>26069</v>
      </c>
      <c r="G1651" s="2">
        <f t="shared" ca="1" si="183"/>
        <v>1195</v>
      </c>
    </row>
    <row r="1652" spans="1:7" x14ac:dyDescent="0.3">
      <c r="A1652" s="5" t="str">
        <f t="shared" si="184"/>
        <v>Adidas</v>
      </c>
      <c r="B1652" s="5" t="str">
        <f t="shared" si="179"/>
        <v>Stan Smith</v>
      </c>
      <c r="C1652" s="3">
        <f t="shared" si="185"/>
        <v>45768</v>
      </c>
      <c r="D1652" s="4">
        <f t="shared" ca="1" si="180"/>
        <v>168</v>
      </c>
      <c r="E1652" s="2">
        <f t="shared" ca="1" si="181"/>
        <v>5134</v>
      </c>
      <c r="F1652" s="2">
        <f t="shared" ca="1" si="182"/>
        <v>29351</v>
      </c>
      <c r="G1652" s="2">
        <f t="shared" ca="1" si="183"/>
        <v>1348</v>
      </c>
    </row>
    <row r="1653" spans="1:7" x14ac:dyDescent="0.3">
      <c r="A1653" s="5" t="str">
        <f t="shared" si="184"/>
        <v>Puma</v>
      </c>
      <c r="B1653" s="5" t="str">
        <f t="shared" si="179"/>
        <v>Cali Dream</v>
      </c>
      <c r="C1653" s="3">
        <f t="shared" si="185"/>
        <v>45768</v>
      </c>
      <c r="D1653" s="4">
        <f t="shared" ca="1" si="180"/>
        <v>139</v>
      </c>
      <c r="E1653" s="2">
        <f t="shared" ca="1" si="181"/>
        <v>11269</v>
      </c>
      <c r="F1653" s="2">
        <f t="shared" ca="1" si="182"/>
        <v>18876</v>
      </c>
      <c r="G1653" s="2">
        <f t="shared" ca="1" si="183"/>
        <v>1132</v>
      </c>
    </row>
    <row r="1654" spans="1:7" x14ac:dyDescent="0.3">
      <c r="A1654" s="5" t="str">
        <f t="shared" si="184"/>
        <v>New Balance</v>
      </c>
      <c r="B1654" s="5" t="str">
        <f t="shared" si="179"/>
        <v>9060</v>
      </c>
      <c r="C1654" s="3">
        <f t="shared" si="185"/>
        <v>45768</v>
      </c>
      <c r="D1654" s="4">
        <f t="shared" ca="1" si="180"/>
        <v>69</v>
      </c>
      <c r="E1654" s="2">
        <f t="shared" ca="1" si="181"/>
        <v>6975</v>
      </c>
      <c r="F1654" s="2">
        <f t="shared" ca="1" si="182"/>
        <v>30006</v>
      </c>
      <c r="G1654" s="2">
        <f t="shared" ca="1" si="183"/>
        <v>1619</v>
      </c>
    </row>
    <row r="1655" spans="1:7" x14ac:dyDescent="0.3">
      <c r="A1655" s="5" t="str">
        <f t="shared" si="184"/>
        <v>Reebok</v>
      </c>
      <c r="B1655" s="5" t="str">
        <f t="shared" si="179"/>
        <v>Zig Kinetica</v>
      </c>
      <c r="C1655" s="3">
        <f t="shared" si="185"/>
        <v>45768</v>
      </c>
      <c r="D1655" s="4">
        <f t="shared" ca="1" si="180"/>
        <v>163</v>
      </c>
      <c r="E1655" s="2">
        <f t="shared" ca="1" si="181"/>
        <v>6135</v>
      </c>
      <c r="F1655" s="2">
        <f t="shared" ca="1" si="182"/>
        <v>32339</v>
      </c>
      <c r="G1655" s="2">
        <f t="shared" ca="1" si="183"/>
        <v>2379</v>
      </c>
    </row>
    <row r="1656" spans="1:7" x14ac:dyDescent="0.3">
      <c r="A1656" s="5" t="str">
        <f t="shared" si="184"/>
        <v>Nike</v>
      </c>
      <c r="B1656" s="5" t="str">
        <f t="shared" si="179"/>
        <v>Jordan 1</v>
      </c>
      <c r="C1656" s="3">
        <f t="shared" si="185"/>
        <v>45768</v>
      </c>
      <c r="D1656" s="4">
        <f t="shared" ca="1" si="180"/>
        <v>116</v>
      </c>
      <c r="E1656" s="2">
        <f t="shared" ca="1" si="181"/>
        <v>4839</v>
      </c>
      <c r="F1656" s="2">
        <f t="shared" ca="1" si="182"/>
        <v>30786</v>
      </c>
      <c r="G1656" s="2">
        <f t="shared" ca="1" si="183"/>
        <v>1602</v>
      </c>
    </row>
    <row r="1657" spans="1:7" x14ac:dyDescent="0.3">
      <c r="A1657" s="5" t="str">
        <f t="shared" si="184"/>
        <v>Adidas</v>
      </c>
      <c r="B1657" s="5" t="str">
        <f t="shared" si="179"/>
        <v>Ultraboost 23</v>
      </c>
      <c r="C1657" s="3">
        <f t="shared" si="185"/>
        <v>45768</v>
      </c>
      <c r="D1657" s="4">
        <f t="shared" ca="1" si="180"/>
        <v>208</v>
      </c>
      <c r="E1657" s="2">
        <f t="shared" ca="1" si="181"/>
        <v>4994</v>
      </c>
      <c r="F1657" s="2">
        <f t="shared" ca="1" si="182"/>
        <v>13480</v>
      </c>
      <c r="G1657" s="2">
        <f t="shared" ca="1" si="183"/>
        <v>836</v>
      </c>
    </row>
    <row r="1658" spans="1:7" x14ac:dyDescent="0.3">
      <c r="A1658" s="5" t="str">
        <f t="shared" si="184"/>
        <v>Puma</v>
      </c>
      <c r="B1658" s="5" t="str">
        <f t="shared" si="179"/>
        <v>RS-X</v>
      </c>
      <c r="C1658" s="3">
        <f t="shared" si="185"/>
        <v>45768</v>
      </c>
      <c r="D1658" s="4">
        <f t="shared" ca="1" si="180"/>
        <v>236</v>
      </c>
      <c r="E1658" s="2">
        <f t="shared" ca="1" si="181"/>
        <v>9932</v>
      </c>
      <c r="F1658" s="2">
        <f t="shared" ca="1" si="182"/>
        <v>16209</v>
      </c>
      <c r="G1658" s="2">
        <f t="shared" ca="1" si="183"/>
        <v>513</v>
      </c>
    </row>
    <row r="1659" spans="1:7" x14ac:dyDescent="0.3">
      <c r="A1659" s="5" t="str">
        <f t="shared" si="184"/>
        <v>New Balance</v>
      </c>
      <c r="B1659" s="5" t="str">
        <f t="shared" si="179"/>
        <v>2002R</v>
      </c>
      <c r="C1659" s="3">
        <f t="shared" si="185"/>
        <v>45768</v>
      </c>
      <c r="D1659" s="4">
        <f t="shared" ca="1" si="180"/>
        <v>139</v>
      </c>
      <c r="E1659" s="2">
        <f t="shared" ca="1" si="181"/>
        <v>3103</v>
      </c>
      <c r="F1659" s="2">
        <f t="shared" ca="1" si="182"/>
        <v>17909</v>
      </c>
      <c r="G1659" s="2">
        <f t="shared" ca="1" si="183"/>
        <v>1296</v>
      </c>
    </row>
    <row r="1660" spans="1:7" x14ac:dyDescent="0.3">
      <c r="A1660" s="5" t="str">
        <f t="shared" si="184"/>
        <v>Reebok</v>
      </c>
      <c r="B1660" s="5" t="str">
        <f t="shared" si="179"/>
        <v>Instapump Fury</v>
      </c>
      <c r="C1660" s="3">
        <f t="shared" si="185"/>
        <v>45768</v>
      </c>
      <c r="D1660" s="4">
        <f t="shared" ca="1" si="180"/>
        <v>227</v>
      </c>
      <c r="E1660" s="2">
        <f t="shared" ca="1" si="181"/>
        <v>7844</v>
      </c>
      <c r="F1660" s="2">
        <f t="shared" ca="1" si="182"/>
        <v>19035</v>
      </c>
      <c r="G1660" s="2">
        <f t="shared" ca="1" si="183"/>
        <v>459</v>
      </c>
    </row>
    <row r="1661" spans="1:7" x14ac:dyDescent="0.3">
      <c r="A1661" s="5" t="str">
        <f t="shared" si="184"/>
        <v>Nike</v>
      </c>
      <c r="B1661" s="5" t="str">
        <f t="shared" si="179"/>
        <v>Cortez</v>
      </c>
      <c r="C1661" s="3">
        <f t="shared" si="185"/>
        <v>45768</v>
      </c>
      <c r="D1661" s="4">
        <f t="shared" ca="1" si="180"/>
        <v>109</v>
      </c>
      <c r="E1661" s="2">
        <f t="shared" ca="1" si="181"/>
        <v>11289</v>
      </c>
      <c r="F1661" s="2">
        <f t="shared" ca="1" si="182"/>
        <v>30455</v>
      </c>
      <c r="G1661" s="2">
        <f t="shared" ca="1" si="183"/>
        <v>864</v>
      </c>
    </row>
    <row r="1662" spans="1:7" x14ac:dyDescent="0.3">
      <c r="A1662" s="5" t="str">
        <f t="shared" si="184"/>
        <v>Adidas</v>
      </c>
      <c r="B1662" s="5" t="str">
        <f t="shared" si="179"/>
        <v>NMD S1</v>
      </c>
      <c r="C1662" s="3">
        <f t="shared" si="185"/>
        <v>45768</v>
      </c>
      <c r="D1662" s="4">
        <f t="shared" ca="1" si="180"/>
        <v>121</v>
      </c>
      <c r="E1662" s="2">
        <f t="shared" ca="1" si="181"/>
        <v>6542</v>
      </c>
      <c r="F1662" s="2">
        <f t="shared" ca="1" si="182"/>
        <v>32710</v>
      </c>
      <c r="G1662" s="2">
        <f t="shared" ca="1" si="183"/>
        <v>1195</v>
      </c>
    </row>
    <row r="1663" spans="1:7" x14ac:dyDescent="0.3">
      <c r="A1663" s="5" t="str">
        <f t="shared" si="184"/>
        <v>Puma</v>
      </c>
      <c r="B1663" s="5" t="str">
        <f t="shared" si="179"/>
        <v>Suede Classic</v>
      </c>
      <c r="C1663" s="3">
        <f t="shared" si="185"/>
        <v>45768</v>
      </c>
      <c r="D1663" s="4">
        <f t="shared" ca="1" si="180"/>
        <v>135</v>
      </c>
      <c r="E1663" s="2">
        <f t="shared" ca="1" si="181"/>
        <v>2638</v>
      </c>
      <c r="F1663" s="2">
        <f t="shared" ca="1" si="182"/>
        <v>34425</v>
      </c>
      <c r="G1663" s="2">
        <f t="shared" ca="1" si="183"/>
        <v>790</v>
      </c>
    </row>
    <row r="1664" spans="1:7" x14ac:dyDescent="0.3">
      <c r="A1664" s="5" t="str">
        <f t="shared" si="184"/>
        <v>New Balance</v>
      </c>
      <c r="B1664" s="5" t="str">
        <f t="shared" si="179"/>
        <v>990v6</v>
      </c>
      <c r="C1664" s="3">
        <f t="shared" si="185"/>
        <v>45768</v>
      </c>
      <c r="D1664" s="4">
        <f t="shared" ca="1" si="180"/>
        <v>56</v>
      </c>
      <c r="E1664" s="2">
        <f t="shared" ca="1" si="181"/>
        <v>2319</v>
      </c>
      <c r="F1664" s="2">
        <f t="shared" ca="1" si="182"/>
        <v>29828</v>
      </c>
      <c r="G1664" s="2">
        <f t="shared" ca="1" si="183"/>
        <v>2063</v>
      </c>
    </row>
    <row r="1665" spans="1:7" x14ac:dyDescent="0.3">
      <c r="A1665" s="5" t="str">
        <f t="shared" si="184"/>
        <v>Reebok</v>
      </c>
      <c r="B1665" s="5" t="str">
        <f t="shared" si="179"/>
        <v>Nano X3</v>
      </c>
      <c r="C1665" s="3">
        <f t="shared" si="185"/>
        <v>45768</v>
      </c>
      <c r="D1665" s="4">
        <f t="shared" ca="1" si="180"/>
        <v>171</v>
      </c>
      <c r="E1665" s="2">
        <f t="shared" ca="1" si="181"/>
        <v>1817</v>
      </c>
      <c r="F1665" s="2">
        <f t="shared" ca="1" si="182"/>
        <v>31660</v>
      </c>
      <c r="G1665" s="2">
        <f t="shared" ca="1" si="183"/>
        <v>2373</v>
      </c>
    </row>
    <row r="1666" spans="1:7" x14ac:dyDescent="0.3">
      <c r="A1666" s="5" t="str">
        <f t="shared" si="184"/>
        <v>Nike</v>
      </c>
      <c r="B1666" s="5" t="str">
        <f t="shared" si="179"/>
        <v>Vaporfly 3</v>
      </c>
      <c r="C1666" s="3">
        <f t="shared" si="185"/>
        <v>45768</v>
      </c>
      <c r="D1666" s="4">
        <f t="shared" ca="1" si="180"/>
        <v>191</v>
      </c>
      <c r="E1666" s="2">
        <f t="shared" ca="1" si="181"/>
        <v>11119</v>
      </c>
      <c r="F1666" s="2">
        <f t="shared" ca="1" si="182"/>
        <v>34763</v>
      </c>
      <c r="G1666" s="2">
        <f t="shared" ca="1" si="183"/>
        <v>954</v>
      </c>
    </row>
    <row r="1667" spans="1:7" x14ac:dyDescent="0.3">
      <c r="A1667" s="5" t="str">
        <f t="shared" si="184"/>
        <v>Adidas</v>
      </c>
      <c r="B1667" s="5" t="str">
        <f t="shared" ref="B1667:B1730" si="186">IF(A1667="Nike",CHOOSE(MOD(ROW(A1666),6)+1,"Air Max 270","Air Force 1","Pegasus 40","Vaporfly 3","Cortez","Jordan 1"),
 IF(A1667="Adidas",CHOOSE(MOD(ROW(A1666),6)+1,"Ultraboost 23","Stan Smith","Superstar","Gazelle","Samba","NMD S1"),
 IF(A1667="Puma",CHOOSE(MOD(ROW(A1666),6)+1,"Suede Classic","RS-X","Cali Dream","Rider Vintage","Slipstream","Mayze"),
 IF(A1667="New Balance",CHOOSE(MOD(ROW(A1666),6)+1,"574 Core","990v6","2002R","9060","327","550"),
 IF(A1667="Reebok",CHOOSE(MOD(ROW(A1666),6)+1,"Classic Leather","Club C 85","Nano X3","Instapump Fury","Zig Kinetica","Question Mid"),"")))))</f>
        <v>Samba</v>
      </c>
      <c r="C1667" s="3">
        <f t="shared" si="185"/>
        <v>45769</v>
      </c>
      <c r="D1667" s="4">
        <f t="shared" ref="D1667:D1730" ca="1" si="187">RANDBETWEEN(20,250)</f>
        <v>199</v>
      </c>
      <c r="E1667" s="2">
        <f t="shared" ref="E1667:E1730" ca="1" si="188">ROUND(RANDBETWEEN(1500,12000)+(RANDBETWEEN(-200,200)),2)</f>
        <v>5963</v>
      </c>
      <c r="F1667" s="2">
        <f t="shared" ref="F1667:F1730" ca="1" si="189">RANDBETWEEN(5000,35000)</f>
        <v>29267</v>
      </c>
      <c r="G1667" s="2">
        <f t="shared" ref="G1667:G1730" ca="1" si="190">RANDBETWEEN(ROUND(F1667*0.02,0),ROUND(F1667*0.08,0))</f>
        <v>1045</v>
      </c>
    </row>
    <row r="1668" spans="1:7" x14ac:dyDescent="0.3">
      <c r="A1668" s="5" t="str">
        <f t="shared" si="184"/>
        <v>Puma</v>
      </c>
      <c r="B1668" s="5" t="str">
        <f t="shared" si="186"/>
        <v>Mayze</v>
      </c>
      <c r="C1668" s="3">
        <f t="shared" si="185"/>
        <v>45769</v>
      </c>
      <c r="D1668" s="4">
        <f t="shared" ca="1" si="187"/>
        <v>147</v>
      </c>
      <c r="E1668" s="2">
        <f t="shared" ca="1" si="188"/>
        <v>5709</v>
      </c>
      <c r="F1668" s="2">
        <f t="shared" ca="1" si="189"/>
        <v>21870</v>
      </c>
      <c r="G1668" s="2">
        <f t="shared" ca="1" si="190"/>
        <v>783</v>
      </c>
    </row>
    <row r="1669" spans="1:7" x14ac:dyDescent="0.3">
      <c r="A1669" s="5" t="str">
        <f t="shared" si="184"/>
        <v>New Balance</v>
      </c>
      <c r="B1669" s="5" t="str">
        <f t="shared" si="186"/>
        <v>574 Core</v>
      </c>
      <c r="C1669" s="3">
        <f t="shared" si="185"/>
        <v>45769</v>
      </c>
      <c r="D1669" s="4">
        <f t="shared" ca="1" si="187"/>
        <v>103</v>
      </c>
      <c r="E1669" s="2">
        <f t="shared" ca="1" si="188"/>
        <v>8074</v>
      </c>
      <c r="F1669" s="2">
        <f t="shared" ca="1" si="189"/>
        <v>23939</v>
      </c>
      <c r="G1669" s="2">
        <f t="shared" ca="1" si="190"/>
        <v>889</v>
      </c>
    </row>
    <row r="1670" spans="1:7" x14ac:dyDescent="0.3">
      <c r="A1670" s="5" t="str">
        <f t="shared" si="184"/>
        <v>Reebok</v>
      </c>
      <c r="B1670" s="5" t="str">
        <f t="shared" si="186"/>
        <v>Club C 85</v>
      </c>
      <c r="C1670" s="3">
        <f t="shared" si="185"/>
        <v>45769</v>
      </c>
      <c r="D1670" s="4">
        <f t="shared" ca="1" si="187"/>
        <v>199</v>
      </c>
      <c r="E1670" s="2">
        <f t="shared" ca="1" si="188"/>
        <v>1852</v>
      </c>
      <c r="F1670" s="2">
        <f t="shared" ca="1" si="189"/>
        <v>17868</v>
      </c>
      <c r="G1670" s="2">
        <f t="shared" ca="1" si="190"/>
        <v>760</v>
      </c>
    </row>
    <row r="1671" spans="1:7" x14ac:dyDescent="0.3">
      <c r="A1671" s="5" t="str">
        <f t="shared" si="184"/>
        <v>Nike</v>
      </c>
      <c r="B1671" s="5" t="str">
        <f t="shared" si="186"/>
        <v>Pegasus 40</v>
      </c>
      <c r="C1671" s="3">
        <f t="shared" si="185"/>
        <v>45769</v>
      </c>
      <c r="D1671" s="4">
        <f t="shared" ca="1" si="187"/>
        <v>66</v>
      </c>
      <c r="E1671" s="2">
        <f t="shared" ca="1" si="188"/>
        <v>11580</v>
      </c>
      <c r="F1671" s="2">
        <f t="shared" ca="1" si="189"/>
        <v>32154</v>
      </c>
      <c r="G1671" s="2">
        <f t="shared" ca="1" si="190"/>
        <v>1071</v>
      </c>
    </row>
    <row r="1672" spans="1:7" x14ac:dyDescent="0.3">
      <c r="A1672" s="5" t="str">
        <f t="shared" si="184"/>
        <v>Adidas</v>
      </c>
      <c r="B1672" s="5" t="str">
        <f t="shared" si="186"/>
        <v>Gazelle</v>
      </c>
      <c r="C1672" s="3">
        <f t="shared" si="185"/>
        <v>45769</v>
      </c>
      <c r="D1672" s="4">
        <f t="shared" ca="1" si="187"/>
        <v>182</v>
      </c>
      <c r="E1672" s="2">
        <f t="shared" ca="1" si="188"/>
        <v>2990</v>
      </c>
      <c r="F1672" s="2">
        <f t="shared" ca="1" si="189"/>
        <v>25063</v>
      </c>
      <c r="G1672" s="2">
        <f t="shared" ca="1" si="190"/>
        <v>1794</v>
      </c>
    </row>
    <row r="1673" spans="1:7" x14ac:dyDescent="0.3">
      <c r="A1673" s="5" t="str">
        <f t="shared" si="184"/>
        <v>Puma</v>
      </c>
      <c r="B1673" s="5" t="str">
        <f t="shared" si="186"/>
        <v>Slipstream</v>
      </c>
      <c r="C1673" s="3">
        <f t="shared" si="185"/>
        <v>45769</v>
      </c>
      <c r="D1673" s="4">
        <f t="shared" ca="1" si="187"/>
        <v>20</v>
      </c>
      <c r="E1673" s="2">
        <f t="shared" ca="1" si="188"/>
        <v>10431</v>
      </c>
      <c r="F1673" s="2">
        <f t="shared" ca="1" si="189"/>
        <v>15732</v>
      </c>
      <c r="G1673" s="2">
        <f t="shared" ca="1" si="190"/>
        <v>507</v>
      </c>
    </row>
    <row r="1674" spans="1:7" x14ac:dyDescent="0.3">
      <c r="A1674" s="5" t="str">
        <f t="shared" si="184"/>
        <v>New Balance</v>
      </c>
      <c r="B1674" s="5" t="str">
        <f t="shared" si="186"/>
        <v>550</v>
      </c>
      <c r="C1674" s="3">
        <f t="shared" si="185"/>
        <v>45769</v>
      </c>
      <c r="D1674" s="4">
        <f t="shared" ca="1" si="187"/>
        <v>22</v>
      </c>
      <c r="E1674" s="2">
        <f t="shared" ca="1" si="188"/>
        <v>6981</v>
      </c>
      <c r="F1674" s="2">
        <f t="shared" ca="1" si="189"/>
        <v>16141</v>
      </c>
      <c r="G1674" s="2">
        <f t="shared" ca="1" si="190"/>
        <v>1104</v>
      </c>
    </row>
    <row r="1675" spans="1:7" x14ac:dyDescent="0.3">
      <c r="A1675" s="5" t="str">
        <f t="shared" si="184"/>
        <v>Reebok</v>
      </c>
      <c r="B1675" s="5" t="str">
        <f t="shared" si="186"/>
        <v>Classic Leather</v>
      </c>
      <c r="C1675" s="3">
        <f t="shared" si="185"/>
        <v>45769</v>
      </c>
      <c r="D1675" s="4">
        <f t="shared" ca="1" si="187"/>
        <v>204</v>
      </c>
      <c r="E1675" s="2">
        <f t="shared" ca="1" si="188"/>
        <v>7930</v>
      </c>
      <c r="F1675" s="2">
        <f t="shared" ca="1" si="189"/>
        <v>33472</v>
      </c>
      <c r="G1675" s="2">
        <f t="shared" ca="1" si="190"/>
        <v>1902</v>
      </c>
    </row>
    <row r="1676" spans="1:7" x14ac:dyDescent="0.3">
      <c r="A1676" s="5" t="str">
        <f t="shared" si="184"/>
        <v>Nike</v>
      </c>
      <c r="B1676" s="5" t="str">
        <f t="shared" si="186"/>
        <v>Air Force 1</v>
      </c>
      <c r="C1676" s="3">
        <f t="shared" si="185"/>
        <v>45769</v>
      </c>
      <c r="D1676" s="4">
        <f t="shared" ca="1" si="187"/>
        <v>78</v>
      </c>
      <c r="E1676" s="2">
        <f t="shared" ca="1" si="188"/>
        <v>11866</v>
      </c>
      <c r="F1676" s="2">
        <f t="shared" ca="1" si="189"/>
        <v>21254</v>
      </c>
      <c r="G1676" s="2">
        <f t="shared" ca="1" si="190"/>
        <v>531</v>
      </c>
    </row>
    <row r="1677" spans="1:7" x14ac:dyDescent="0.3">
      <c r="A1677" s="5" t="str">
        <f t="shared" si="184"/>
        <v>Adidas</v>
      </c>
      <c r="B1677" s="5" t="str">
        <f t="shared" si="186"/>
        <v>Superstar</v>
      </c>
      <c r="C1677" s="3">
        <f t="shared" si="185"/>
        <v>45769</v>
      </c>
      <c r="D1677" s="4">
        <f t="shared" ca="1" si="187"/>
        <v>69</v>
      </c>
      <c r="E1677" s="2">
        <f t="shared" ca="1" si="188"/>
        <v>3354</v>
      </c>
      <c r="F1677" s="2">
        <f t="shared" ca="1" si="189"/>
        <v>13795</v>
      </c>
      <c r="G1677" s="2">
        <f t="shared" ca="1" si="190"/>
        <v>606</v>
      </c>
    </row>
    <row r="1678" spans="1:7" x14ac:dyDescent="0.3">
      <c r="A1678" s="5" t="str">
        <f t="shared" si="184"/>
        <v>Puma</v>
      </c>
      <c r="B1678" s="5" t="str">
        <f t="shared" si="186"/>
        <v>Rider Vintage</v>
      </c>
      <c r="C1678" s="3">
        <f t="shared" si="185"/>
        <v>45769</v>
      </c>
      <c r="D1678" s="4">
        <f t="shared" ca="1" si="187"/>
        <v>52</v>
      </c>
      <c r="E1678" s="2">
        <f t="shared" ca="1" si="188"/>
        <v>2162</v>
      </c>
      <c r="F1678" s="2">
        <f t="shared" ca="1" si="189"/>
        <v>8766</v>
      </c>
      <c r="G1678" s="2">
        <f t="shared" ca="1" si="190"/>
        <v>384</v>
      </c>
    </row>
    <row r="1679" spans="1:7" x14ac:dyDescent="0.3">
      <c r="A1679" s="5" t="str">
        <f t="shared" si="184"/>
        <v>New Balance</v>
      </c>
      <c r="B1679" s="5" t="str">
        <f t="shared" si="186"/>
        <v>327</v>
      </c>
      <c r="C1679" s="3">
        <f t="shared" si="185"/>
        <v>45769</v>
      </c>
      <c r="D1679" s="4">
        <f t="shared" ca="1" si="187"/>
        <v>197</v>
      </c>
      <c r="E1679" s="2">
        <f t="shared" ca="1" si="188"/>
        <v>1836</v>
      </c>
      <c r="F1679" s="2">
        <f t="shared" ca="1" si="189"/>
        <v>21521</v>
      </c>
      <c r="G1679" s="2">
        <f t="shared" ca="1" si="190"/>
        <v>721</v>
      </c>
    </row>
    <row r="1680" spans="1:7" x14ac:dyDescent="0.3">
      <c r="A1680" s="5" t="str">
        <f t="shared" si="184"/>
        <v>Reebok</v>
      </c>
      <c r="B1680" s="5" t="str">
        <f t="shared" si="186"/>
        <v>Question Mid</v>
      </c>
      <c r="C1680" s="3">
        <f t="shared" si="185"/>
        <v>45769</v>
      </c>
      <c r="D1680" s="4">
        <f t="shared" ca="1" si="187"/>
        <v>129</v>
      </c>
      <c r="E1680" s="2">
        <f t="shared" ca="1" si="188"/>
        <v>1804</v>
      </c>
      <c r="F1680" s="2">
        <f t="shared" ca="1" si="189"/>
        <v>10215</v>
      </c>
      <c r="G1680" s="2">
        <f t="shared" ca="1" si="190"/>
        <v>385</v>
      </c>
    </row>
    <row r="1681" spans="1:7" x14ac:dyDescent="0.3">
      <c r="A1681" s="5" t="str">
        <f t="shared" si="184"/>
        <v>Nike</v>
      </c>
      <c r="B1681" s="5" t="str">
        <f t="shared" si="186"/>
        <v>Air Max 270</v>
      </c>
      <c r="C1681" s="3">
        <f t="shared" si="185"/>
        <v>45769</v>
      </c>
      <c r="D1681" s="4">
        <f t="shared" ca="1" si="187"/>
        <v>232</v>
      </c>
      <c r="E1681" s="2">
        <f t="shared" ca="1" si="188"/>
        <v>6029</v>
      </c>
      <c r="F1681" s="2">
        <f t="shared" ca="1" si="189"/>
        <v>18717</v>
      </c>
      <c r="G1681" s="2">
        <f t="shared" ca="1" si="190"/>
        <v>681</v>
      </c>
    </row>
    <row r="1682" spans="1:7" x14ac:dyDescent="0.3">
      <c r="A1682" s="5" t="str">
        <f t="shared" si="184"/>
        <v>Adidas</v>
      </c>
      <c r="B1682" s="5" t="str">
        <f t="shared" si="186"/>
        <v>Stan Smith</v>
      </c>
      <c r="C1682" s="3">
        <f t="shared" si="185"/>
        <v>45770</v>
      </c>
      <c r="D1682" s="4">
        <f t="shared" ca="1" si="187"/>
        <v>233</v>
      </c>
      <c r="E1682" s="2">
        <f t="shared" ca="1" si="188"/>
        <v>6355</v>
      </c>
      <c r="F1682" s="2">
        <f t="shared" ca="1" si="189"/>
        <v>9015</v>
      </c>
      <c r="G1682" s="2">
        <f t="shared" ca="1" si="190"/>
        <v>639</v>
      </c>
    </row>
    <row r="1683" spans="1:7" x14ac:dyDescent="0.3">
      <c r="A1683" s="5" t="str">
        <f t="shared" si="184"/>
        <v>Puma</v>
      </c>
      <c r="B1683" s="5" t="str">
        <f t="shared" si="186"/>
        <v>Cali Dream</v>
      </c>
      <c r="C1683" s="3">
        <f t="shared" si="185"/>
        <v>45770</v>
      </c>
      <c r="D1683" s="4">
        <f t="shared" ca="1" si="187"/>
        <v>137</v>
      </c>
      <c r="E1683" s="2">
        <f t="shared" ca="1" si="188"/>
        <v>8851</v>
      </c>
      <c r="F1683" s="2">
        <f t="shared" ca="1" si="189"/>
        <v>15261</v>
      </c>
      <c r="G1683" s="2">
        <f t="shared" ca="1" si="190"/>
        <v>919</v>
      </c>
    </row>
    <row r="1684" spans="1:7" x14ac:dyDescent="0.3">
      <c r="A1684" s="5" t="str">
        <f t="shared" si="184"/>
        <v>New Balance</v>
      </c>
      <c r="B1684" s="5" t="str">
        <f t="shared" si="186"/>
        <v>9060</v>
      </c>
      <c r="C1684" s="3">
        <f t="shared" si="185"/>
        <v>45770</v>
      </c>
      <c r="D1684" s="4">
        <f t="shared" ca="1" si="187"/>
        <v>150</v>
      </c>
      <c r="E1684" s="2">
        <f t="shared" ca="1" si="188"/>
        <v>8452</v>
      </c>
      <c r="F1684" s="2">
        <f t="shared" ca="1" si="189"/>
        <v>25217</v>
      </c>
      <c r="G1684" s="2">
        <f t="shared" ca="1" si="190"/>
        <v>1950</v>
      </c>
    </row>
    <row r="1685" spans="1:7" x14ac:dyDescent="0.3">
      <c r="A1685" s="5" t="str">
        <f t="shared" si="184"/>
        <v>Reebok</v>
      </c>
      <c r="B1685" s="5" t="str">
        <f t="shared" si="186"/>
        <v>Zig Kinetica</v>
      </c>
      <c r="C1685" s="3">
        <f t="shared" si="185"/>
        <v>45770</v>
      </c>
      <c r="D1685" s="4">
        <f t="shared" ca="1" si="187"/>
        <v>112</v>
      </c>
      <c r="E1685" s="2">
        <f t="shared" ca="1" si="188"/>
        <v>4647</v>
      </c>
      <c r="F1685" s="2">
        <f t="shared" ca="1" si="189"/>
        <v>32975</v>
      </c>
      <c r="G1685" s="2">
        <f t="shared" ca="1" si="190"/>
        <v>1079</v>
      </c>
    </row>
    <row r="1686" spans="1:7" x14ac:dyDescent="0.3">
      <c r="A1686" s="5" t="str">
        <f t="shared" si="184"/>
        <v>Nike</v>
      </c>
      <c r="B1686" s="5" t="str">
        <f t="shared" si="186"/>
        <v>Jordan 1</v>
      </c>
      <c r="C1686" s="3">
        <f t="shared" si="185"/>
        <v>45770</v>
      </c>
      <c r="D1686" s="4">
        <f t="shared" ca="1" si="187"/>
        <v>51</v>
      </c>
      <c r="E1686" s="2">
        <f t="shared" ca="1" si="188"/>
        <v>10407</v>
      </c>
      <c r="F1686" s="2">
        <f t="shared" ca="1" si="189"/>
        <v>25850</v>
      </c>
      <c r="G1686" s="2">
        <f t="shared" ca="1" si="190"/>
        <v>954</v>
      </c>
    </row>
    <row r="1687" spans="1:7" x14ac:dyDescent="0.3">
      <c r="A1687" s="5" t="str">
        <f t="shared" si="184"/>
        <v>Adidas</v>
      </c>
      <c r="B1687" s="5" t="str">
        <f t="shared" si="186"/>
        <v>Ultraboost 23</v>
      </c>
      <c r="C1687" s="3">
        <f t="shared" si="185"/>
        <v>45770</v>
      </c>
      <c r="D1687" s="4">
        <f t="shared" ca="1" si="187"/>
        <v>108</v>
      </c>
      <c r="E1687" s="2">
        <f t="shared" ca="1" si="188"/>
        <v>9531</v>
      </c>
      <c r="F1687" s="2">
        <f t="shared" ca="1" si="189"/>
        <v>13005</v>
      </c>
      <c r="G1687" s="2">
        <f t="shared" ca="1" si="190"/>
        <v>526</v>
      </c>
    </row>
    <row r="1688" spans="1:7" x14ac:dyDescent="0.3">
      <c r="A1688" s="5" t="str">
        <f t="shared" si="184"/>
        <v>Puma</v>
      </c>
      <c r="B1688" s="5" t="str">
        <f t="shared" si="186"/>
        <v>RS-X</v>
      </c>
      <c r="C1688" s="3">
        <f t="shared" si="185"/>
        <v>45770</v>
      </c>
      <c r="D1688" s="4">
        <f t="shared" ca="1" si="187"/>
        <v>209</v>
      </c>
      <c r="E1688" s="2">
        <f t="shared" ca="1" si="188"/>
        <v>6666</v>
      </c>
      <c r="F1688" s="2">
        <f t="shared" ca="1" si="189"/>
        <v>29589</v>
      </c>
      <c r="G1688" s="2">
        <f t="shared" ca="1" si="190"/>
        <v>759</v>
      </c>
    </row>
    <row r="1689" spans="1:7" x14ac:dyDescent="0.3">
      <c r="A1689" s="5" t="str">
        <f t="shared" si="184"/>
        <v>New Balance</v>
      </c>
      <c r="B1689" s="5" t="str">
        <f t="shared" si="186"/>
        <v>2002R</v>
      </c>
      <c r="C1689" s="3">
        <f t="shared" si="185"/>
        <v>45770</v>
      </c>
      <c r="D1689" s="4">
        <f t="shared" ca="1" si="187"/>
        <v>99</v>
      </c>
      <c r="E1689" s="2">
        <f t="shared" ca="1" si="188"/>
        <v>3131</v>
      </c>
      <c r="F1689" s="2">
        <f t="shared" ca="1" si="189"/>
        <v>12867</v>
      </c>
      <c r="G1689" s="2">
        <f t="shared" ca="1" si="190"/>
        <v>918</v>
      </c>
    </row>
    <row r="1690" spans="1:7" x14ac:dyDescent="0.3">
      <c r="A1690" s="5" t="str">
        <f t="shared" si="184"/>
        <v>Reebok</v>
      </c>
      <c r="B1690" s="5" t="str">
        <f t="shared" si="186"/>
        <v>Instapump Fury</v>
      </c>
      <c r="C1690" s="3">
        <f t="shared" si="185"/>
        <v>45770</v>
      </c>
      <c r="D1690" s="4">
        <f t="shared" ca="1" si="187"/>
        <v>153</v>
      </c>
      <c r="E1690" s="2">
        <f t="shared" ca="1" si="188"/>
        <v>5864</v>
      </c>
      <c r="F1690" s="2">
        <f t="shared" ca="1" si="189"/>
        <v>29896</v>
      </c>
      <c r="G1690" s="2">
        <f t="shared" ca="1" si="190"/>
        <v>1573</v>
      </c>
    </row>
    <row r="1691" spans="1:7" x14ac:dyDescent="0.3">
      <c r="A1691" s="5" t="str">
        <f t="shared" si="184"/>
        <v>Nike</v>
      </c>
      <c r="B1691" s="5" t="str">
        <f t="shared" si="186"/>
        <v>Cortez</v>
      </c>
      <c r="C1691" s="3">
        <f t="shared" si="185"/>
        <v>45770</v>
      </c>
      <c r="D1691" s="4">
        <f t="shared" ca="1" si="187"/>
        <v>234</v>
      </c>
      <c r="E1691" s="2">
        <f t="shared" ca="1" si="188"/>
        <v>8279</v>
      </c>
      <c r="F1691" s="2">
        <f t="shared" ca="1" si="189"/>
        <v>25081</v>
      </c>
      <c r="G1691" s="2">
        <f t="shared" ca="1" si="190"/>
        <v>1341</v>
      </c>
    </row>
    <row r="1692" spans="1:7" x14ac:dyDescent="0.3">
      <c r="A1692" s="5" t="str">
        <f t="shared" si="184"/>
        <v>Adidas</v>
      </c>
      <c r="B1692" s="5" t="str">
        <f t="shared" si="186"/>
        <v>NMD S1</v>
      </c>
      <c r="C1692" s="3">
        <f t="shared" si="185"/>
        <v>45770</v>
      </c>
      <c r="D1692" s="4">
        <f t="shared" ca="1" si="187"/>
        <v>232</v>
      </c>
      <c r="E1692" s="2">
        <f t="shared" ca="1" si="188"/>
        <v>1805</v>
      </c>
      <c r="F1692" s="2">
        <f t="shared" ca="1" si="189"/>
        <v>11848</v>
      </c>
      <c r="G1692" s="2">
        <f t="shared" ca="1" si="190"/>
        <v>262</v>
      </c>
    </row>
    <row r="1693" spans="1:7" x14ac:dyDescent="0.3">
      <c r="A1693" s="5" t="str">
        <f t="shared" si="184"/>
        <v>Puma</v>
      </c>
      <c r="B1693" s="5" t="str">
        <f t="shared" si="186"/>
        <v>Suede Classic</v>
      </c>
      <c r="C1693" s="3">
        <f t="shared" si="185"/>
        <v>45770</v>
      </c>
      <c r="D1693" s="4">
        <f t="shared" ca="1" si="187"/>
        <v>176</v>
      </c>
      <c r="E1693" s="2">
        <f t="shared" ca="1" si="188"/>
        <v>3535</v>
      </c>
      <c r="F1693" s="2">
        <f t="shared" ca="1" si="189"/>
        <v>20084</v>
      </c>
      <c r="G1693" s="2">
        <f t="shared" ca="1" si="190"/>
        <v>838</v>
      </c>
    </row>
    <row r="1694" spans="1:7" x14ac:dyDescent="0.3">
      <c r="A1694" s="5" t="str">
        <f t="shared" si="184"/>
        <v>New Balance</v>
      </c>
      <c r="B1694" s="5" t="str">
        <f t="shared" si="186"/>
        <v>990v6</v>
      </c>
      <c r="C1694" s="3">
        <f t="shared" si="185"/>
        <v>45770</v>
      </c>
      <c r="D1694" s="4">
        <f t="shared" ca="1" si="187"/>
        <v>83</v>
      </c>
      <c r="E1694" s="2">
        <f t="shared" ca="1" si="188"/>
        <v>3544</v>
      </c>
      <c r="F1694" s="2">
        <f t="shared" ca="1" si="189"/>
        <v>18064</v>
      </c>
      <c r="G1694" s="2">
        <f t="shared" ca="1" si="190"/>
        <v>1048</v>
      </c>
    </row>
    <row r="1695" spans="1:7" x14ac:dyDescent="0.3">
      <c r="A1695" s="5" t="str">
        <f t="shared" si="184"/>
        <v>Reebok</v>
      </c>
      <c r="B1695" s="5" t="str">
        <f t="shared" si="186"/>
        <v>Nano X3</v>
      </c>
      <c r="C1695" s="3">
        <f t="shared" si="185"/>
        <v>45770</v>
      </c>
      <c r="D1695" s="4">
        <f t="shared" ca="1" si="187"/>
        <v>89</v>
      </c>
      <c r="E1695" s="2">
        <f t="shared" ca="1" si="188"/>
        <v>7958</v>
      </c>
      <c r="F1695" s="2">
        <f t="shared" ca="1" si="189"/>
        <v>21374</v>
      </c>
      <c r="G1695" s="2">
        <f t="shared" ca="1" si="190"/>
        <v>1204</v>
      </c>
    </row>
    <row r="1696" spans="1:7" x14ac:dyDescent="0.3">
      <c r="A1696" s="5" t="str">
        <f t="shared" si="184"/>
        <v>Nike</v>
      </c>
      <c r="B1696" s="5" t="str">
        <f t="shared" si="186"/>
        <v>Vaporfly 3</v>
      </c>
      <c r="C1696" s="3">
        <f t="shared" si="185"/>
        <v>45770</v>
      </c>
      <c r="D1696" s="4">
        <f t="shared" ca="1" si="187"/>
        <v>152</v>
      </c>
      <c r="E1696" s="2">
        <f t="shared" ca="1" si="188"/>
        <v>8331</v>
      </c>
      <c r="F1696" s="2">
        <f t="shared" ca="1" si="189"/>
        <v>31126</v>
      </c>
      <c r="G1696" s="2">
        <f t="shared" ca="1" si="190"/>
        <v>1624</v>
      </c>
    </row>
    <row r="1697" spans="1:7" x14ac:dyDescent="0.3">
      <c r="A1697" s="5" t="str">
        <f t="shared" si="184"/>
        <v>Adidas</v>
      </c>
      <c r="B1697" s="5" t="str">
        <f t="shared" si="186"/>
        <v>Samba</v>
      </c>
      <c r="C1697" s="3">
        <f t="shared" si="185"/>
        <v>45771</v>
      </c>
      <c r="D1697" s="4">
        <f t="shared" ca="1" si="187"/>
        <v>34</v>
      </c>
      <c r="E1697" s="2">
        <f t="shared" ca="1" si="188"/>
        <v>6828</v>
      </c>
      <c r="F1697" s="2">
        <f t="shared" ca="1" si="189"/>
        <v>19121</v>
      </c>
      <c r="G1697" s="2">
        <f t="shared" ca="1" si="190"/>
        <v>639</v>
      </c>
    </row>
    <row r="1698" spans="1:7" x14ac:dyDescent="0.3">
      <c r="A1698" s="5" t="str">
        <f t="shared" si="184"/>
        <v>Puma</v>
      </c>
      <c r="B1698" s="5" t="str">
        <f t="shared" si="186"/>
        <v>Mayze</v>
      </c>
      <c r="C1698" s="3">
        <f t="shared" si="185"/>
        <v>45771</v>
      </c>
      <c r="D1698" s="4">
        <f t="shared" ca="1" si="187"/>
        <v>63</v>
      </c>
      <c r="E1698" s="2">
        <f t="shared" ca="1" si="188"/>
        <v>9767</v>
      </c>
      <c r="F1698" s="2">
        <f t="shared" ca="1" si="189"/>
        <v>12862</v>
      </c>
      <c r="G1698" s="2">
        <f t="shared" ca="1" si="190"/>
        <v>759</v>
      </c>
    </row>
    <row r="1699" spans="1:7" x14ac:dyDescent="0.3">
      <c r="A1699" s="5" t="str">
        <f t="shared" si="184"/>
        <v>New Balance</v>
      </c>
      <c r="B1699" s="5" t="str">
        <f t="shared" si="186"/>
        <v>574 Core</v>
      </c>
      <c r="C1699" s="3">
        <f t="shared" si="185"/>
        <v>45771</v>
      </c>
      <c r="D1699" s="4">
        <f t="shared" ca="1" si="187"/>
        <v>244</v>
      </c>
      <c r="E1699" s="2">
        <f t="shared" ca="1" si="188"/>
        <v>3778</v>
      </c>
      <c r="F1699" s="2">
        <f t="shared" ca="1" si="189"/>
        <v>27028</v>
      </c>
      <c r="G1699" s="2">
        <f t="shared" ca="1" si="190"/>
        <v>1221</v>
      </c>
    </row>
    <row r="1700" spans="1:7" x14ac:dyDescent="0.3">
      <c r="A1700" s="5" t="str">
        <f t="shared" si="184"/>
        <v>Reebok</v>
      </c>
      <c r="B1700" s="5" t="str">
        <f t="shared" si="186"/>
        <v>Club C 85</v>
      </c>
      <c r="C1700" s="3">
        <f t="shared" si="185"/>
        <v>45771</v>
      </c>
      <c r="D1700" s="4">
        <f t="shared" ca="1" si="187"/>
        <v>181</v>
      </c>
      <c r="E1700" s="2">
        <f t="shared" ca="1" si="188"/>
        <v>9753</v>
      </c>
      <c r="F1700" s="2">
        <f t="shared" ca="1" si="189"/>
        <v>14619</v>
      </c>
      <c r="G1700" s="2">
        <f t="shared" ca="1" si="190"/>
        <v>1111</v>
      </c>
    </row>
    <row r="1701" spans="1:7" x14ac:dyDescent="0.3">
      <c r="A1701" s="5" t="str">
        <f t="shared" si="184"/>
        <v>Nike</v>
      </c>
      <c r="B1701" s="5" t="str">
        <f t="shared" si="186"/>
        <v>Pegasus 40</v>
      </c>
      <c r="C1701" s="3">
        <f t="shared" si="185"/>
        <v>45771</v>
      </c>
      <c r="D1701" s="4">
        <f t="shared" ca="1" si="187"/>
        <v>115</v>
      </c>
      <c r="E1701" s="2">
        <f t="shared" ca="1" si="188"/>
        <v>10650</v>
      </c>
      <c r="F1701" s="2">
        <f t="shared" ca="1" si="189"/>
        <v>13392</v>
      </c>
      <c r="G1701" s="2">
        <f t="shared" ca="1" si="190"/>
        <v>485</v>
      </c>
    </row>
    <row r="1702" spans="1:7" x14ac:dyDescent="0.3">
      <c r="A1702" s="5" t="str">
        <f t="shared" si="184"/>
        <v>Adidas</v>
      </c>
      <c r="B1702" s="5" t="str">
        <f t="shared" si="186"/>
        <v>Gazelle</v>
      </c>
      <c r="C1702" s="3">
        <f t="shared" si="185"/>
        <v>45771</v>
      </c>
      <c r="D1702" s="4">
        <f t="shared" ca="1" si="187"/>
        <v>214</v>
      </c>
      <c r="E1702" s="2">
        <f t="shared" ca="1" si="188"/>
        <v>10371</v>
      </c>
      <c r="F1702" s="2">
        <f t="shared" ca="1" si="189"/>
        <v>13569</v>
      </c>
      <c r="G1702" s="2">
        <f t="shared" ca="1" si="190"/>
        <v>541</v>
      </c>
    </row>
    <row r="1703" spans="1:7" x14ac:dyDescent="0.3">
      <c r="A1703" s="5" t="str">
        <f t="shared" si="184"/>
        <v>Puma</v>
      </c>
      <c r="B1703" s="5" t="str">
        <f t="shared" si="186"/>
        <v>Slipstream</v>
      </c>
      <c r="C1703" s="3">
        <f t="shared" si="185"/>
        <v>45771</v>
      </c>
      <c r="D1703" s="4">
        <f t="shared" ca="1" si="187"/>
        <v>244</v>
      </c>
      <c r="E1703" s="2">
        <f t="shared" ca="1" si="188"/>
        <v>10141</v>
      </c>
      <c r="F1703" s="2">
        <f t="shared" ca="1" si="189"/>
        <v>28071</v>
      </c>
      <c r="G1703" s="2">
        <f t="shared" ca="1" si="190"/>
        <v>733</v>
      </c>
    </row>
    <row r="1704" spans="1:7" x14ac:dyDescent="0.3">
      <c r="A1704" s="5" t="str">
        <f t="shared" si="184"/>
        <v>New Balance</v>
      </c>
      <c r="B1704" s="5" t="str">
        <f t="shared" si="186"/>
        <v>550</v>
      </c>
      <c r="C1704" s="3">
        <f t="shared" si="185"/>
        <v>45771</v>
      </c>
      <c r="D1704" s="4">
        <f t="shared" ca="1" si="187"/>
        <v>62</v>
      </c>
      <c r="E1704" s="2">
        <f t="shared" ca="1" si="188"/>
        <v>10503</v>
      </c>
      <c r="F1704" s="2">
        <f t="shared" ca="1" si="189"/>
        <v>24230</v>
      </c>
      <c r="G1704" s="2">
        <f t="shared" ca="1" si="190"/>
        <v>1060</v>
      </c>
    </row>
    <row r="1705" spans="1:7" x14ac:dyDescent="0.3">
      <c r="A1705" s="5" t="str">
        <f t="shared" si="184"/>
        <v>Reebok</v>
      </c>
      <c r="B1705" s="5" t="str">
        <f t="shared" si="186"/>
        <v>Classic Leather</v>
      </c>
      <c r="C1705" s="3">
        <f t="shared" si="185"/>
        <v>45771</v>
      </c>
      <c r="D1705" s="4">
        <f t="shared" ca="1" si="187"/>
        <v>124</v>
      </c>
      <c r="E1705" s="2">
        <f t="shared" ca="1" si="188"/>
        <v>4428</v>
      </c>
      <c r="F1705" s="2">
        <f t="shared" ca="1" si="189"/>
        <v>22184</v>
      </c>
      <c r="G1705" s="2">
        <f t="shared" ca="1" si="190"/>
        <v>1493</v>
      </c>
    </row>
    <row r="1706" spans="1:7" x14ac:dyDescent="0.3">
      <c r="A1706" s="5" t="str">
        <f t="shared" si="184"/>
        <v>Nike</v>
      </c>
      <c r="B1706" s="5" t="str">
        <f t="shared" si="186"/>
        <v>Air Force 1</v>
      </c>
      <c r="C1706" s="3">
        <f t="shared" si="185"/>
        <v>45771</v>
      </c>
      <c r="D1706" s="4">
        <f t="shared" ca="1" si="187"/>
        <v>90</v>
      </c>
      <c r="E1706" s="2">
        <f t="shared" ca="1" si="188"/>
        <v>4937</v>
      </c>
      <c r="F1706" s="2">
        <f t="shared" ca="1" si="189"/>
        <v>34199</v>
      </c>
      <c r="G1706" s="2">
        <f t="shared" ca="1" si="190"/>
        <v>1300</v>
      </c>
    </row>
    <row r="1707" spans="1:7" x14ac:dyDescent="0.3">
      <c r="A1707" s="5" t="str">
        <f t="shared" ref="A1707:A1770" si="191">CHOOSE(MOD(ROW(A1706),5)+1,"Nike","Adidas","Puma","New Balance","Reebok")</f>
        <v>Adidas</v>
      </c>
      <c r="B1707" s="5" t="str">
        <f t="shared" si="186"/>
        <v>Superstar</v>
      </c>
      <c r="C1707" s="3">
        <f t="shared" ref="C1707:C1770" si="192">DATE(2025,1,1)+INT((ROW(A1707)-2)/15)</f>
        <v>45771</v>
      </c>
      <c r="D1707" s="4">
        <f t="shared" ca="1" si="187"/>
        <v>27</v>
      </c>
      <c r="E1707" s="2">
        <f t="shared" ca="1" si="188"/>
        <v>4964</v>
      </c>
      <c r="F1707" s="2">
        <f t="shared" ca="1" si="189"/>
        <v>32114</v>
      </c>
      <c r="G1707" s="2">
        <f t="shared" ca="1" si="190"/>
        <v>1250</v>
      </c>
    </row>
    <row r="1708" spans="1:7" x14ac:dyDescent="0.3">
      <c r="A1708" s="5" t="str">
        <f t="shared" si="191"/>
        <v>Puma</v>
      </c>
      <c r="B1708" s="5" t="str">
        <f t="shared" si="186"/>
        <v>Rider Vintage</v>
      </c>
      <c r="C1708" s="3">
        <f t="shared" si="192"/>
        <v>45771</v>
      </c>
      <c r="D1708" s="4">
        <f t="shared" ca="1" si="187"/>
        <v>127</v>
      </c>
      <c r="E1708" s="2">
        <f t="shared" ca="1" si="188"/>
        <v>5293</v>
      </c>
      <c r="F1708" s="2">
        <f t="shared" ca="1" si="189"/>
        <v>27096</v>
      </c>
      <c r="G1708" s="2">
        <f t="shared" ca="1" si="190"/>
        <v>2006</v>
      </c>
    </row>
    <row r="1709" spans="1:7" x14ac:dyDescent="0.3">
      <c r="A1709" s="5" t="str">
        <f t="shared" si="191"/>
        <v>New Balance</v>
      </c>
      <c r="B1709" s="5" t="str">
        <f t="shared" si="186"/>
        <v>327</v>
      </c>
      <c r="C1709" s="3">
        <f t="shared" si="192"/>
        <v>45771</v>
      </c>
      <c r="D1709" s="4">
        <f t="shared" ca="1" si="187"/>
        <v>94</v>
      </c>
      <c r="E1709" s="2">
        <f t="shared" ca="1" si="188"/>
        <v>11603</v>
      </c>
      <c r="F1709" s="2">
        <f t="shared" ca="1" si="189"/>
        <v>18325</v>
      </c>
      <c r="G1709" s="2">
        <f t="shared" ca="1" si="190"/>
        <v>905</v>
      </c>
    </row>
    <row r="1710" spans="1:7" x14ac:dyDescent="0.3">
      <c r="A1710" s="5" t="str">
        <f t="shared" si="191"/>
        <v>Reebok</v>
      </c>
      <c r="B1710" s="5" t="str">
        <f t="shared" si="186"/>
        <v>Question Mid</v>
      </c>
      <c r="C1710" s="3">
        <f t="shared" si="192"/>
        <v>45771</v>
      </c>
      <c r="D1710" s="4">
        <f t="shared" ca="1" si="187"/>
        <v>127</v>
      </c>
      <c r="E1710" s="2">
        <f t="shared" ca="1" si="188"/>
        <v>3325</v>
      </c>
      <c r="F1710" s="2">
        <f t="shared" ca="1" si="189"/>
        <v>33891</v>
      </c>
      <c r="G1710" s="2">
        <f t="shared" ca="1" si="190"/>
        <v>984</v>
      </c>
    </row>
    <row r="1711" spans="1:7" x14ac:dyDescent="0.3">
      <c r="A1711" s="5" t="str">
        <f t="shared" si="191"/>
        <v>Nike</v>
      </c>
      <c r="B1711" s="5" t="str">
        <f t="shared" si="186"/>
        <v>Air Max 270</v>
      </c>
      <c r="C1711" s="3">
        <f t="shared" si="192"/>
        <v>45771</v>
      </c>
      <c r="D1711" s="4">
        <f t="shared" ca="1" si="187"/>
        <v>138</v>
      </c>
      <c r="E1711" s="2">
        <f t="shared" ca="1" si="188"/>
        <v>9546</v>
      </c>
      <c r="F1711" s="2">
        <f t="shared" ca="1" si="189"/>
        <v>31642</v>
      </c>
      <c r="G1711" s="2">
        <f t="shared" ca="1" si="190"/>
        <v>1219</v>
      </c>
    </row>
    <row r="1712" spans="1:7" x14ac:dyDescent="0.3">
      <c r="A1712" s="5" t="str">
        <f t="shared" si="191"/>
        <v>Adidas</v>
      </c>
      <c r="B1712" s="5" t="str">
        <f t="shared" si="186"/>
        <v>Stan Smith</v>
      </c>
      <c r="C1712" s="3">
        <f t="shared" si="192"/>
        <v>45772</v>
      </c>
      <c r="D1712" s="4">
        <f t="shared" ca="1" si="187"/>
        <v>85</v>
      </c>
      <c r="E1712" s="2">
        <f t="shared" ca="1" si="188"/>
        <v>4150</v>
      </c>
      <c r="F1712" s="2">
        <f t="shared" ca="1" si="189"/>
        <v>33777</v>
      </c>
      <c r="G1712" s="2">
        <f t="shared" ca="1" si="190"/>
        <v>1840</v>
      </c>
    </row>
    <row r="1713" spans="1:7" x14ac:dyDescent="0.3">
      <c r="A1713" s="5" t="str">
        <f t="shared" si="191"/>
        <v>Puma</v>
      </c>
      <c r="B1713" s="5" t="str">
        <f t="shared" si="186"/>
        <v>Cali Dream</v>
      </c>
      <c r="C1713" s="3">
        <f t="shared" si="192"/>
        <v>45772</v>
      </c>
      <c r="D1713" s="4">
        <f t="shared" ca="1" si="187"/>
        <v>204</v>
      </c>
      <c r="E1713" s="2">
        <f t="shared" ca="1" si="188"/>
        <v>1461</v>
      </c>
      <c r="F1713" s="2">
        <f t="shared" ca="1" si="189"/>
        <v>20899</v>
      </c>
      <c r="G1713" s="2">
        <f t="shared" ca="1" si="190"/>
        <v>565</v>
      </c>
    </row>
    <row r="1714" spans="1:7" x14ac:dyDescent="0.3">
      <c r="A1714" s="5" t="str">
        <f t="shared" si="191"/>
        <v>New Balance</v>
      </c>
      <c r="B1714" s="5" t="str">
        <f t="shared" si="186"/>
        <v>9060</v>
      </c>
      <c r="C1714" s="3">
        <f t="shared" si="192"/>
        <v>45772</v>
      </c>
      <c r="D1714" s="4">
        <f t="shared" ca="1" si="187"/>
        <v>186</v>
      </c>
      <c r="E1714" s="2">
        <f t="shared" ca="1" si="188"/>
        <v>8146</v>
      </c>
      <c r="F1714" s="2">
        <f t="shared" ca="1" si="189"/>
        <v>16967</v>
      </c>
      <c r="G1714" s="2">
        <f t="shared" ca="1" si="190"/>
        <v>454</v>
      </c>
    </row>
    <row r="1715" spans="1:7" x14ac:dyDescent="0.3">
      <c r="A1715" s="5" t="str">
        <f t="shared" si="191"/>
        <v>Reebok</v>
      </c>
      <c r="B1715" s="5" t="str">
        <f t="shared" si="186"/>
        <v>Zig Kinetica</v>
      </c>
      <c r="C1715" s="3">
        <f t="shared" si="192"/>
        <v>45772</v>
      </c>
      <c r="D1715" s="4">
        <f t="shared" ca="1" si="187"/>
        <v>193</v>
      </c>
      <c r="E1715" s="2">
        <f t="shared" ca="1" si="188"/>
        <v>3573</v>
      </c>
      <c r="F1715" s="2">
        <f t="shared" ca="1" si="189"/>
        <v>30370</v>
      </c>
      <c r="G1715" s="2">
        <f t="shared" ca="1" si="190"/>
        <v>1858</v>
      </c>
    </row>
    <row r="1716" spans="1:7" x14ac:dyDescent="0.3">
      <c r="A1716" s="5" t="str">
        <f t="shared" si="191"/>
        <v>Nike</v>
      </c>
      <c r="B1716" s="5" t="str">
        <f t="shared" si="186"/>
        <v>Jordan 1</v>
      </c>
      <c r="C1716" s="3">
        <f t="shared" si="192"/>
        <v>45772</v>
      </c>
      <c r="D1716" s="4">
        <f t="shared" ca="1" si="187"/>
        <v>89</v>
      </c>
      <c r="E1716" s="2">
        <f t="shared" ca="1" si="188"/>
        <v>3829</v>
      </c>
      <c r="F1716" s="2">
        <f t="shared" ca="1" si="189"/>
        <v>7721</v>
      </c>
      <c r="G1716" s="2">
        <f t="shared" ca="1" si="190"/>
        <v>350</v>
      </c>
    </row>
    <row r="1717" spans="1:7" x14ac:dyDescent="0.3">
      <c r="A1717" s="5" t="str">
        <f t="shared" si="191"/>
        <v>Adidas</v>
      </c>
      <c r="B1717" s="5" t="str">
        <f t="shared" si="186"/>
        <v>Ultraboost 23</v>
      </c>
      <c r="C1717" s="3">
        <f t="shared" si="192"/>
        <v>45772</v>
      </c>
      <c r="D1717" s="4">
        <f t="shared" ca="1" si="187"/>
        <v>104</v>
      </c>
      <c r="E1717" s="2">
        <f t="shared" ca="1" si="188"/>
        <v>6207</v>
      </c>
      <c r="F1717" s="2">
        <f t="shared" ca="1" si="189"/>
        <v>33692</v>
      </c>
      <c r="G1717" s="2">
        <f t="shared" ca="1" si="190"/>
        <v>929</v>
      </c>
    </row>
    <row r="1718" spans="1:7" x14ac:dyDescent="0.3">
      <c r="A1718" s="5" t="str">
        <f t="shared" si="191"/>
        <v>Puma</v>
      </c>
      <c r="B1718" s="5" t="str">
        <f t="shared" si="186"/>
        <v>RS-X</v>
      </c>
      <c r="C1718" s="3">
        <f t="shared" si="192"/>
        <v>45772</v>
      </c>
      <c r="D1718" s="4">
        <f t="shared" ca="1" si="187"/>
        <v>146</v>
      </c>
      <c r="E1718" s="2">
        <f t="shared" ca="1" si="188"/>
        <v>8682</v>
      </c>
      <c r="F1718" s="2">
        <f t="shared" ca="1" si="189"/>
        <v>14012</v>
      </c>
      <c r="G1718" s="2">
        <f t="shared" ca="1" si="190"/>
        <v>813</v>
      </c>
    </row>
    <row r="1719" spans="1:7" x14ac:dyDescent="0.3">
      <c r="A1719" s="5" t="str">
        <f t="shared" si="191"/>
        <v>New Balance</v>
      </c>
      <c r="B1719" s="5" t="str">
        <f t="shared" si="186"/>
        <v>2002R</v>
      </c>
      <c r="C1719" s="3">
        <f t="shared" si="192"/>
        <v>45772</v>
      </c>
      <c r="D1719" s="4">
        <f t="shared" ca="1" si="187"/>
        <v>107</v>
      </c>
      <c r="E1719" s="2">
        <f t="shared" ca="1" si="188"/>
        <v>7330</v>
      </c>
      <c r="F1719" s="2">
        <f t="shared" ca="1" si="189"/>
        <v>29232</v>
      </c>
      <c r="G1719" s="2">
        <f t="shared" ca="1" si="190"/>
        <v>1903</v>
      </c>
    </row>
    <row r="1720" spans="1:7" x14ac:dyDescent="0.3">
      <c r="A1720" s="5" t="str">
        <f t="shared" si="191"/>
        <v>Reebok</v>
      </c>
      <c r="B1720" s="5" t="str">
        <f t="shared" si="186"/>
        <v>Instapump Fury</v>
      </c>
      <c r="C1720" s="3">
        <f t="shared" si="192"/>
        <v>45772</v>
      </c>
      <c r="D1720" s="4">
        <f t="shared" ca="1" si="187"/>
        <v>114</v>
      </c>
      <c r="E1720" s="2">
        <f t="shared" ca="1" si="188"/>
        <v>9599</v>
      </c>
      <c r="F1720" s="2">
        <f t="shared" ca="1" si="189"/>
        <v>14543</v>
      </c>
      <c r="G1720" s="2">
        <f t="shared" ca="1" si="190"/>
        <v>1118</v>
      </c>
    </row>
    <row r="1721" spans="1:7" x14ac:dyDescent="0.3">
      <c r="A1721" s="5" t="str">
        <f t="shared" si="191"/>
        <v>Nike</v>
      </c>
      <c r="B1721" s="5" t="str">
        <f t="shared" si="186"/>
        <v>Cortez</v>
      </c>
      <c r="C1721" s="3">
        <f t="shared" si="192"/>
        <v>45772</v>
      </c>
      <c r="D1721" s="4">
        <f t="shared" ca="1" si="187"/>
        <v>161</v>
      </c>
      <c r="E1721" s="2">
        <f t="shared" ca="1" si="188"/>
        <v>2821</v>
      </c>
      <c r="F1721" s="2">
        <f t="shared" ca="1" si="189"/>
        <v>15848</v>
      </c>
      <c r="G1721" s="2">
        <f t="shared" ca="1" si="190"/>
        <v>568</v>
      </c>
    </row>
    <row r="1722" spans="1:7" x14ac:dyDescent="0.3">
      <c r="A1722" s="5" t="str">
        <f t="shared" si="191"/>
        <v>Adidas</v>
      </c>
      <c r="B1722" s="5" t="str">
        <f t="shared" si="186"/>
        <v>NMD S1</v>
      </c>
      <c r="C1722" s="3">
        <f t="shared" si="192"/>
        <v>45772</v>
      </c>
      <c r="D1722" s="4">
        <f t="shared" ca="1" si="187"/>
        <v>44</v>
      </c>
      <c r="E1722" s="2">
        <f t="shared" ca="1" si="188"/>
        <v>3614</v>
      </c>
      <c r="F1722" s="2">
        <f t="shared" ca="1" si="189"/>
        <v>5292</v>
      </c>
      <c r="G1722" s="2">
        <f t="shared" ca="1" si="190"/>
        <v>263</v>
      </c>
    </row>
    <row r="1723" spans="1:7" x14ac:dyDescent="0.3">
      <c r="A1723" s="5" t="str">
        <f t="shared" si="191"/>
        <v>Puma</v>
      </c>
      <c r="B1723" s="5" t="str">
        <f t="shared" si="186"/>
        <v>Suede Classic</v>
      </c>
      <c r="C1723" s="3">
        <f t="shared" si="192"/>
        <v>45772</v>
      </c>
      <c r="D1723" s="4">
        <f t="shared" ca="1" si="187"/>
        <v>156</v>
      </c>
      <c r="E1723" s="2">
        <f t="shared" ca="1" si="188"/>
        <v>4068</v>
      </c>
      <c r="F1723" s="2">
        <f t="shared" ca="1" si="189"/>
        <v>27407</v>
      </c>
      <c r="G1723" s="2">
        <f t="shared" ca="1" si="190"/>
        <v>788</v>
      </c>
    </row>
    <row r="1724" spans="1:7" x14ac:dyDescent="0.3">
      <c r="A1724" s="5" t="str">
        <f t="shared" si="191"/>
        <v>New Balance</v>
      </c>
      <c r="B1724" s="5" t="str">
        <f t="shared" si="186"/>
        <v>990v6</v>
      </c>
      <c r="C1724" s="3">
        <f t="shared" si="192"/>
        <v>45772</v>
      </c>
      <c r="D1724" s="4">
        <f t="shared" ca="1" si="187"/>
        <v>177</v>
      </c>
      <c r="E1724" s="2">
        <f t="shared" ca="1" si="188"/>
        <v>10723</v>
      </c>
      <c r="F1724" s="2">
        <f t="shared" ca="1" si="189"/>
        <v>22626</v>
      </c>
      <c r="G1724" s="2">
        <f t="shared" ca="1" si="190"/>
        <v>1458</v>
      </c>
    </row>
    <row r="1725" spans="1:7" x14ac:dyDescent="0.3">
      <c r="A1725" s="5" t="str">
        <f t="shared" si="191"/>
        <v>Reebok</v>
      </c>
      <c r="B1725" s="5" t="str">
        <f t="shared" si="186"/>
        <v>Nano X3</v>
      </c>
      <c r="C1725" s="3">
        <f t="shared" si="192"/>
        <v>45772</v>
      </c>
      <c r="D1725" s="4">
        <f t="shared" ca="1" si="187"/>
        <v>35</v>
      </c>
      <c r="E1725" s="2">
        <f t="shared" ca="1" si="188"/>
        <v>2330</v>
      </c>
      <c r="F1725" s="2">
        <f t="shared" ca="1" si="189"/>
        <v>8723</v>
      </c>
      <c r="G1725" s="2">
        <f t="shared" ca="1" si="190"/>
        <v>422</v>
      </c>
    </row>
    <row r="1726" spans="1:7" x14ac:dyDescent="0.3">
      <c r="A1726" s="5" t="str">
        <f t="shared" si="191"/>
        <v>Nike</v>
      </c>
      <c r="B1726" s="5" t="str">
        <f t="shared" si="186"/>
        <v>Vaporfly 3</v>
      </c>
      <c r="C1726" s="3">
        <f t="shared" si="192"/>
        <v>45772</v>
      </c>
      <c r="D1726" s="4">
        <f t="shared" ca="1" si="187"/>
        <v>62</v>
      </c>
      <c r="E1726" s="2">
        <f t="shared" ca="1" si="188"/>
        <v>10235</v>
      </c>
      <c r="F1726" s="2">
        <f t="shared" ca="1" si="189"/>
        <v>34364</v>
      </c>
      <c r="G1726" s="2">
        <f t="shared" ca="1" si="190"/>
        <v>729</v>
      </c>
    </row>
    <row r="1727" spans="1:7" x14ac:dyDescent="0.3">
      <c r="A1727" s="5" t="str">
        <f t="shared" si="191"/>
        <v>Adidas</v>
      </c>
      <c r="B1727" s="5" t="str">
        <f t="shared" si="186"/>
        <v>Samba</v>
      </c>
      <c r="C1727" s="3">
        <f t="shared" si="192"/>
        <v>45773</v>
      </c>
      <c r="D1727" s="4">
        <f t="shared" ca="1" si="187"/>
        <v>70</v>
      </c>
      <c r="E1727" s="2">
        <f t="shared" ca="1" si="188"/>
        <v>5365</v>
      </c>
      <c r="F1727" s="2">
        <f t="shared" ca="1" si="189"/>
        <v>26089</v>
      </c>
      <c r="G1727" s="2">
        <f t="shared" ca="1" si="190"/>
        <v>923</v>
      </c>
    </row>
    <row r="1728" spans="1:7" x14ac:dyDescent="0.3">
      <c r="A1728" s="5" t="str">
        <f t="shared" si="191"/>
        <v>Puma</v>
      </c>
      <c r="B1728" s="5" t="str">
        <f t="shared" si="186"/>
        <v>Mayze</v>
      </c>
      <c r="C1728" s="3">
        <f t="shared" si="192"/>
        <v>45773</v>
      </c>
      <c r="D1728" s="4">
        <f t="shared" ca="1" si="187"/>
        <v>148</v>
      </c>
      <c r="E1728" s="2">
        <f t="shared" ca="1" si="188"/>
        <v>1573</v>
      </c>
      <c r="F1728" s="2">
        <f t="shared" ca="1" si="189"/>
        <v>21901</v>
      </c>
      <c r="G1728" s="2">
        <f t="shared" ca="1" si="190"/>
        <v>685</v>
      </c>
    </row>
    <row r="1729" spans="1:7" x14ac:dyDescent="0.3">
      <c r="A1729" s="5" t="str">
        <f t="shared" si="191"/>
        <v>New Balance</v>
      </c>
      <c r="B1729" s="5" t="str">
        <f t="shared" si="186"/>
        <v>574 Core</v>
      </c>
      <c r="C1729" s="3">
        <f t="shared" si="192"/>
        <v>45773</v>
      </c>
      <c r="D1729" s="4">
        <f t="shared" ca="1" si="187"/>
        <v>116</v>
      </c>
      <c r="E1729" s="2">
        <f t="shared" ca="1" si="188"/>
        <v>5031</v>
      </c>
      <c r="F1729" s="2">
        <f t="shared" ca="1" si="189"/>
        <v>26185</v>
      </c>
      <c r="G1729" s="2">
        <f t="shared" ca="1" si="190"/>
        <v>1225</v>
      </c>
    </row>
    <row r="1730" spans="1:7" x14ac:dyDescent="0.3">
      <c r="A1730" s="5" t="str">
        <f t="shared" si="191"/>
        <v>Reebok</v>
      </c>
      <c r="B1730" s="5" t="str">
        <f t="shared" si="186"/>
        <v>Club C 85</v>
      </c>
      <c r="C1730" s="3">
        <f t="shared" si="192"/>
        <v>45773</v>
      </c>
      <c r="D1730" s="4">
        <f t="shared" ca="1" si="187"/>
        <v>206</v>
      </c>
      <c r="E1730" s="2">
        <f t="shared" ca="1" si="188"/>
        <v>9434</v>
      </c>
      <c r="F1730" s="2">
        <f t="shared" ca="1" si="189"/>
        <v>23828</v>
      </c>
      <c r="G1730" s="2">
        <f t="shared" ca="1" si="190"/>
        <v>1528</v>
      </c>
    </row>
    <row r="1731" spans="1:7" x14ac:dyDescent="0.3">
      <c r="A1731" s="5" t="str">
        <f t="shared" si="191"/>
        <v>Nike</v>
      </c>
      <c r="B1731" s="5" t="str">
        <f t="shared" ref="B1731:B1794" si="193">IF(A1731="Nike",CHOOSE(MOD(ROW(A1730),6)+1,"Air Max 270","Air Force 1","Pegasus 40","Vaporfly 3","Cortez","Jordan 1"),
 IF(A1731="Adidas",CHOOSE(MOD(ROW(A1730),6)+1,"Ultraboost 23","Stan Smith","Superstar","Gazelle","Samba","NMD S1"),
 IF(A1731="Puma",CHOOSE(MOD(ROW(A1730),6)+1,"Suede Classic","RS-X","Cali Dream","Rider Vintage","Slipstream","Mayze"),
 IF(A1731="New Balance",CHOOSE(MOD(ROW(A1730),6)+1,"574 Core","990v6","2002R","9060","327","550"),
 IF(A1731="Reebok",CHOOSE(MOD(ROW(A1730),6)+1,"Classic Leather","Club C 85","Nano X3","Instapump Fury","Zig Kinetica","Question Mid"),"")))))</f>
        <v>Pegasus 40</v>
      </c>
      <c r="C1731" s="3">
        <f t="shared" si="192"/>
        <v>45773</v>
      </c>
      <c r="D1731" s="4">
        <f t="shared" ref="D1731:D1794" ca="1" si="194">RANDBETWEEN(20,250)</f>
        <v>238</v>
      </c>
      <c r="E1731" s="2">
        <f t="shared" ref="E1731:E1794" ca="1" si="195">ROUND(RANDBETWEEN(1500,12000)+(RANDBETWEEN(-200,200)),2)</f>
        <v>11848</v>
      </c>
      <c r="F1731" s="2">
        <f t="shared" ref="F1731:F1794" ca="1" si="196">RANDBETWEEN(5000,35000)</f>
        <v>24297</v>
      </c>
      <c r="G1731" s="2">
        <f t="shared" ref="G1731:G1794" ca="1" si="197">RANDBETWEEN(ROUND(F1731*0.02,0),ROUND(F1731*0.08,0))</f>
        <v>1925</v>
      </c>
    </row>
    <row r="1732" spans="1:7" x14ac:dyDescent="0.3">
      <c r="A1732" s="5" t="str">
        <f t="shared" si="191"/>
        <v>Adidas</v>
      </c>
      <c r="B1732" s="5" t="str">
        <f t="shared" si="193"/>
        <v>Gazelle</v>
      </c>
      <c r="C1732" s="3">
        <f t="shared" si="192"/>
        <v>45773</v>
      </c>
      <c r="D1732" s="4">
        <f t="shared" ca="1" si="194"/>
        <v>33</v>
      </c>
      <c r="E1732" s="2">
        <f t="shared" ca="1" si="195"/>
        <v>5590</v>
      </c>
      <c r="F1732" s="2">
        <f t="shared" ca="1" si="196"/>
        <v>33053</v>
      </c>
      <c r="G1732" s="2">
        <f t="shared" ca="1" si="197"/>
        <v>1634</v>
      </c>
    </row>
    <row r="1733" spans="1:7" x14ac:dyDescent="0.3">
      <c r="A1733" s="5" t="str">
        <f t="shared" si="191"/>
        <v>Puma</v>
      </c>
      <c r="B1733" s="5" t="str">
        <f t="shared" si="193"/>
        <v>Slipstream</v>
      </c>
      <c r="C1733" s="3">
        <f t="shared" si="192"/>
        <v>45773</v>
      </c>
      <c r="D1733" s="4">
        <f t="shared" ca="1" si="194"/>
        <v>118</v>
      </c>
      <c r="E1733" s="2">
        <f t="shared" ca="1" si="195"/>
        <v>9776</v>
      </c>
      <c r="F1733" s="2">
        <f t="shared" ca="1" si="196"/>
        <v>20397</v>
      </c>
      <c r="G1733" s="2">
        <f t="shared" ca="1" si="197"/>
        <v>1264</v>
      </c>
    </row>
    <row r="1734" spans="1:7" x14ac:dyDescent="0.3">
      <c r="A1734" s="5" t="str">
        <f t="shared" si="191"/>
        <v>New Balance</v>
      </c>
      <c r="B1734" s="5" t="str">
        <f t="shared" si="193"/>
        <v>550</v>
      </c>
      <c r="C1734" s="3">
        <f t="shared" si="192"/>
        <v>45773</v>
      </c>
      <c r="D1734" s="4">
        <f t="shared" ca="1" si="194"/>
        <v>57</v>
      </c>
      <c r="E1734" s="2">
        <f t="shared" ca="1" si="195"/>
        <v>8252</v>
      </c>
      <c r="F1734" s="2">
        <f t="shared" ca="1" si="196"/>
        <v>11186</v>
      </c>
      <c r="G1734" s="2">
        <f t="shared" ca="1" si="197"/>
        <v>867</v>
      </c>
    </row>
    <row r="1735" spans="1:7" x14ac:dyDescent="0.3">
      <c r="A1735" s="5" t="str">
        <f t="shared" si="191"/>
        <v>Reebok</v>
      </c>
      <c r="B1735" s="5" t="str">
        <f t="shared" si="193"/>
        <v>Classic Leather</v>
      </c>
      <c r="C1735" s="3">
        <f t="shared" si="192"/>
        <v>45773</v>
      </c>
      <c r="D1735" s="4">
        <f t="shared" ca="1" si="194"/>
        <v>109</v>
      </c>
      <c r="E1735" s="2">
        <f t="shared" ca="1" si="195"/>
        <v>8535</v>
      </c>
      <c r="F1735" s="2">
        <f t="shared" ca="1" si="196"/>
        <v>18465</v>
      </c>
      <c r="G1735" s="2">
        <f t="shared" ca="1" si="197"/>
        <v>477</v>
      </c>
    </row>
    <row r="1736" spans="1:7" x14ac:dyDescent="0.3">
      <c r="A1736" s="5" t="str">
        <f t="shared" si="191"/>
        <v>Nike</v>
      </c>
      <c r="B1736" s="5" t="str">
        <f t="shared" si="193"/>
        <v>Air Force 1</v>
      </c>
      <c r="C1736" s="3">
        <f t="shared" si="192"/>
        <v>45773</v>
      </c>
      <c r="D1736" s="4">
        <f t="shared" ca="1" si="194"/>
        <v>167</v>
      </c>
      <c r="E1736" s="2">
        <f t="shared" ca="1" si="195"/>
        <v>3881</v>
      </c>
      <c r="F1736" s="2">
        <f t="shared" ca="1" si="196"/>
        <v>32934</v>
      </c>
      <c r="G1736" s="2">
        <f t="shared" ca="1" si="197"/>
        <v>2558</v>
      </c>
    </row>
    <row r="1737" spans="1:7" x14ac:dyDescent="0.3">
      <c r="A1737" s="5" t="str">
        <f t="shared" si="191"/>
        <v>Adidas</v>
      </c>
      <c r="B1737" s="5" t="str">
        <f t="shared" si="193"/>
        <v>Superstar</v>
      </c>
      <c r="C1737" s="3">
        <f t="shared" si="192"/>
        <v>45773</v>
      </c>
      <c r="D1737" s="4">
        <f t="shared" ca="1" si="194"/>
        <v>199</v>
      </c>
      <c r="E1737" s="2">
        <f t="shared" ca="1" si="195"/>
        <v>11414</v>
      </c>
      <c r="F1737" s="2">
        <f t="shared" ca="1" si="196"/>
        <v>15282</v>
      </c>
      <c r="G1737" s="2">
        <f t="shared" ca="1" si="197"/>
        <v>461</v>
      </c>
    </row>
    <row r="1738" spans="1:7" x14ac:dyDescent="0.3">
      <c r="A1738" s="5" t="str">
        <f t="shared" si="191"/>
        <v>Puma</v>
      </c>
      <c r="B1738" s="5" t="str">
        <f t="shared" si="193"/>
        <v>Rider Vintage</v>
      </c>
      <c r="C1738" s="3">
        <f t="shared" si="192"/>
        <v>45773</v>
      </c>
      <c r="D1738" s="4">
        <f t="shared" ca="1" si="194"/>
        <v>49</v>
      </c>
      <c r="E1738" s="2">
        <f t="shared" ca="1" si="195"/>
        <v>11293</v>
      </c>
      <c r="F1738" s="2">
        <f t="shared" ca="1" si="196"/>
        <v>19968</v>
      </c>
      <c r="G1738" s="2">
        <f t="shared" ca="1" si="197"/>
        <v>1561</v>
      </c>
    </row>
    <row r="1739" spans="1:7" x14ac:dyDescent="0.3">
      <c r="A1739" s="5" t="str">
        <f t="shared" si="191"/>
        <v>New Balance</v>
      </c>
      <c r="B1739" s="5" t="str">
        <f t="shared" si="193"/>
        <v>327</v>
      </c>
      <c r="C1739" s="3">
        <f t="shared" si="192"/>
        <v>45773</v>
      </c>
      <c r="D1739" s="4">
        <f t="shared" ca="1" si="194"/>
        <v>182</v>
      </c>
      <c r="E1739" s="2">
        <f t="shared" ca="1" si="195"/>
        <v>6220</v>
      </c>
      <c r="F1739" s="2">
        <f t="shared" ca="1" si="196"/>
        <v>5661</v>
      </c>
      <c r="G1739" s="2">
        <f t="shared" ca="1" si="197"/>
        <v>327</v>
      </c>
    </row>
    <row r="1740" spans="1:7" x14ac:dyDescent="0.3">
      <c r="A1740" s="5" t="str">
        <f t="shared" si="191"/>
        <v>Reebok</v>
      </c>
      <c r="B1740" s="5" t="str">
        <f t="shared" si="193"/>
        <v>Question Mid</v>
      </c>
      <c r="C1740" s="3">
        <f t="shared" si="192"/>
        <v>45773</v>
      </c>
      <c r="D1740" s="4">
        <f t="shared" ca="1" si="194"/>
        <v>176</v>
      </c>
      <c r="E1740" s="2">
        <f t="shared" ca="1" si="195"/>
        <v>6223</v>
      </c>
      <c r="F1740" s="2">
        <f t="shared" ca="1" si="196"/>
        <v>19900</v>
      </c>
      <c r="G1740" s="2">
        <f t="shared" ca="1" si="197"/>
        <v>937</v>
      </c>
    </row>
    <row r="1741" spans="1:7" x14ac:dyDescent="0.3">
      <c r="A1741" s="5" t="str">
        <f t="shared" si="191"/>
        <v>Nike</v>
      </c>
      <c r="B1741" s="5" t="str">
        <f t="shared" si="193"/>
        <v>Air Max 270</v>
      </c>
      <c r="C1741" s="3">
        <f t="shared" si="192"/>
        <v>45773</v>
      </c>
      <c r="D1741" s="4">
        <f t="shared" ca="1" si="194"/>
        <v>186</v>
      </c>
      <c r="E1741" s="2">
        <f t="shared" ca="1" si="195"/>
        <v>8462</v>
      </c>
      <c r="F1741" s="2">
        <f t="shared" ca="1" si="196"/>
        <v>23186</v>
      </c>
      <c r="G1741" s="2">
        <f t="shared" ca="1" si="197"/>
        <v>921</v>
      </c>
    </row>
    <row r="1742" spans="1:7" x14ac:dyDescent="0.3">
      <c r="A1742" s="5" t="str">
        <f t="shared" si="191"/>
        <v>Adidas</v>
      </c>
      <c r="B1742" s="5" t="str">
        <f t="shared" si="193"/>
        <v>Stan Smith</v>
      </c>
      <c r="C1742" s="3">
        <f t="shared" si="192"/>
        <v>45774</v>
      </c>
      <c r="D1742" s="4">
        <f t="shared" ca="1" si="194"/>
        <v>227</v>
      </c>
      <c r="E1742" s="2">
        <f t="shared" ca="1" si="195"/>
        <v>2579</v>
      </c>
      <c r="F1742" s="2">
        <f t="shared" ca="1" si="196"/>
        <v>12058</v>
      </c>
      <c r="G1742" s="2">
        <f t="shared" ca="1" si="197"/>
        <v>750</v>
      </c>
    </row>
    <row r="1743" spans="1:7" x14ac:dyDescent="0.3">
      <c r="A1743" s="5" t="str">
        <f t="shared" si="191"/>
        <v>Puma</v>
      </c>
      <c r="B1743" s="5" t="str">
        <f t="shared" si="193"/>
        <v>Cali Dream</v>
      </c>
      <c r="C1743" s="3">
        <f t="shared" si="192"/>
        <v>45774</v>
      </c>
      <c r="D1743" s="4">
        <f t="shared" ca="1" si="194"/>
        <v>238</v>
      </c>
      <c r="E1743" s="2">
        <f t="shared" ca="1" si="195"/>
        <v>6846</v>
      </c>
      <c r="F1743" s="2">
        <f t="shared" ca="1" si="196"/>
        <v>7147</v>
      </c>
      <c r="G1743" s="2">
        <f t="shared" ca="1" si="197"/>
        <v>342</v>
      </c>
    </row>
    <row r="1744" spans="1:7" x14ac:dyDescent="0.3">
      <c r="A1744" s="5" t="str">
        <f t="shared" si="191"/>
        <v>New Balance</v>
      </c>
      <c r="B1744" s="5" t="str">
        <f t="shared" si="193"/>
        <v>9060</v>
      </c>
      <c r="C1744" s="3">
        <f t="shared" si="192"/>
        <v>45774</v>
      </c>
      <c r="D1744" s="4">
        <f t="shared" ca="1" si="194"/>
        <v>109</v>
      </c>
      <c r="E1744" s="2">
        <f t="shared" ca="1" si="195"/>
        <v>2646</v>
      </c>
      <c r="F1744" s="2">
        <f t="shared" ca="1" si="196"/>
        <v>6056</v>
      </c>
      <c r="G1744" s="2">
        <f t="shared" ca="1" si="197"/>
        <v>154</v>
      </c>
    </row>
    <row r="1745" spans="1:7" x14ac:dyDescent="0.3">
      <c r="A1745" s="5" t="str">
        <f t="shared" si="191"/>
        <v>Reebok</v>
      </c>
      <c r="B1745" s="5" t="str">
        <f t="shared" si="193"/>
        <v>Zig Kinetica</v>
      </c>
      <c r="C1745" s="3">
        <f t="shared" si="192"/>
        <v>45774</v>
      </c>
      <c r="D1745" s="4">
        <f t="shared" ca="1" si="194"/>
        <v>25</v>
      </c>
      <c r="E1745" s="2">
        <f t="shared" ca="1" si="195"/>
        <v>10866</v>
      </c>
      <c r="F1745" s="2">
        <f t="shared" ca="1" si="196"/>
        <v>21255</v>
      </c>
      <c r="G1745" s="2">
        <f t="shared" ca="1" si="197"/>
        <v>486</v>
      </c>
    </row>
    <row r="1746" spans="1:7" x14ac:dyDescent="0.3">
      <c r="A1746" s="5" t="str">
        <f t="shared" si="191"/>
        <v>Nike</v>
      </c>
      <c r="B1746" s="5" t="str">
        <f t="shared" si="193"/>
        <v>Jordan 1</v>
      </c>
      <c r="C1746" s="3">
        <f t="shared" si="192"/>
        <v>45774</v>
      </c>
      <c r="D1746" s="4">
        <f t="shared" ca="1" si="194"/>
        <v>58</v>
      </c>
      <c r="E1746" s="2">
        <f t="shared" ca="1" si="195"/>
        <v>11612</v>
      </c>
      <c r="F1746" s="2">
        <f t="shared" ca="1" si="196"/>
        <v>14685</v>
      </c>
      <c r="G1746" s="2">
        <f t="shared" ca="1" si="197"/>
        <v>643</v>
      </c>
    </row>
    <row r="1747" spans="1:7" x14ac:dyDescent="0.3">
      <c r="A1747" s="5" t="str">
        <f t="shared" si="191"/>
        <v>Adidas</v>
      </c>
      <c r="B1747" s="5" t="str">
        <f t="shared" si="193"/>
        <v>Ultraboost 23</v>
      </c>
      <c r="C1747" s="3">
        <f t="shared" si="192"/>
        <v>45774</v>
      </c>
      <c r="D1747" s="4">
        <f t="shared" ca="1" si="194"/>
        <v>40</v>
      </c>
      <c r="E1747" s="2">
        <f t="shared" ca="1" si="195"/>
        <v>3573</v>
      </c>
      <c r="F1747" s="2">
        <f t="shared" ca="1" si="196"/>
        <v>24939</v>
      </c>
      <c r="G1747" s="2">
        <f t="shared" ca="1" si="197"/>
        <v>1383</v>
      </c>
    </row>
    <row r="1748" spans="1:7" x14ac:dyDescent="0.3">
      <c r="A1748" s="5" t="str">
        <f t="shared" si="191"/>
        <v>Puma</v>
      </c>
      <c r="B1748" s="5" t="str">
        <f t="shared" si="193"/>
        <v>RS-X</v>
      </c>
      <c r="C1748" s="3">
        <f t="shared" si="192"/>
        <v>45774</v>
      </c>
      <c r="D1748" s="4">
        <f t="shared" ca="1" si="194"/>
        <v>146</v>
      </c>
      <c r="E1748" s="2">
        <f t="shared" ca="1" si="195"/>
        <v>10738</v>
      </c>
      <c r="F1748" s="2">
        <f t="shared" ca="1" si="196"/>
        <v>25862</v>
      </c>
      <c r="G1748" s="2">
        <f t="shared" ca="1" si="197"/>
        <v>678</v>
      </c>
    </row>
    <row r="1749" spans="1:7" x14ac:dyDescent="0.3">
      <c r="A1749" s="5" t="str">
        <f t="shared" si="191"/>
        <v>New Balance</v>
      </c>
      <c r="B1749" s="5" t="str">
        <f t="shared" si="193"/>
        <v>2002R</v>
      </c>
      <c r="C1749" s="3">
        <f t="shared" si="192"/>
        <v>45774</v>
      </c>
      <c r="D1749" s="4">
        <f t="shared" ca="1" si="194"/>
        <v>40</v>
      </c>
      <c r="E1749" s="2">
        <f t="shared" ca="1" si="195"/>
        <v>7071</v>
      </c>
      <c r="F1749" s="2">
        <f t="shared" ca="1" si="196"/>
        <v>18096</v>
      </c>
      <c r="G1749" s="2">
        <f t="shared" ca="1" si="197"/>
        <v>777</v>
      </c>
    </row>
    <row r="1750" spans="1:7" x14ac:dyDescent="0.3">
      <c r="A1750" s="5" t="str">
        <f t="shared" si="191"/>
        <v>Reebok</v>
      </c>
      <c r="B1750" s="5" t="str">
        <f t="shared" si="193"/>
        <v>Instapump Fury</v>
      </c>
      <c r="C1750" s="3">
        <f t="shared" si="192"/>
        <v>45774</v>
      </c>
      <c r="D1750" s="4">
        <f t="shared" ca="1" si="194"/>
        <v>71</v>
      </c>
      <c r="E1750" s="2">
        <f t="shared" ca="1" si="195"/>
        <v>2330</v>
      </c>
      <c r="F1750" s="2">
        <f t="shared" ca="1" si="196"/>
        <v>19050</v>
      </c>
      <c r="G1750" s="2">
        <f t="shared" ca="1" si="197"/>
        <v>960</v>
      </c>
    </row>
    <row r="1751" spans="1:7" x14ac:dyDescent="0.3">
      <c r="A1751" s="5" t="str">
        <f t="shared" si="191"/>
        <v>Nike</v>
      </c>
      <c r="B1751" s="5" t="str">
        <f t="shared" si="193"/>
        <v>Cortez</v>
      </c>
      <c r="C1751" s="3">
        <f t="shared" si="192"/>
        <v>45774</v>
      </c>
      <c r="D1751" s="4">
        <f t="shared" ca="1" si="194"/>
        <v>157</v>
      </c>
      <c r="E1751" s="2">
        <f t="shared" ca="1" si="195"/>
        <v>1776</v>
      </c>
      <c r="F1751" s="2">
        <f t="shared" ca="1" si="196"/>
        <v>33511</v>
      </c>
      <c r="G1751" s="2">
        <f t="shared" ca="1" si="197"/>
        <v>1170</v>
      </c>
    </row>
    <row r="1752" spans="1:7" x14ac:dyDescent="0.3">
      <c r="A1752" s="5" t="str">
        <f t="shared" si="191"/>
        <v>Adidas</v>
      </c>
      <c r="B1752" s="5" t="str">
        <f t="shared" si="193"/>
        <v>NMD S1</v>
      </c>
      <c r="C1752" s="3">
        <f t="shared" si="192"/>
        <v>45774</v>
      </c>
      <c r="D1752" s="4">
        <f t="shared" ca="1" si="194"/>
        <v>60</v>
      </c>
      <c r="E1752" s="2">
        <f t="shared" ca="1" si="195"/>
        <v>10444</v>
      </c>
      <c r="F1752" s="2">
        <f t="shared" ca="1" si="196"/>
        <v>20981</v>
      </c>
      <c r="G1752" s="2">
        <f t="shared" ca="1" si="197"/>
        <v>464</v>
      </c>
    </row>
    <row r="1753" spans="1:7" x14ac:dyDescent="0.3">
      <c r="A1753" s="5" t="str">
        <f t="shared" si="191"/>
        <v>Puma</v>
      </c>
      <c r="B1753" s="5" t="str">
        <f t="shared" si="193"/>
        <v>Suede Classic</v>
      </c>
      <c r="C1753" s="3">
        <f t="shared" si="192"/>
        <v>45774</v>
      </c>
      <c r="D1753" s="4">
        <f t="shared" ca="1" si="194"/>
        <v>57</v>
      </c>
      <c r="E1753" s="2">
        <f t="shared" ca="1" si="195"/>
        <v>9443</v>
      </c>
      <c r="F1753" s="2">
        <f t="shared" ca="1" si="196"/>
        <v>6215</v>
      </c>
      <c r="G1753" s="2">
        <f t="shared" ca="1" si="197"/>
        <v>133</v>
      </c>
    </row>
    <row r="1754" spans="1:7" x14ac:dyDescent="0.3">
      <c r="A1754" s="5" t="str">
        <f t="shared" si="191"/>
        <v>New Balance</v>
      </c>
      <c r="B1754" s="5" t="str">
        <f t="shared" si="193"/>
        <v>990v6</v>
      </c>
      <c r="C1754" s="3">
        <f t="shared" si="192"/>
        <v>45774</v>
      </c>
      <c r="D1754" s="4">
        <f t="shared" ca="1" si="194"/>
        <v>58</v>
      </c>
      <c r="E1754" s="2">
        <f t="shared" ca="1" si="195"/>
        <v>3592</v>
      </c>
      <c r="F1754" s="2">
        <f t="shared" ca="1" si="196"/>
        <v>10978</v>
      </c>
      <c r="G1754" s="2">
        <f t="shared" ca="1" si="197"/>
        <v>559</v>
      </c>
    </row>
    <row r="1755" spans="1:7" x14ac:dyDescent="0.3">
      <c r="A1755" s="5" t="str">
        <f t="shared" si="191"/>
        <v>Reebok</v>
      </c>
      <c r="B1755" s="5" t="str">
        <f t="shared" si="193"/>
        <v>Nano X3</v>
      </c>
      <c r="C1755" s="3">
        <f t="shared" si="192"/>
        <v>45774</v>
      </c>
      <c r="D1755" s="4">
        <f t="shared" ca="1" si="194"/>
        <v>69</v>
      </c>
      <c r="E1755" s="2">
        <f t="shared" ca="1" si="195"/>
        <v>6298</v>
      </c>
      <c r="F1755" s="2">
        <f t="shared" ca="1" si="196"/>
        <v>10696</v>
      </c>
      <c r="G1755" s="2">
        <f t="shared" ca="1" si="197"/>
        <v>314</v>
      </c>
    </row>
    <row r="1756" spans="1:7" x14ac:dyDescent="0.3">
      <c r="A1756" s="5" t="str">
        <f t="shared" si="191"/>
        <v>Nike</v>
      </c>
      <c r="B1756" s="5" t="str">
        <f t="shared" si="193"/>
        <v>Vaporfly 3</v>
      </c>
      <c r="C1756" s="3">
        <f t="shared" si="192"/>
        <v>45774</v>
      </c>
      <c r="D1756" s="4">
        <f t="shared" ca="1" si="194"/>
        <v>129</v>
      </c>
      <c r="E1756" s="2">
        <f t="shared" ca="1" si="195"/>
        <v>2812</v>
      </c>
      <c r="F1756" s="2">
        <f t="shared" ca="1" si="196"/>
        <v>20828</v>
      </c>
      <c r="G1756" s="2">
        <f t="shared" ca="1" si="197"/>
        <v>973</v>
      </c>
    </row>
    <row r="1757" spans="1:7" x14ac:dyDescent="0.3">
      <c r="A1757" s="5" t="str">
        <f t="shared" si="191"/>
        <v>Adidas</v>
      </c>
      <c r="B1757" s="5" t="str">
        <f t="shared" si="193"/>
        <v>Samba</v>
      </c>
      <c r="C1757" s="3">
        <f t="shared" si="192"/>
        <v>45775</v>
      </c>
      <c r="D1757" s="4">
        <f t="shared" ca="1" si="194"/>
        <v>39</v>
      </c>
      <c r="E1757" s="2">
        <f t="shared" ca="1" si="195"/>
        <v>11090</v>
      </c>
      <c r="F1757" s="2">
        <f t="shared" ca="1" si="196"/>
        <v>19473</v>
      </c>
      <c r="G1757" s="2">
        <f t="shared" ca="1" si="197"/>
        <v>548</v>
      </c>
    </row>
    <row r="1758" spans="1:7" x14ac:dyDescent="0.3">
      <c r="A1758" s="5" t="str">
        <f t="shared" si="191"/>
        <v>Puma</v>
      </c>
      <c r="B1758" s="5" t="str">
        <f t="shared" si="193"/>
        <v>Mayze</v>
      </c>
      <c r="C1758" s="3">
        <f t="shared" si="192"/>
        <v>45775</v>
      </c>
      <c r="D1758" s="4">
        <f t="shared" ca="1" si="194"/>
        <v>42</v>
      </c>
      <c r="E1758" s="2">
        <f t="shared" ca="1" si="195"/>
        <v>11921</v>
      </c>
      <c r="F1758" s="2">
        <f t="shared" ca="1" si="196"/>
        <v>28398</v>
      </c>
      <c r="G1758" s="2">
        <f t="shared" ca="1" si="197"/>
        <v>1026</v>
      </c>
    </row>
    <row r="1759" spans="1:7" x14ac:dyDescent="0.3">
      <c r="A1759" s="5" t="str">
        <f t="shared" si="191"/>
        <v>New Balance</v>
      </c>
      <c r="B1759" s="5" t="str">
        <f t="shared" si="193"/>
        <v>574 Core</v>
      </c>
      <c r="C1759" s="3">
        <f t="shared" si="192"/>
        <v>45775</v>
      </c>
      <c r="D1759" s="4">
        <f t="shared" ca="1" si="194"/>
        <v>24</v>
      </c>
      <c r="E1759" s="2">
        <f t="shared" ca="1" si="195"/>
        <v>3780</v>
      </c>
      <c r="F1759" s="2">
        <f t="shared" ca="1" si="196"/>
        <v>24682</v>
      </c>
      <c r="G1759" s="2">
        <f t="shared" ca="1" si="197"/>
        <v>1217</v>
      </c>
    </row>
    <row r="1760" spans="1:7" x14ac:dyDescent="0.3">
      <c r="A1760" s="5" t="str">
        <f t="shared" si="191"/>
        <v>Reebok</v>
      </c>
      <c r="B1760" s="5" t="str">
        <f t="shared" si="193"/>
        <v>Club C 85</v>
      </c>
      <c r="C1760" s="3">
        <f t="shared" si="192"/>
        <v>45775</v>
      </c>
      <c r="D1760" s="4">
        <f t="shared" ca="1" si="194"/>
        <v>57</v>
      </c>
      <c r="E1760" s="2">
        <f t="shared" ca="1" si="195"/>
        <v>6700</v>
      </c>
      <c r="F1760" s="2">
        <f t="shared" ca="1" si="196"/>
        <v>5986</v>
      </c>
      <c r="G1760" s="2">
        <f t="shared" ca="1" si="197"/>
        <v>224</v>
      </c>
    </row>
    <row r="1761" spans="1:7" x14ac:dyDescent="0.3">
      <c r="A1761" s="5" t="str">
        <f t="shared" si="191"/>
        <v>Nike</v>
      </c>
      <c r="B1761" s="5" t="str">
        <f t="shared" si="193"/>
        <v>Pegasus 40</v>
      </c>
      <c r="C1761" s="3">
        <f t="shared" si="192"/>
        <v>45775</v>
      </c>
      <c r="D1761" s="4">
        <f t="shared" ca="1" si="194"/>
        <v>30</v>
      </c>
      <c r="E1761" s="2">
        <f t="shared" ca="1" si="195"/>
        <v>9814</v>
      </c>
      <c r="F1761" s="2">
        <f t="shared" ca="1" si="196"/>
        <v>26059</v>
      </c>
      <c r="G1761" s="2">
        <f t="shared" ca="1" si="197"/>
        <v>1944</v>
      </c>
    </row>
    <row r="1762" spans="1:7" x14ac:dyDescent="0.3">
      <c r="A1762" s="5" t="str">
        <f t="shared" si="191"/>
        <v>Adidas</v>
      </c>
      <c r="B1762" s="5" t="str">
        <f t="shared" si="193"/>
        <v>Gazelle</v>
      </c>
      <c r="C1762" s="3">
        <f t="shared" si="192"/>
        <v>45775</v>
      </c>
      <c r="D1762" s="4">
        <f t="shared" ca="1" si="194"/>
        <v>154</v>
      </c>
      <c r="E1762" s="2">
        <f t="shared" ca="1" si="195"/>
        <v>8634</v>
      </c>
      <c r="F1762" s="2">
        <f t="shared" ca="1" si="196"/>
        <v>15459</v>
      </c>
      <c r="G1762" s="2">
        <f t="shared" ca="1" si="197"/>
        <v>1098</v>
      </c>
    </row>
    <row r="1763" spans="1:7" x14ac:dyDescent="0.3">
      <c r="A1763" s="5" t="str">
        <f t="shared" si="191"/>
        <v>Puma</v>
      </c>
      <c r="B1763" s="5" t="str">
        <f t="shared" si="193"/>
        <v>Slipstream</v>
      </c>
      <c r="C1763" s="3">
        <f t="shared" si="192"/>
        <v>45775</v>
      </c>
      <c r="D1763" s="4">
        <f t="shared" ca="1" si="194"/>
        <v>121</v>
      </c>
      <c r="E1763" s="2">
        <f t="shared" ca="1" si="195"/>
        <v>10353</v>
      </c>
      <c r="F1763" s="2">
        <f t="shared" ca="1" si="196"/>
        <v>22495</v>
      </c>
      <c r="G1763" s="2">
        <f t="shared" ca="1" si="197"/>
        <v>1176</v>
      </c>
    </row>
    <row r="1764" spans="1:7" x14ac:dyDescent="0.3">
      <c r="A1764" s="5" t="str">
        <f t="shared" si="191"/>
        <v>New Balance</v>
      </c>
      <c r="B1764" s="5" t="str">
        <f t="shared" si="193"/>
        <v>550</v>
      </c>
      <c r="C1764" s="3">
        <f t="shared" si="192"/>
        <v>45775</v>
      </c>
      <c r="D1764" s="4">
        <f t="shared" ca="1" si="194"/>
        <v>118</v>
      </c>
      <c r="E1764" s="2">
        <f t="shared" ca="1" si="195"/>
        <v>2735</v>
      </c>
      <c r="F1764" s="2">
        <f t="shared" ca="1" si="196"/>
        <v>12428</v>
      </c>
      <c r="G1764" s="2">
        <f t="shared" ca="1" si="197"/>
        <v>260</v>
      </c>
    </row>
    <row r="1765" spans="1:7" x14ac:dyDescent="0.3">
      <c r="A1765" s="5" t="str">
        <f t="shared" si="191"/>
        <v>Reebok</v>
      </c>
      <c r="B1765" s="5" t="str">
        <f t="shared" si="193"/>
        <v>Classic Leather</v>
      </c>
      <c r="C1765" s="3">
        <f t="shared" si="192"/>
        <v>45775</v>
      </c>
      <c r="D1765" s="4">
        <f t="shared" ca="1" si="194"/>
        <v>138</v>
      </c>
      <c r="E1765" s="2">
        <f t="shared" ca="1" si="195"/>
        <v>6879</v>
      </c>
      <c r="F1765" s="2">
        <f t="shared" ca="1" si="196"/>
        <v>26035</v>
      </c>
      <c r="G1765" s="2">
        <f t="shared" ca="1" si="197"/>
        <v>1491</v>
      </c>
    </row>
    <row r="1766" spans="1:7" x14ac:dyDescent="0.3">
      <c r="A1766" s="5" t="str">
        <f t="shared" si="191"/>
        <v>Nike</v>
      </c>
      <c r="B1766" s="5" t="str">
        <f t="shared" si="193"/>
        <v>Air Force 1</v>
      </c>
      <c r="C1766" s="3">
        <f t="shared" si="192"/>
        <v>45775</v>
      </c>
      <c r="D1766" s="4">
        <f t="shared" ca="1" si="194"/>
        <v>20</v>
      </c>
      <c r="E1766" s="2">
        <f t="shared" ca="1" si="195"/>
        <v>11566</v>
      </c>
      <c r="F1766" s="2">
        <f t="shared" ca="1" si="196"/>
        <v>23621</v>
      </c>
      <c r="G1766" s="2">
        <f t="shared" ca="1" si="197"/>
        <v>558</v>
      </c>
    </row>
    <row r="1767" spans="1:7" x14ac:dyDescent="0.3">
      <c r="A1767" s="5" t="str">
        <f t="shared" si="191"/>
        <v>Adidas</v>
      </c>
      <c r="B1767" s="5" t="str">
        <f t="shared" si="193"/>
        <v>Superstar</v>
      </c>
      <c r="C1767" s="3">
        <f t="shared" si="192"/>
        <v>45775</v>
      </c>
      <c r="D1767" s="4">
        <f t="shared" ca="1" si="194"/>
        <v>27</v>
      </c>
      <c r="E1767" s="2">
        <f t="shared" ca="1" si="195"/>
        <v>5736</v>
      </c>
      <c r="F1767" s="2">
        <f t="shared" ca="1" si="196"/>
        <v>17104</v>
      </c>
      <c r="G1767" s="2">
        <f t="shared" ca="1" si="197"/>
        <v>731</v>
      </c>
    </row>
    <row r="1768" spans="1:7" x14ac:dyDescent="0.3">
      <c r="A1768" s="5" t="str">
        <f t="shared" si="191"/>
        <v>Puma</v>
      </c>
      <c r="B1768" s="5" t="str">
        <f t="shared" si="193"/>
        <v>Rider Vintage</v>
      </c>
      <c r="C1768" s="3">
        <f t="shared" si="192"/>
        <v>45775</v>
      </c>
      <c r="D1768" s="4">
        <f t="shared" ca="1" si="194"/>
        <v>56</v>
      </c>
      <c r="E1768" s="2">
        <f t="shared" ca="1" si="195"/>
        <v>2585</v>
      </c>
      <c r="F1768" s="2">
        <f t="shared" ca="1" si="196"/>
        <v>33960</v>
      </c>
      <c r="G1768" s="2">
        <f t="shared" ca="1" si="197"/>
        <v>1727</v>
      </c>
    </row>
    <row r="1769" spans="1:7" x14ac:dyDescent="0.3">
      <c r="A1769" s="5" t="str">
        <f t="shared" si="191"/>
        <v>New Balance</v>
      </c>
      <c r="B1769" s="5" t="str">
        <f t="shared" si="193"/>
        <v>327</v>
      </c>
      <c r="C1769" s="3">
        <f t="shared" si="192"/>
        <v>45775</v>
      </c>
      <c r="D1769" s="4">
        <f t="shared" ca="1" si="194"/>
        <v>92</v>
      </c>
      <c r="E1769" s="2">
        <f t="shared" ca="1" si="195"/>
        <v>10468</v>
      </c>
      <c r="F1769" s="2">
        <f t="shared" ca="1" si="196"/>
        <v>22846</v>
      </c>
      <c r="G1769" s="2">
        <f t="shared" ca="1" si="197"/>
        <v>548</v>
      </c>
    </row>
    <row r="1770" spans="1:7" x14ac:dyDescent="0.3">
      <c r="A1770" s="5" t="str">
        <f t="shared" si="191"/>
        <v>Reebok</v>
      </c>
      <c r="B1770" s="5" t="str">
        <f t="shared" si="193"/>
        <v>Question Mid</v>
      </c>
      <c r="C1770" s="3">
        <f t="shared" si="192"/>
        <v>45775</v>
      </c>
      <c r="D1770" s="4">
        <f t="shared" ca="1" si="194"/>
        <v>25</v>
      </c>
      <c r="E1770" s="2">
        <f t="shared" ca="1" si="195"/>
        <v>11632</v>
      </c>
      <c r="F1770" s="2">
        <f t="shared" ca="1" si="196"/>
        <v>30334</v>
      </c>
      <c r="G1770" s="2">
        <f t="shared" ca="1" si="197"/>
        <v>1463</v>
      </c>
    </row>
    <row r="1771" spans="1:7" x14ac:dyDescent="0.3">
      <c r="A1771" s="5" t="str">
        <f t="shared" ref="A1771:A1834" si="198">CHOOSE(MOD(ROW(A1770),5)+1,"Nike","Adidas","Puma","New Balance","Reebok")</f>
        <v>Nike</v>
      </c>
      <c r="B1771" s="5" t="str">
        <f t="shared" si="193"/>
        <v>Air Max 270</v>
      </c>
      <c r="C1771" s="3">
        <f t="shared" ref="C1771:C1834" si="199">DATE(2025,1,1)+INT((ROW(A1771)-2)/15)</f>
        <v>45775</v>
      </c>
      <c r="D1771" s="4">
        <f t="shared" ca="1" si="194"/>
        <v>50</v>
      </c>
      <c r="E1771" s="2">
        <f t="shared" ca="1" si="195"/>
        <v>7471</v>
      </c>
      <c r="F1771" s="2">
        <f t="shared" ca="1" si="196"/>
        <v>19854</v>
      </c>
      <c r="G1771" s="2">
        <f t="shared" ca="1" si="197"/>
        <v>1080</v>
      </c>
    </row>
    <row r="1772" spans="1:7" x14ac:dyDescent="0.3">
      <c r="A1772" s="5" t="str">
        <f t="shared" si="198"/>
        <v>Adidas</v>
      </c>
      <c r="B1772" s="5" t="str">
        <f t="shared" si="193"/>
        <v>Stan Smith</v>
      </c>
      <c r="C1772" s="3">
        <f t="shared" si="199"/>
        <v>45776</v>
      </c>
      <c r="D1772" s="4">
        <f t="shared" ca="1" si="194"/>
        <v>174</v>
      </c>
      <c r="E1772" s="2">
        <f t="shared" ca="1" si="195"/>
        <v>2677</v>
      </c>
      <c r="F1772" s="2">
        <f t="shared" ca="1" si="196"/>
        <v>19217</v>
      </c>
      <c r="G1772" s="2">
        <f t="shared" ca="1" si="197"/>
        <v>450</v>
      </c>
    </row>
    <row r="1773" spans="1:7" x14ac:dyDescent="0.3">
      <c r="A1773" s="5" t="str">
        <f t="shared" si="198"/>
        <v>Puma</v>
      </c>
      <c r="B1773" s="5" t="str">
        <f t="shared" si="193"/>
        <v>Cali Dream</v>
      </c>
      <c r="C1773" s="3">
        <f t="shared" si="199"/>
        <v>45776</v>
      </c>
      <c r="D1773" s="4">
        <f t="shared" ca="1" si="194"/>
        <v>90</v>
      </c>
      <c r="E1773" s="2">
        <f t="shared" ca="1" si="195"/>
        <v>5177</v>
      </c>
      <c r="F1773" s="2">
        <f t="shared" ca="1" si="196"/>
        <v>22164</v>
      </c>
      <c r="G1773" s="2">
        <f t="shared" ca="1" si="197"/>
        <v>777</v>
      </c>
    </row>
    <row r="1774" spans="1:7" x14ac:dyDescent="0.3">
      <c r="A1774" s="5" t="str">
        <f t="shared" si="198"/>
        <v>New Balance</v>
      </c>
      <c r="B1774" s="5" t="str">
        <f t="shared" si="193"/>
        <v>9060</v>
      </c>
      <c r="C1774" s="3">
        <f t="shared" si="199"/>
        <v>45776</v>
      </c>
      <c r="D1774" s="4">
        <f t="shared" ca="1" si="194"/>
        <v>237</v>
      </c>
      <c r="E1774" s="2">
        <f t="shared" ca="1" si="195"/>
        <v>10802</v>
      </c>
      <c r="F1774" s="2">
        <f t="shared" ca="1" si="196"/>
        <v>13200</v>
      </c>
      <c r="G1774" s="2">
        <f t="shared" ca="1" si="197"/>
        <v>776</v>
      </c>
    </row>
    <row r="1775" spans="1:7" x14ac:dyDescent="0.3">
      <c r="A1775" s="5" t="str">
        <f t="shared" si="198"/>
        <v>Reebok</v>
      </c>
      <c r="B1775" s="5" t="str">
        <f t="shared" si="193"/>
        <v>Zig Kinetica</v>
      </c>
      <c r="C1775" s="3">
        <f t="shared" si="199"/>
        <v>45776</v>
      </c>
      <c r="D1775" s="4">
        <f t="shared" ca="1" si="194"/>
        <v>183</v>
      </c>
      <c r="E1775" s="2">
        <f t="shared" ca="1" si="195"/>
        <v>10248</v>
      </c>
      <c r="F1775" s="2">
        <f t="shared" ca="1" si="196"/>
        <v>12159</v>
      </c>
      <c r="G1775" s="2">
        <f t="shared" ca="1" si="197"/>
        <v>560</v>
      </c>
    </row>
    <row r="1776" spans="1:7" x14ac:dyDescent="0.3">
      <c r="A1776" s="5" t="str">
        <f t="shared" si="198"/>
        <v>Nike</v>
      </c>
      <c r="B1776" s="5" t="str">
        <f t="shared" si="193"/>
        <v>Jordan 1</v>
      </c>
      <c r="C1776" s="3">
        <f t="shared" si="199"/>
        <v>45776</v>
      </c>
      <c r="D1776" s="4">
        <f t="shared" ca="1" si="194"/>
        <v>107</v>
      </c>
      <c r="E1776" s="2">
        <f t="shared" ca="1" si="195"/>
        <v>2591</v>
      </c>
      <c r="F1776" s="2">
        <f t="shared" ca="1" si="196"/>
        <v>20873</v>
      </c>
      <c r="G1776" s="2">
        <f t="shared" ca="1" si="197"/>
        <v>484</v>
      </c>
    </row>
    <row r="1777" spans="1:7" x14ac:dyDescent="0.3">
      <c r="A1777" s="5" t="str">
        <f t="shared" si="198"/>
        <v>Adidas</v>
      </c>
      <c r="B1777" s="5" t="str">
        <f t="shared" si="193"/>
        <v>Ultraboost 23</v>
      </c>
      <c r="C1777" s="3">
        <f t="shared" si="199"/>
        <v>45776</v>
      </c>
      <c r="D1777" s="4">
        <f t="shared" ca="1" si="194"/>
        <v>190</v>
      </c>
      <c r="E1777" s="2">
        <f t="shared" ca="1" si="195"/>
        <v>1551</v>
      </c>
      <c r="F1777" s="2">
        <f t="shared" ca="1" si="196"/>
        <v>23107</v>
      </c>
      <c r="G1777" s="2">
        <f t="shared" ca="1" si="197"/>
        <v>984</v>
      </c>
    </row>
    <row r="1778" spans="1:7" x14ac:dyDescent="0.3">
      <c r="A1778" s="5" t="str">
        <f t="shared" si="198"/>
        <v>Puma</v>
      </c>
      <c r="B1778" s="5" t="str">
        <f t="shared" si="193"/>
        <v>RS-X</v>
      </c>
      <c r="C1778" s="3">
        <f t="shared" si="199"/>
        <v>45776</v>
      </c>
      <c r="D1778" s="4">
        <f t="shared" ca="1" si="194"/>
        <v>76</v>
      </c>
      <c r="E1778" s="2">
        <f t="shared" ca="1" si="195"/>
        <v>10923</v>
      </c>
      <c r="F1778" s="2">
        <f t="shared" ca="1" si="196"/>
        <v>24641</v>
      </c>
      <c r="G1778" s="2">
        <f t="shared" ca="1" si="197"/>
        <v>1179</v>
      </c>
    </row>
    <row r="1779" spans="1:7" x14ac:dyDescent="0.3">
      <c r="A1779" s="5" t="str">
        <f t="shared" si="198"/>
        <v>New Balance</v>
      </c>
      <c r="B1779" s="5" t="str">
        <f t="shared" si="193"/>
        <v>2002R</v>
      </c>
      <c r="C1779" s="3">
        <f t="shared" si="199"/>
        <v>45776</v>
      </c>
      <c r="D1779" s="4">
        <f t="shared" ca="1" si="194"/>
        <v>96</v>
      </c>
      <c r="E1779" s="2">
        <f t="shared" ca="1" si="195"/>
        <v>9768</v>
      </c>
      <c r="F1779" s="2">
        <f t="shared" ca="1" si="196"/>
        <v>14023</v>
      </c>
      <c r="G1779" s="2">
        <f t="shared" ca="1" si="197"/>
        <v>904</v>
      </c>
    </row>
    <row r="1780" spans="1:7" x14ac:dyDescent="0.3">
      <c r="A1780" s="5" t="str">
        <f t="shared" si="198"/>
        <v>Reebok</v>
      </c>
      <c r="B1780" s="5" t="str">
        <f t="shared" si="193"/>
        <v>Instapump Fury</v>
      </c>
      <c r="C1780" s="3">
        <f t="shared" si="199"/>
        <v>45776</v>
      </c>
      <c r="D1780" s="4">
        <f t="shared" ca="1" si="194"/>
        <v>69</v>
      </c>
      <c r="E1780" s="2">
        <f t="shared" ca="1" si="195"/>
        <v>3264</v>
      </c>
      <c r="F1780" s="2">
        <f t="shared" ca="1" si="196"/>
        <v>12481</v>
      </c>
      <c r="G1780" s="2">
        <f t="shared" ca="1" si="197"/>
        <v>703</v>
      </c>
    </row>
    <row r="1781" spans="1:7" x14ac:dyDescent="0.3">
      <c r="A1781" s="5" t="str">
        <f t="shared" si="198"/>
        <v>Nike</v>
      </c>
      <c r="B1781" s="5" t="str">
        <f t="shared" si="193"/>
        <v>Cortez</v>
      </c>
      <c r="C1781" s="3">
        <f t="shared" si="199"/>
        <v>45776</v>
      </c>
      <c r="D1781" s="4">
        <f t="shared" ca="1" si="194"/>
        <v>56</v>
      </c>
      <c r="E1781" s="2">
        <f t="shared" ca="1" si="195"/>
        <v>8090</v>
      </c>
      <c r="F1781" s="2">
        <f t="shared" ca="1" si="196"/>
        <v>13357</v>
      </c>
      <c r="G1781" s="2">
        <f t="shared" ca="1" si="197"/>
        <v>574</v>
      </c>
    </row>
    <row r="1782" spans="1:7" x14ac:dyDescent="0.3">
      <c r="A1782" s="5" t="str">
        <f t="shared" si="198"/>
        <v>Adidas</v>
      </c>
      <c r="B1782" s="5" t="str">
        <f t="shared" si="193"/>
        <v>NMD S1</v>
      </c>
      <c r="C1782" s="3">
        <f t="shared" si="199"/>
        <v>45776</v>
      </c>
      <c r="D1782" s="4">
        <f t="shared" ca="1" si="194"/>
        <v>83</v>
      </c>
      <c r="E1782" s="2">
        <f t="shared" ca="1" si="195"/>
        <v>7349</v>
      </c>
      <c r="F1782" s="2">
        <f t="shared" ca="1" si="196"/>
        <v>27532</v>
      </c>
      <c r="G1782" s="2">
        <f t="shared" ca="1" si="197"/>
        <v>1532</v>
      </c>
    </row>
    <row r="1783" spans="1:7" x14ac:dyDescent="0.3">
      <c r="A1783" s="5" t="str">
        <f t="shared" si="198"/>
        <v>Puma</v>
      </c>
      <c r="B1783" s="5" t="str">
        <f t="shared" si="193"/>
        <v>Suede Classic</v>
      </c>
      <c r="C1783" s="3">
        <f t="shared" si="199"/>
        <v>45776</v>
      </c>
      <c r="D1783" s="4">
        <f t="shared" ca="1" si="194"/>
        <v>129</v>
      </c>
      <c r="E1783" s="2">
        <f t="shared" ca="1" si="195"/>
        <v>5687</v>
      </c>
      <c r="F1783" s="2">
        <f t="shared" ca="1" si="196"/>
        <v>28432</v>
      </c>
      <c r="G1783" s="2">
        <f t="shared" ca="1" si="197"/>
        <v>1654</v>
      </c>
    </row>
    <row r="1784" spans="1:7" x14ac:dyDescent="0.3">
      <c r="A1784" s="5" t="str">
        <f t="shared" si="198"/>
        <v>New Balance</v>
      </c>
      <c r="B1784" s="5" t="str">
        <f t="shared" si="193"/>
        <v>990v6</v>
      </c>
      <c r="C1784" s="3">
        <f t="shared" si="199"/>
        <v>45776</v>
      </c>
      <c r="D1784" s="4">
        <f t="shared" ca="1" si="194"/>
        <v>142</v>
      </c>
      <c r="E1784" s="2">
        <f t="shared" ca="1" si="195"/>
        <v>6596</v>
      </c>
      <c r="F1784" s="2">
        <f t="shared" ca="1" si="196"/>
        <v>15288</v>
      </c>
      <c r="G1784" s="2">
        <f t="shared" ca="1" si="197"/>
        <v>1129</v>
      </c>
    </row>
    <row r="1785" spans="1:7" x14ac:dyDescent="0.3">
      <c r="A1785" s="5" t="str">
        <f t="shared" si="198"/>
        <v>Reebok</v>
      </c>
      <c r="B1785" s="5" t="str">
        <f t="shared" si="193"/>
        <v>Nano X3</v>
      </c>
      <c r="C1785" s="3">
        <f t="shared" si="199"/>
        <v>45776</v>
      </c>
      <c r="D1785" s="4">
        <f t="shared" ca="1" si="194"/>
        <v>117</v>
      </c>
      <c r="E1785" s="2">
        <f t="shared" ca="1" si="195"/>
        <v>8806</v>
      </c>
      <c r="F1785" s="2">
        <f t="shared" ca="1" si="196"/>
        <v>19738</v>
      </c>
      <c r="G1785" s="2">
        <f t="shared" ca="1" si="197"/>
        <v>651</v>
      </c>
    </row>
    <row r="1786" spans="1:7" x14ac:dyDescent="0.3">
      <c r="A1786" s="5" t="str">
        <f t="shared" si="198"/>
        <v>Nike</v>
      </c>
      <c r="B1786" s="5" t="str">
        <f t="shared" si="193"/>
        <v>Vaporfly 3</v>
      </c>
      <c r="C1786" s="3">
        <f t="shared" si="199"/>
        <v>45776</v>
      </c>
      <c r="D1786" s="4">
        <f t="shared" ca="1" si="194"/>
        <v>92</v>
      </c>
      <c r="E1786" s="2">
        <f t="shared" ca="1" si="195"/>
        <v>7270</v>
      </c>
      <c r="F1786" s="2">
        <f t="shared" ca="1" si="196"/>
        <v>11801</v>
      </c>
      <c r="G1786" s="2">
        <f t="shared" ca="1" si="197"/>
        <v>887</v>
      </c>
    </row>
    <row r="1787" spans="1:7" x14ac:dyDescent="0.3">
      <c r="A1787" s="5" t="str">
        <f t="shared" si="198"/>
        <v>Adidas</v>
      </c>
      <c r="B1787" s="5" t="str">
        <f t="shared" si="193"/>
        <v>Samba</v>
      </c>
      <c r="C1787" s="3">
        <f t="shared" si="199"/>
        <v>45777</v>
      </c>
      <c r="D1787" s="4">
        <f t="shared" ca="1" si="194"/>
        <v>187</v>
      </c>
      <c r="E1787" s="2">
        <f t="shared" ca="1" si="195"/>
        <v>11112</v>
      </c>
      <c r="F1787" s="2">
        <f t="shared" ca="1" si="196"/>
        <v>8664</v>
      </c>
      <c r="G1787" s="2">
        <f t="shared" ca="1" si="197"/>
        <v>253</v>
      </c>
    </row>
    <row r="1788" spans="1:7" x14ac:dyDescent="0.3">
      <c r="A1788" s="5" t="str">
        <f t="shared" si="198"/>
        <v>Puma</v>
      </c>
      <c r="B1788" s="5" t="str">
        <f t="shared" si="193"/>
        <v>Mayze</v>
      </c>
      <c r="C1788" s="3">
        <f t="shared" si="199"/>
        <v>45777</v>
      </c>
      <c r="D1788" s="4">
        <f t="shared" ca="1" si="194"/>
        <v>223</v>
      </c>
      <c r="E1788" s="2">
        <f t="shared" ca="1" si="195"/>
        <v>3936</v>
      </c>
      <c r="F1788" s="2">
        <f t="shared" ca="1" si="196"/>
        <v>7810</v>
      </c>
      <c r="G1788" s="2">
        <f t="shared" ca="1" si="197"/>
        <v>529</v>
      </c>
    </row>
    <row r="1789" spans="1:7" x14ac:dyDescent="0.3">
      <c r="A1789" s="5" t="str">
        <f t="shared" si="198"/>
        <v>New Balance</v>
      </c>
      <c r="B1789" s="5" t="str">
        <f t="shared" si="193"/>
        <v>574 Core</v>
      </c>
      <c r="C1789" s="3">
        <f t="shared" si="199"/>
        <v>45777</v>
      </c>
      <c r="D1789" s="4">
        <f t="shared" ca="1" si="194"/>
        <v>192</v>
      </c>
      <c r="E1789" s="2">
        <f t="shared" ca="1" si="195"/>
        <v>3804</v>
      </c>
      <c r="F1789" s="2">
        <f t="shared" ca="1" si="196"/>
        <v>14077</v>
      </c>
      <c r="G1789" s="2">
        <f t="shared" ca="1" si="197"/>
        <v>862</v>
      </c>
    </row>
    <row r="1790" spans="1:7" x14ac:dyDescent="0.3">
      <c r="A1790" s="5" t="str">
        <f t="shared" si="198"/>
        <v>Reebok</v>
      </c>
      <c r="B1790" s="5" t="str">
        <f t="shared" si="193"/>
        <v>Club C 85</v>
      </c>
      <c r="C1790" s="3">
        <f t="shared" si="199"/>
        <v>45777</v>
      </c>
      <c r="D1790" s="4">
        <f t="shared" ca="1" si="194"/>
        <v>175</v>
      </c>
      <c r="E1790" s="2">
        <f t="shared" ca="1" si="195"/>
        <v>8997</v>
      </c>
      <c r="F1790" s="2">
        <f t="shared" ca="1" si="196"/>
        <v>20210</v>
      </c>
      <c r="G1790" s="2">
        <f t="shared" ca="1" si="197"/>
        <v>1577</v>
      </c>
    </row>
    <row r="1791" spans="1:7" x14ac:dyDescent="0.3">
      <c r="A1791" s="5" t="str">
        <f t="shared" si="198"/>
        <v>Nike</v>
      </c>
      <c r="B1791" s="5" t="str">
        <f t="shared" si="193"/>
        <v>Pegasus 40</v>
      </c>
      <c r="C1791" s="3">
        <f t="shared" si="199"/>
        <v>45777</v>
      </c>
      <c r="D1791" s="4">
        <f t="shared" ca="1" si="194"/>
        <v>228</v>
      </c>
      <c r="E1791" s="2">
        <f t="shared" ca="1" si="195"/>
        <v>6414</v>
      </c>
      <c r="F1791" s="2">
        <f t="shared" ca="1" si="196"/>
        <v>9371</v>
      </c>
      <c r="G1791" s="2">
        <f t="shared" ca="1" si="197"/>
        <v>411</v>
      </c>
    </row>
    <row r="1792" spans="1:7" x14ac:dyDescent="0.3">
      <c r="A1792" s="5" t="str">
        <f t="shared" si="198"/>
        <v>Adidas</v>
      </c>
      <c r="B1792" s="5" t="str">
        <f t="shared" si="193"/>
        <v>Gazelle</v>
      </c>
      <c r="C1792" s="3">
        <f t="shared" si="199"/>
        <v>45777</v>
      </c>
      <c r="D1792" s="4">
        <f t="shared" ca="1" si="194"/>
        <v>58</v>
      </c>
      <c r="E1792" s="2">
        <f t="shared" ca="1" si="195"/>
        <v>2352</v>
      </c>
      <c r="F1792" s="2">
        <f t="shared" ca="1" si="196"/>
        <v>33876</v>
      </c>
      <c r="G1792" s="2">
        <f t="shared" ca="1" si="197"/>
        <v>2442</v>
      </c>
    </row>
    <row r="1793" spans="1:7" x14ac:dyDescent="0.3">
      <c r="A1793" s="5" t="str">
        <f t="shared" si="198"/>
        <v>Puma</v>
      </c>
      <c r="B1793" s="5" t="str">
        <f t="shared" si="193"/>
        <v>Slipstream</v>
      </c>
      <c r="C1793" s="3">
        <f t="shared" si="199"/>
        <v>45777</v>
      </c>
      <c r="D1793" s="4">
        <f t="shared" ca="1" si="194"/>
        <v>57</v>
      </c>
      <c r="E1793" s="2">
        <f t="shared" ca="1" si="195"/>
        <v>4467</v>
      </c>
      <c r="F1793" s="2">
        <f t="shared" ca="1" si="196"/>
        <v>26946</v>
      </c>
      <c r="G1793" s="2">
        <f t="shared" ca="1" si="197"/>
        <v>1592</v>
      </c>
    </row>
    <row r="1794" spans="1:7" x14ac:dyDescent="0.3">
      <c r="A1794" s="5" t="str">
        <f t="shared" si="198"/>
        <v>New Balance</v>
      </c>
      <c r="B1794" s="5" t="str">
        <f t="shared" si="193"/>
        <v>550</v>
      </c>
      <c r="C1794" s="3">
        <f t="shared" si="199"/>
        <v>45777</v>
      </c>
      <c r="D1794" s="4">
        <f t="shared" ca="1" si="194"/>
        <v>93</v>
      </c>
      <c r="E1794" s="2">
        <f t="shared" ca="1" si="195"/>
        <v>2461</v>
      </c>
      <c r="F1794" s="2">
        <f t="shared" ca="1" si="196"/>
        <v>28948</v>
      </c>
      <c r="G1794" s="2">
        <f t="shared" ca="1" si="197"/>
        <v>1865</v>
      </c>
    </row>
    <row r="1795" spans="1:7" x14ac:dyDescent="0.3">
      <c r="A1795" s="5" t="str">
        <f t="shared" si="198"/>
        <v>Reebok</v>
      </c>
      <c r="B1795" s="5" t="str">
        <f t="shared" ref="B1795:B1858" si="200">IF(A1795="Nike",CHOOSE(MOD(ROW(A1794),6)+1,"Air Max 270","Air Force 1","Pegasus 40","Vaporfly 3","Cortez","Jordan 1"),
 IF(A1795="Adidas",CHOOSE(MOD(ROW(A1794),6)+1,"Ultraboost 23","Stan Smith","Superstar","Gazelle","Samba","NMD S1"),
 IF(A1795="Puma",CHOOSE(MOD(ROW(A1794),6)+1,"Suede Classic","RS-X","Cali Dream","Rider Vintage","Slipstream","Mayze"),
 IF(A1795="New Balance",CHOOSE(MOD(ROW(A1794),6)+1,"574 Core","990v6","2002R","9060","327","550"),
 IF(A1795="Reebok",CHOOSE(MOD(ROW(A1794),6)+1,"Classic Leather","Club C 85","Nano X3","Instapump Fury","Zig Kinetica","Question Mid"),"")))))</f>
        <v>Classic Leather</v>
      </c>
      <c r="C1795" s="3">
        <f t="shared" si="199"/>
        <v>45777</v>
      </c>
      <c r="D1795" s="4">
        <f t="shared" ref="D1795:D1858" ca="1" si="201">RANDBETWEEN(20,250)</f>
        <v>177</v>
      </c>
      <c r="E1795" s="2">
        <f t="shared" ref="E1795:E1858" ca="1" si="202">ROUND(RANDBETWEEN(1500,12000)+(RANDBETWEEN(-200,200)),2)</f>
        <v>3805</v>
      </c>
      <c r="F1795" s="2">
        <f t="shared" ref="F1795:F1858" ca="1" si="203">RANDBETWEEN(5000,35000)</f>
        <v>13485</v>
      </c>
      <c r="G1795" s="2">
        <f t="shared" ref="G1795:G1858" ca="1" si="204">RANDBETWEEN(ROUND(F1795*0.02,0),ROUND(F1795*0.08,0))</f>
        <v>731</v>
      </c>
    </row>
    <row r="1796" spans="1:7" x14ac:dyDescent="0.3">
      <c r="A1796" s="5" t="str">
        <f t="shared" si="198"/>
        <v>Nike</v>
      </c>
      <c r="B1796" s="5" t="str">
        <f t="shared" si="200"/>
        <v>Air Force 1</v>
      </c>
      <c r="C1796" s="3">
        <f t="shared" si="199"/>
        <v>45777</v>
      </c>
      <c r="D1796" s="4">
        <f t="shared" ca="1" si="201"/>
        <v>108</v>
      </c>
      <c r="E1796" s="2">
        <f t="shared" ca="1" si="202"/>
        <v>10868</v>
      </c>
      <c r="F1796" s="2">
        <f t="shared" ca="1" si="203"/>
        <v>13003</v>
      </c>
      <c r="G1796" s="2">
        <f t="shared" ca="1" si="204"/>
        <v>923</v>
      </c>
    </row>
    <row r="1797" spans="1:7" x14ac:dyDescent="0.3">
      <c r="A1797" s="5" t="str">
        <f t="shared" si="198"/>
        <v>Adidas</v>
      </c>
      <c r="B1797" s="5" t="str">
        <f t="shared" si="200"/>
        <v>Superstar</v>
      </c>
      <c r="C1797" s="3">
        <f t="shared" si="199"/>
        <v>45777</v>
      </c>
      <c r="D1797" s="4">
        <f t="shared" ca="1" si="201"/>
        <v>182</v>
      </c>
      <c r="E1797" s="2">
        <f t="shared" ca="1" si="202"/>
        <v>2922</v>
      </c>
      <c r="F1797" s="2">
        <f t="shared" ca="1" si="203"/>
        <v>34910</v>
      </c>
      <c r="G1797" s="2">
        <f t="shared" ca="1" si="204"/>
        <v>897</v>
      </c>
    </row>
    <row r="1798" spans="1:7" x14ac:dyDescent="0.3">
      <c r="A1798" s="5" t="str">
        <f t="shared" si="198"/>
        <v>Puma</v>
      </c>
      <c r="B1798" s="5" t="str">
        <f t="shared" si="200"/>
        <v>Rider Vintage</v>
      </c>
      <c r="C1798" s="3">
        <f t="shared" si="199"/>
        <v>45777</v>
      </c>
      <c r="D1798" s="4">
        <f t="shared" ca="1" si="201"/>
        <v>204</v>
      </c>
      <c r="E1798" s="2">
        <f t="shared" ca="1" si="202"/>
        <v>6521</v>
      </c>
      <c r="F1798" s="2">
        <f t="shared" ca="1" si="203"/>
        <v>31196</v>
      </c>
      <c r="G1798" s="2">
        <f t="shared" ca="1" si="204"/>
        <v>1726</v>
      </c>
    </row>
    <row r="1799" spans="1:7" x14ac:dyDescent="0.3">
      <c r="A1799" s="5" t="str">
        <f t="shared" si="198"/>
        <v>New Balance</v>
      </c>
      <c r="B1799" s="5" t="str">
        <f t="shared" si="200"/>
        <v>327</v>
      </c>
      <c r="C1799" s="3">
        <f t="shared" si="199"/>
        <v>45777</v>
      </c>
      <c r="D1799" s="4">
        <f t="shared" ca="1" si="201"/>
        <v>83</v>
      </c>
      <c r="E1799" s="2">
        <f t="shared" ca="1" si="202"/>
        <v>3904</v>
      </c>
      <c r="F1799" s="2">
        <f t="shared" ca="1" si="203"/>
        <v>13016</v>
      </c>
      <c r="G1799" s="2">
        <f t="shared" ca="1" si="204"/>
        <v>318</v>
      </c>
    </row>
    <row r="1800" spans="1:7" x14ac:dyDescent="0.3">
      <c r="A1800" s="5" t="str">
        <f t="shared" si="198"/>
        <v>Reebok</v>
      </c>
      <c r="B1800" s="5" t="str">
        <f t="shared" si="200"/>
        <v>Question Mid</v>
      </c>
      <c r="C1800" s="3">
        <f t="shared" si="199"/>
        <v>45777</v>
      </c>
      <c r="D1800" s="4">
        <f t="shared" ca="1" si="201"/>
        <v>105</v>
      </c>
      <c r="E1800" s="2">
        <f t="shared" ca="1" si="202"/>
        <v>11719</v>
      </c>
      <c r="F1800" s="2">
        <f t="shared" ca="1" si="203"/>
        <v>11003</v>
      </c>
      <c r="G1800" s="2">
        <f t="shared" ca="1" si="204"/>
        <v>392</v>
      </c>
    </row>
    <row r="1801" spans="1:7" x14ac:dyDescent="0.3">
      <c r="A1801" s="5" t="str">
        <f t="shared" si="198"/>
        <v>Nike</v>
      </c>
      <c r="B1801" s="5" t="str">
        <f t="shared" si="200"/>
        <v>Air Max 270</v>
      </c>
      <c r="C1801" s="3">
        <f t="shared" si="199"/>
        <v>45777</v>
      </c>
      <c r="D1801" s="4">
        <f t="shared" ca="1" si="201"/>
        <v>224</v>
      </c>
      <c r="E1801" s="2">
        <f t="shared" ca="1" si="202"/>
        <v>7040</v>
      </c>
      <c r="F1801" s="2">
        <f t="shared" ca="1" si="203"/>
        <v>23486</v>
      </c>
      <c r="G1801" s="2">
        <f t="shared" ca="1" si="204"/>
        <v>1028</v>
      </c>
    </row>
    <row r="1802" spans="1:7" x14ac:dyDescent="0.3">
      <c r="A1802" s="5" t="str">
        <f t="shared" si="198"/>
        <v>Adidas</v>
      </c>
      <c r="B1802" s="5" t="str">
        <f t="shared" si="200"/>
        <v>Stan Smith</v>
      </c>
      <c r="C1802" s="3">
        <f t="shared" si="199"/>
        <v>45778</v>
      </c>
      <c r="D1802" s="4">
        <f t="shared" ca="1" si="201"/>
        <v>62</v>
      </c>
      <c r="E1802" s="2">
        <f t="shared" ca="1" si="202"/>
        <v>11732</v>
      </c>
      <c r="F1802" s="2">
        <f t="shared" ca="1" si="203"/>
        <v>32556</v>
      </c>
      <c r="G1802" s="2">
        <f t="shared" ca="1" si="204"/>
        <v>2008</v>
      </c>
    </row>
    <row r="1803" spans="1:7" x14ac:dyDescent="0.3">
      <c r="A1803" s="5" t="str">
        <f t="shared" si="198"/>
        <v>Puma</v>
      </c>
      <c r="B1803" s="5" t="str">
        <f t="shared" si="200"/>
        <v>Cali Dream</v>
      </c>
      <c r="C1803" s="3">
        <f t="shared" si="199"/>
        <v>45778</v>
      </c>
      <c r="D1803" s="4">
        <f t="shared" ca="1" si="201"/>
        <v>130</v>
      </c>
      <c r="E1803" s="2">
        <f t="shared" ca="1" si="202"/>
        <v>10568</v>
      </c>
      <c r="F1803" s="2">
        <f t="shared" ca="1" si="203"/>
        <v>28396</v>
      </c>
      <c r="G1803" s="2">
        <f t="shared" ca="1" si="204"/>
        <v>1840</v>
      </c>
    </row>
    <row r="1804" spans="1:7" x14ac:dyDescent="0.3">
      <c r="A1804" s="5" t="str">
        <f t="shared" si="198"/>
        <v>New Balance</v>
      </c>
      <c r="B1804" s="5" t="str">
        <f t="shared" si="200"/>
        <v>9060</v>
      </c>
      <c r="C1804" s="3">
        <f t="shared" si="199"/>
        <v>45778</v>
      </c>
      <c r="D1804" s="4">
        <f t="shared" ca="1" si="201"/>
        <v>51</v>
      </c>
      <c r="E1804" s="2">
        <f t="shared" ca="1" si="202"/>
        <v>7188</v>
      </c>
      <c r="F1804" s="2">
        <f t="shared" ca="1" si="203"/>
        <v>23889</v>
      </c>
      <c r="G1804" s="2">
        <f t="shared" ca="1" si="204"/>
        <v>1495</v>
      </c>
    </row>
    <row r="1805" spans="1:7" x14ac:dyDescent="0.3">
      <c r="A1805" s="5" t="str">
        <f t="shared" si="198"/>
        <v>Reebok</v>
      </c>
      <c r="B1805" s="5" t="str">
        <f t="shared" si="200"/>
        <v>Zig Kinetica</v>
      </c>
      <c r="C1805" s="3">
        <f t="shared" si="199"/>
        <v>45778</v>
      </c>
      <c r="D1805" s="4">
        <f t="shared" ca="1" si="201"/>
        <v>48</v>
      </c>
      <c r="E1805" s="2">
        <f t="shared" ca="1" si="202"/>
        <v>9851</v>
      </c>
      <c r="F1805" s="2">
        <f t="shared" ca="1" si="203"/>
        <v>31440</v>
      </c>
      <c r="G1805" s="2">
        <f t="shared" ca="1" si="204"/>
        <v>2114</v>
      </c>
    </row>
    <row r="1806" spans="1:7" x14ac:dyDescent="0.3">
      <c r="A1806" s="5" t="str">
        <f t="shared" si="198"/>
        <v>Nike</v>
      </c>
      <c r="B1806" s="5" t="str">
        <f t="shared" si="200"/>
        <v>Jordan 1</v>
      </c>
      <c r="C1806" s="3">
        <f t="shared" si="199"/>
        <v>45778</v>
      </c>
      <c r="D1806" s="4">
        <f t="shared" ca="1" si="201"/>
        <v>198</v>
      </c>
      <c r="E1806" s="2">
        <f t="shared" ca="1" si="202"/>
        <v>7147</v>
      </c>
      <c r="F1806" s="2">
        <f t="shared" ca="1" si="203"/>
        <v>11214</v>
      </c>
      <c r="G1806" s="2">
        <f t="shared" ca="1" si="204"/>
        <v>713</v>
      </c>
    </row>
    <row r="1807" spans="1:7" x14ac:dyDescent="0.3">
      <c r="A1807" s="5" t="str">
        <f t="shared" si="198"/>
        <v>Adidas</v>
      </c>
      <c r="B1807" s="5" t="str">
        <f t="shared" si="200"/>
        <v>Ultraboost 23</v>
      </c>
      <c r="C1807" s="3">
        <f t="shared" si="199"/>
        <v>45778</v>
      </c>
      <c r="D1807" s="4">
        <f t="shared" ca="1" si="201"/>
        <v>114</v>
      </c>
      <c r="E1807" s="2">
        <f t="shared" ca="1" si="202"/>
        <v>4721</v>
      </c>
      <c r="F1807" s="2">
        <f t="shared" ca="1" si="203"/>
        <v>12086</v>
      </c>
      <c r="G1807" s="2">
        <f t="shared" ca="1" si="204"/>
        <v>245</v>
      </c>
    </row>
    <row r="1808" spans="1:7" x14ac:dyDescent="0.3">
      <c r="A1808" s="5" t="str">
        <f t="shared" si="198"/>
        <v>Puma</v>
      </c>
      <c r="B1808" s="5" t="str">
        <f t="shared" si="200"/>
        <v>RS-X</v>
      </c>
      <c r="C1808" s="3">
        <f t="shared" si="199"/>
        <v>45778</v>
      </c>
      <c r="D1808" s="4">
        <f t="shared" ca="1" si="201"/>
        <v>38</v>
      </c>
      <c r="E1808" s="2">
        <f t="shared" ca="1" si="202"/>
        <v>5018</v>
      </c>
      <c r="F1808" s="2">
        <f t="shared" ca="1" si="203"/>
        <v>15929</v>
      </c>
      <c r="G1808" s="2">
        <f t="shared" ca="1" si="204"/>
        <v>1185</v>
      </c>
    </row>
    <row r="1809" spans="1:7" x14ac:dyDescent="0.3">
      <c r="A1809" s="5" t="str">
        <f t="shared" si="198"/>
        <v>New Balance</v>
      </c>
      <c r="B1809" s="5" t="str">
        <f t="shared" si="200"/>
        <v>2002R</v>
      </c>
      <c r="C1809" s="3">
        <f t="shared" si="199"/>
        <v>45778</v>
      </c>
      <c r="D1809" s="4">
        <f t="shared" ca="1" si="201"/>
        <v>162</v>
      </c>
      <c r="E1809" s="2">
        <f t="shared" ca="1" si="202"/>
        <v>1926</v>
      </c>
      <c r="F1809" s="2">
        <f t="shared" ca="1" si="203"/>
        <v>21156</v>
      </c>
      <c r="G1809" s="2">
        <f t="shared" ca="1" si="204"/>
        <v>1643</v>
      </c>
    </row>
    <row r="1810" spans="1:7" x14ac:dyDescent="0.3">
      <c r="A1810" s="5" t="str">
        <f t="shared" si="198"/>
        <v>Reebok</v>
      </c>
      <c r="B1810" s="5" t="str">
        <f t="shared" si="200"/>
        <v>Instapump Fury</v>
      </c>
      <c r="C1810" s="3">
        <f t="shared" si="199"/>
        <v>45778</v>
      </c>
      <c r="D1810" s="4">
        <f t="shared" ca="1" si="201"/>
        <v>45</v>
      </c>
      <c r="E1810" s="2">
        <f t="shared" ca="1" si="202"/>
        <v>3922</v>
      </c>
      <c r="F1810" s="2">
        <f t="shared" ca="1" si="203"/>
        <v>34449</v>
      </c>
      <c r="G1810" s="2">
        <f t="shared" ca="1" si="204"/>
        <v>1752</v>
      </c>
    </row>
    <row r="1811" spans="1:7" x14ac:dyDescent="0.3">
      <c r="A1811" s="5" t="str">
        <f t="shared" si="198"/>
        <v>Nike</v>
      </c>
      <c r="B1811" s="5" t="str">
        <f t="shared" si="200"/>
        <v>Cortez</v>
      </c>
      <c r="C1811" s="3">
        <f t="shared" si="199"/>
        <v>45778</v>
      </c>
      <c r="D1811" s="4">
        <f t="shared" ca="1" si="201"/>
        <v>145</v>
      </c>
      <c r="E1811" s="2">
        <f t="shared" ca="1" si="202"/>
        <v>9844</v>
      </c>
      <c r="F1811" s="2">
        <f t="shared" ca="1" si="203"/>
        <v>25437</v>
      </c>
      <c r="G1811" s="2">
        <f t="shared" ca="1" si="204"/>
        <v>739</v>
      </c>
    </row>
    <row r="1812" spans="1:7" x14ac:dyDescent="0.3">
      <c r="A1812" s="5" t="str">
        <f t="shared" si="198"/>
        <v>Adidas</v>
      </c>
      <c r="B1812" s="5" t="str">
        <f t="shared" si="200"/>
        <v>NMD S1</v>
      </c>
      <c r="C1812" s="3">
        <f t="shared" si="199"/>
        <v>45778</v>
      </c>
      <c r="D1812" s="4">
        <f t="shared" ca="1" si="201"/>
        <v>240</v>
      </c>
      <c r="E1812" s="2">
        <f t="shared" ca="1" si="202"/>
        <v>8897</v>
      </c>
      <c r="F1812" s="2">
        <f t="shared" ca="1" si="203"/>
        <v>12413</v>
      </c>
      <c r="G1812" s="2">
        <f t="shared" ca="1" si="204"/>
        <v>437</v>
      </c>
    </row>
    <row r="1813" spans="1:7" x14ac:dyDescent="0.3">
      <c r="A1813" s="5" t="str">
        <f t="shared" si="198"/>
        <v>Puma</v>
      </c>
      <c r="B1813" s="5" t="str">
        <f t="shared" si="200"/>
        <v>Suede Classic</v>
      </c>
      <c r="C1813" s="3">
        <f t="shared" si="199"/>
        <v>45778</v>
      </c>
      <c r="D1813" s="4">
        <f t="shared" ca="1" si="201"/>
        <v>224</v>
      </c>
      <c r="E1813" s="2">
        <f t="shared" ca="1" si="202"/>
        <v>3745</v>
      </c>
      <c r="F1813" s="2">
        <f t="shared" ca="1" si="203"/>
        <v>34009</v>
      </c>
      <c r="G1813" s="2">
        <f t="shared" ca="1" si="204"/>
        <v>730</v>
      </c>
    </row>
    <row r="1814" spans="1:7" x14ac:dyDescent="0.3">
      <c r="A1814" s="5" t="str">
        <f t="shared" si="198"/>
        <v>New Balance</v>
      </c>
      <c r="B1814" s="5" t="str">
        <f t="shared" si="200"/>
        <v>990v6</v>
      </c>
      <c r="C1814" s="3">
        <f t="shared" si="199"/>
        <v>45778</v>
      </c>
      <c r="D1814" s="4">
        <f t="shared" ca="1" si="201"/>
        <v>33</v>
      </c>
      <c r="E1814" s="2">
        <f t="shared" ca="1" si="202"/>
        <v>7353</v>
      </c>
      <c r="F1814" s="2">
        <f t="shared" ca="1" si="203"/>
        <v>26867</v>
      </c>
      <c r="G1814" s="2">
        <f t="shared" ca="1" si="204"/>
        <v>753</v>
      </c>
    </row>
    <row r="1815" spans="1:7" x14ac:dyDescent="0.3">
      <c r="A1815" s="5" t="str">
        <f t="shared" si="198"/>
        <v>Reebok</v>
      </c>
      <c r="B1815" s="5" t="str">
        <f t="shared" si="200"/>
        <v>Nano X3</v>
      </c>
      <c r="C1815" s="3">
        <f t="shared" si="199"/>
        <v>45778</v>
      </c>
      <c r="D1815" s="4">
        <f t="shared" ca="1" si="201"/>
        <v>139</v>
      </c>
      <c r="E1815" s="2">
        <f t="shared" ca="1" si="202"/>
        <v>8601</v>
      </c>
      <c r="F1815" s="2">
        <f t="shared" ca="1" si="203"/>
        <v>7770</v>
      </c>
      <c r="G1815" s="2">
        <f t="shared" ca="1" si="204"/>
        <v>493</v>
      </c>
    </row>
    <row r="1816" spans="1:7" x14ac:dyDescent="0.3">
      <c r="A1816" s="5" t="str">
        <f t="shared" si="198"/>
        <v>Nike</v>
      </c>
      <c r="B1816" s="5" t="str">
        <f t="shared" si="200"/>
        <v>Vaporfly 3</v>
      </c>
      <c r="C1816" s="3">
        <f t="shared" si="199"/>
        <v>45778</v>
      </c>
      <c r="D1816" s="4">
        <f t="shared" ca="1" si="201"/>
        <v>132</v>
      </c>
      <c r="E1816" s="2">
        <f t="shared" ca="1" si="202"/>
        <v>6697</v>
      </c>
      <c r="F1816" s="2">
        <f t="shared" ca="1" si="203"/>
        <v>16971</v>
      </c>
      <c r="G1816" s="2">
        <f t="shared" ca="1" si="204"/>
        <v>884</v>
      </c>
    </row>
    <row r="1817" spans="1:7" x14ac:dyDescent="0.3">
      <c r="A1817" s="5" t="str">
        <f t="shared" si="198"/>
        <v>Adidas</v>
      </c>
      <c r="B1817" s="5" t="str">
        <f t="shared" si="200"/>
        <v>Samba</v>
      </c>
      <c r="C1817" s="3">
        <f t="shared" si="199"/>
        <v>45779</v>
      </c>
      <c r="D1817" s="4">
        <f t="shared" ca="1" si="201"/>
        <v>116</v>
      </c>
      <c r="E1817" s="2">
        <f t="shared" ca="1" si="202"/>
        <v>3508</v>
      </c>
      <c r="F1817" s="2">
        <f t="shared" ca="1" si="203"/>
        <v>10389</v>
      </c>
      <c r="G1817" s="2">
        <f t="shared" ca="1" si="204"/>
        <v>250</v>
      </c>
    </row>
    <row r="1818" spans="1:7" x14ac:dyDescent="0.3">
      <c r="A1818" s="5" t="str">
        <f t="shared" si="198"/>
        <v>Puma</v>
      </c>
      <c r="B1818" s="5" t="str">
        <f t="shared" si="200"/>
        <v>Mayze</v>
      </c>
      <c r="C1818" s="3">
        <f t="shared" si="199"/>
        <v>45779</v>
      </c>
      <c r="D1818" s="4">
        <f t="shared" ca="1" si="201"/>
        <v>160</v>
      </c>
      <c r="E1818" s="2">
        <f t="shared" ca="1" si="202"/>
        <v>5614</v>
      </c>
      <c r="F1818" s="2">
        <f t="shared" ca="1" si="203"/>
        <v>7164</v>
      </c>
      <c r="G1818" s="2">
        <f t="shared" ca="1" si="204"/>
        <v>555</v>
      </c>
    </row>
    <row r="1819" spans="1:7" x14ac:dyDescent="0.3">
      <c r="A1819" s="5" t="str">
        <f t="shared" si="198"/>
        <v>New Balance</v>
      </c>
      <c r="B1819" s="5" t="str">
        <f t="shared" si="200"/>
        <v>574 Core</v>
      </c>
      <c r="C1819" s="3">
        <f t="shared" si="199"/>
        <v>45779</v>
      </c>
      <c r="D1819" s="4">
        <f t="shared" ca="1" si="201"/>
        <v>90</v>
      </c>
      <c r="E1819" s="2">
        <f t="shared" ca="1" si="202"/>
        <v>9446</v>
      </c>
      <c r="F1819" s="2">
        <f t="shared" ca="1" si="203"/>
        <v>11900</v>
      </c>
      <c r="G1819" s="2">
        <f t="shared" ca="1" si="204"/>
        <v>697</v>
      </c>
    </row>
    <row r="1820" spans="1:7" x14ac:dyDescent="0.3">
      <c r="A1820" s="5" t="str">
        <f t="shared" si="198"/>
        <v>Reebok</v>
      </c>
      <c r="B1820" s="5" t="str">
        <f t="shared" si="200"/>
        <v>Club C 85</v>
      </c>
      <c r="C1820" s="3">
        <f t="shared" si="199"/>
        <v>45779</v>
      </c>
      <c r="D1820" s="4">
        <f t="shared" ca="1" si="201"/>
        <v>86</v>
      </c>
      <c r="E1820" s="2">
        <f t="shared" ca="1" si="202"/>
        <v>2531</v>
      </c>
      <c r="F1820" s="2">
        <f t="shared" ca="1" si="203"/>
        <v>25714</v>
      </c>
      <c r="G1820" s="2">
        <f t="shared" ca="1" si="204"/>
        <v>537</v>
      </c>
    </row>
    <row r="1821" spans="1:7" x14ac:dyDescent="0.3">
      <c r="A1821" s="5" t="str">
        <f t="shared" si="198"/>
        <v>Nike</v>
      </c>
      <c r="B1821" s="5" t="str">
        <f t="shared" si="200"/>
        <v>Pegasus 40</v>
      </c>
      <c r="C1821" s="3">
        <f t="shared" si="199"/>
        <v>45779</v>
      </c>
      <c r="D1821" s="4">
        <f t="shared" ca="1" si="201"/>
        <v>62</v>
      </c>
      <c r="E1821" s="2">
        <f t="shared" ca="1" si="202"/>
        <v>11310</v>
      </c>
      <c r="F1821" s="2">
        <f t="shared" ca="1" si="203"/>
        <v>21722</v>
      </c>
      <c r="G1821" s="2">
        <f t="shared" ca="1" si="204"/>
        <v>825</v>
      </c>
    </row>
    <row r="1822" spans="1:7" x14ac:dyDescent="0.3">
      <c r="A1822" s="5" t="str">
        <f t="shared" si="198"/>
        <v>Adidas</v>
      </c>
      <c r="B1822" s="5" t="str">
        <f t="shared" si="200"/>
        <v>Gazelle</v>
      </c>
      <c r="C1822" s="3">
        <f t="shared" si="199"/>
        <v>45779</v>
      </c>
      <c r="D1822" s="4">
        <f t="shared" ca="1" si="201"/>
        <v>158</v>
      </c>
      <c r="E1822" s="2">
        <f t="shared" ca="1" si="202"/>
        <v>11566</v>
      </c>
      <c r="F1822" s="2">
        <f t="shared" ca="1" si="203"/>
        <v>19369</v>
      </c>
      <c r="G1822" s="2">
        <f t="shared" ca="1" si="204"/>
        <v>899</v>
      </c>
    </row>
    <row r="1823" spans="1:7" x14ac:dyDescent="0.3">
      <c r="A1823" s="5" t="str">
        <f t="shared" si="198"/>
        <v>Puma</v>
      </c>
      <c r="B1823" s="5" t="str">
        <f t="shared" si="200"/>
        <v>Slipstream</v>
      </c>
      <c r="C1823" s="3">
        <f t="shared" si="199"/>
        <v>45779</v>
      </c>
      <c r="D1823" s="4">
        <f t="shared" ca="1" si="201"/>
        <v>230</v>
      </c>
      <c r="E1823" s="2">
        <f t="shared" ca="1" si="202"/>
        <v>5362</v>
      </c>
      <c r="F1823" s="2">
        <f t="shared" ca="1" si="203"/>
        <v>26516</v>
      </c>
      <c r="G1823" s="2">
        <f t="shared" ca="1" si="204"/>
        <v>1604</v>
      </c>
    </row>
    <row r="1824" spans="1:7" x14ac:dyDescent="0.3">
      <c r="A1824" s="5" t="str">
        <f t="shared" si="198"/>
        <v>New Balance</v>
      </c>
      <c r="B1824" s="5" t="str">
        <f t="shared" si="200"/>
        <v>550</v>
      </c>
      <c r="C1824" s="3">
        <f t="shared" si="199"/>
        <v>45779</v>
      </c>
      <c r="D1824" s="4">
        <f t="shared" ca="1" si="201"/>
        <v>150</v>
      </c>
      <c r="E1824" s="2">
        <f t="shared" ca="1" si="202"/>
        <v>11369</v>
      </c>
      <c r="F1824" s="2">
        <f t="shared" ca="1" si="203"/>
        <v>33063</v>
      </c>
      <c r="G1824" s="2">
        <f t="shared" ca="1" si="204"/>
        <v>1130</v>
      </c>
    </row>
    <row r="1825" spans="1:7" x14ac:dyDescent="0.3">
      <c r="A1825" s="5" t="str">
        <f t="shared" si="198"/>
        <v>Reebok</v>
      </c>
      <c r="B1825" s="5" t="str">
        <f t="shared" si="200"/>
        <v>Classic Leather</v>
      </c>
      <c r="C1825" s="3">
        <f t="shared" si="199"/>
        <v>45779</v>
      </c>
      <c r="D1825" s="4">
        <f t="shared" ca="1" si="201"/>
        <v>81</v>
      </c>
      <c r="E1825" s="2">
        <f t="shared" ca="1" si="202"/>
        <v>10162</v>
      </c>
      <c r="F1825" s="2">
        <f t="shared" ca="1" si="203"/>
        <v>21074</v>
      </c>
      <c r="G1825" s="2">
        <f t="shared" ca="1" si="204"/>
        <v>789</v>
      </c>
    </row>
    <row r="1826" spans="1:7" x14ac:dyDescent="0.3">
      <c r="A1826" s="5" t="str">
        <f t="shared" si="198"/>
        <v>Nike</v>
      </c>
      <c r="B1826" s="5" t="str">
        <f t="shared" si="200"/>
        <v>Air Force 1</v>
      </c>
      <c r="C1826" s="3">
        <f t="shared" si="199"/>
        <v>45779</v>
      </c>
      <c r="D1826" s="4">
        <f t="shared" ca="1" si="201"/>
        <v>206</v>
      </c>
      <c r="E1826" s="2">
        <f t="shared" ca="1" si="202"/>
        <v>2014</v>
      </c>
      <c r="F1826" s="2">
        <f t="shared" ca="1" si="203"/>
        <v>9661</v>
      </c>
      <c r="G1826" s="2">
        <f t="shared" ca="1" si="204"/>
        <v>257</v>
      </c>
    </row>
    <row r="1827" spans="1:7" x14ac:dyDescent="0.3">
      <c r="A1827" s="5" t="str">
        <f t="shared" si="198"/>
        <v>Adidas</v>
      </c>
      <c r="B1827" s="5" t="str">
        <f t="shared" si="200"/>
        <v>Superstar</v>
      </c>
      <c r="C1827" s="3">
        <f t="shared" si="199"/>
        <v>45779</v>
      </c>
      <c r="D1827" s="4">
        <f t="shared" ca="1" si="201"/>
        <v>68</v>
      </c>
      <c r="E1827" s="2">
        <f t="shared" ca="1" si="202"/>
        <v>11317</v>
      </c>
      <c r="F1827" s="2">
        <f t="shared" ca="1" si="203"/>
        <v>8038</v>
      </c>
      <c r="G1827" s="2">
        <f t="shared" ca="1" si="204"/>
        <v>426</v>
      </c>
    </row>
    <row r="1828" spans="1:7" x14ac:dyDescent="0.3">
      <c r="A1828" s="5" t="str">
        <f t="shared" si="198"/>
        <v>Puma</v>
      </c>
      <c r="B1828" s="5" t="str">
        <f t="shared" si="200"/>
        <v>Rider Vintage</v>
      </c>
      <c r="C1828" s="3">
        <f t="shared" si="199"/>
        <v>45779</v>
      </c>
      <c r="D1828" s="4">
        <f t="shared" ca="1" si="201"/>
        <v>47</v>
      </c>
      <c r="E1828" s="2">
        <f t="shared" ca="1" si="202"/>
        <v>3238</v>
      </c>
      <c r="F1828" s="2">
        <f t="shared" ca="1" si="203"/>
        <v>12338</v>
      </c>
      <c r="G1828" s="2">
        <f t="shared" ca="1" si="204"/>
        <v>293</v>
      </c>
    </row>
    <row r="1829" spans="1:7" x14ac:dyDescent="0.3">
      <c r="A1829" s="5" t="str">
        <f t="shared" si="198"/>
        <v>New Balance</v>
      </c>
      <c r="B1829" s="5" t="str">
        <f t="shared" si="200"/>
        <v>327</v>
      </c>
      <c r="C1829" s="3">
        <f t="shared" si="199"/>
        <v>45779</v>
      </c>
      <c r="D1829" s="4">
        <f t="shared" ca="1" si="201"/>
        <v>166</v>
      </c>
      <c r="E1829" s="2">
        <f t="shared" ca="1" si="202"/>
        <v>10327</v>
      </c>
      <c r="F1829" s="2">
        <f t="shared" ca="1" si="203"/>
        <v>10782</v>
      </c>
      <c r="G1829" s="2">
        <f t="shared" ca="1" si="204"/>
        <v>690</v>
      </c>
    </row>
    <row r="1830" spans="1:7" x14ac:dyDescent="0.3">
      <c r="A1830" s="5" t="str">
        <f t="shared" si="198"/>
        <v>Reebok</v>
      </c>
      <c r="B1830" s="5" t="str">
        <f t="shared" si="200"/>
        <v>Question Mid</v>
      </c>
      <c r="C1830" s="3">
        <f t="shared" si="199"/>
        <v>45779</v>
      </c>
      <c r="D1830" s="4">
        <f t="shared" ca="1" si="201"/>
        <v>135</v>
      </c>
      <c r="E1830" s="2">
        <f t="shared" ca="1" si="202"/>
        <v>9380</v>
      </c>
      <c r="F1830" s="2">
        <f t="shared" ca="1" si="203"/>
        <v>21628</v>
      </c>
      <c r="G1830" s="2">
        <f t="shared" ca="1" si="204"/>
        <v>1597</v>
      </c>
    </row>
    <row r="1831" spans="1:7" x14ac:dyDescent="0.3">
      <c r="A1831" s="5" t="str">
        <f t="shared" si="198"/>
        <v>Nike</v>
      </c>
      <c r="B1831" s="5" t="str">
        <f t="shared" si="200"/>
        <v>Air Max 270</v>
      </c>
      <c r="C1831" s="3">
        <f t="shared" si="199"/>
        <v>45779</v>
      </c>
      <c r="D1831" s="4">
        <f t="shared" ca="1" si="201"/>
        <v>197</v>
      </c>
      <c r="E1831" s="2">
        <f t="shared" ca="1" si="202"/>
        <v>4503</v>
      </c>
      <c r="F1831" s="2">
        <f t="shared" ca="1" si="203"/>
        <v>27979</v>
      </c>
      <c r="G1831" s="2">
        <f t="shared" ca="1" si="204"/>
        <v>2128</v>
      </c>
    </row>
    <row r="1832" spans="1:7" x14ac:dyDescent="0.3">
      <c r="A1832" s="5" t="str">
        <f t="shared" si="198"/>
        <v>Adidas</v>
      </c>
      <c r="B1832" s="5" t="str">
        <f t="shared" si="200"/>
        <v>Stan Smith</v>
      </c>
      <c r="C1832" s="3">
        <f t="shared" si="199"/>
        <v>45780</v>
      </c>
      <c r="D1832" s="4">
        <f t="shared" ca="1" si="201"/>
        <v>39</v>
      </c>
      <c r="E1832" s="2">
        <f t="shared" ca="1" si="202"/>
        <v>4290</v>
      </c>
      <c r="F1832" s="2">
        <f t="shared" ca="1" si="203"/>
        <v>10770</v>
      </c>
      <c r="G1832" s="2">
        <f t="shared" ca="1" si="204"/>
        <v>485</v>
      </c>
    </row>
    <row r="1833" spans="1:7" x14ac:dyDescent="0.3">
      <c r="A1833" s="5" t="str">
        <f t="shared" si="198"/>
        <v>Puma</v>
      </c>
      <c r="B1833" s="5" t="str">
        <f t="shared" si="200"/>
        <v>Cali Dream</v>
      </c>
      <c r="C1833" s="3">
        <f t="shared" si="199"/>
        <v>45780</v>
      </c>
      <c r="D1833" s="4">
        <f t="shared" ca="1" si="201"/>
        <v>154</v>
      </c>
      <c r="E1833" s="2">
        <f t="shared" ca="1" si="202"/>
        <v>10731</v>
      </c>
      <c r="F1833" s="2">
        <f t="shared" ca="1" si="203"/>
        <v>20944</v>
      </c>
      <c r="G1833" s="2">
        <f t="shared" ca="1" si="204"/>
        <v>1377</v>
      </c>
    </row>
    <row r="1834" spans="1:7" x14ac:dyDescent="0.3">
      <c r="A1834" s="5" t="str">
        <f t="shared" si="198"/>
        <v>New Balance</v>
      </c>
      <c r="B1834" s="5" t="str">
        <f t="shared" si="200"/>
        <v>9060</v>
      </c>
      <c r="C1834" s="3">
        <f t="shared" si="199"/>
        <v>45780</v>
      </c>
      <c r="D1834" s="4">
        <f t="shared" ca="1" si="201"/>
        <v>116</v>
      </c>
      <c r="E1834" s="2">
        <f t="shared" ca="1" si="202"/>
        <v>11093</v>
      </c>
      <c r="F1834" s="2">
        <f t="shared" ca="1" si="203"/>
        <v>32894</v>
      </c>
      <c r="G1834" s="2">
        <f t="shared" ca="1" si="204"/>
        <v>1129</v>
      </c>
    </row>
    <row r="1835" spans="1:7" x14ac:dyDescent="0.3">
      <c r="A1835" s="5" t="str">
        <f t="shared" ref="A1835:A1898" si="205">CHOOSE(MOD(ROW(A1834),5)+1,"Nike","Adidas","Puma","New Balance","Reebok")</f>
        <v>Reebok</v>
      </c>
      <c r="B1835" s="5" t="str">
        <f t="shared" si="200"/>
        <v>Zig Kinetica</v>
      </c>
      <c r="C1835" s="3">
        <f t="shared" ref="C1835:C1898" si="206">DATE(2025,1,1)+INT((ROW(A1835)-2)/15)</f>
        <v>45780</v>
      </c>
      <c r="D1835" s="4">
        <f t="shared" ca="1" si="201"/>
        <v>62</v>
      </c>
      <c r="E1835" s="2">
        <f t="shared" ca="1" si="202"/>
        <v>6677</v>
      </c>
      <c r="F1835" s="2">
        <f t="shared" ca="1" si="203"/>
        <v>9154</v>
      </c>
      <c r="G1835" s="2">
        <f t="shared" ca="1" si="204"/>
        <v>707</v>
      </c>
    </row>
    <row r="1836" spans="1:7" x14ac:dyDescent="0.3">
      <c r="A1836" s="5" t="str">
        <f t="shared" si="205"/>
        <v>Nike</v>
      </c>
      <c r="B1836" s="5" t="str">
        <f t="shared" si="200"/>
        <v>Jordan 1</v>
      </c>
      <c r="C1836" s="3">
        <f t="shared" si="206"/>
        <v>45780</v>
      </c>
      <c r="D1836" s="4">
        <f t="shared" ca="1" si="201"/>
        <v>20</v>
      </c>
      <c r="E1836" s="2">
        <f t="shared" ca="1" si="202"/>
        <v>3684</v>
      </c>
      <c r="F1836" s="2">
        <f t="shared" ca="1" si="203"/>
        <v>26678</v>
      </c>
      <c r="G1836" s="2">
        <f t="shared" ca="1" si="204"/>
        <v>1565</v>
      </c>
    </row>
    <row r="1837" spans="1:7" x14ac:dyDescent="0.3">
      <c r="A1837" s="5" t="str">
        <f t="shared" si="205"/>
        <v>Adidas</v>
      </c>
      <c r="B1837" s="5" t="str">
        <f t="shared" si="200"/>
        <v>Ultraboost 23</v>
      </c>
      <c r="C1837" s="3">
        <f t="shared" si="206"/>
        <v>45780</v>
      </c>
      <c r="D1837" s="4">
        <f t="shared" ca="1" si="201"/>
        <v>51</v>
      </c>
      <c r="E1837" s="2">
        <f t="shared" ca="1" si="202"/>
        <v>3115</v>
      </c>
      <c r="F1837" s="2">
        <f t="shared" ca="1" si="203"/>
        <v>17228</v>
      </c>
      <c r="G1837" s="2">
        <f t="shared" ca="1" si="204"/>
        <v>491</v>
      </c>
    </row>
    <row r="1838" spans="1:7" x14ac:dyDescent="0.3">
      <c r="A1838" s="5" t="str">
        <f t="shared" si="205"/>
        <v>Puma</v>
      </c>
      <c r="B1838" s="5" t="str">
        <f t="shared" si="200"/>
        <v>RS-X</v>
      </c>
      <c r="C1838" s="3">
        <f t="shared" si="206"/>
        <v>45780</v>
      </c>
      <c r="D1838" s="4">
        <f t="shared" ca="1" si="201"/>
        <v>95</v>
      </c>
      <c r="E1838" s="2">
        <f t="shared" ca="1" si="202"/>
        <v>5087</v>
      </c>
      <c r="F1838" s="2">
        <f t="shared" ca="1" si="203"/>
        <v>17983</v>
      </c>
      <c r="G1838" s="2">
        <f t="shared" ca="1" si="204"/>
        <v>1169</v>
      </c>
    </row>
    <row r="1839" spans="1:7" x14ac:dyDescent="0.3">
      <c r="A1839" s="5" t="str">
        <f t="shared" si="205"/>
        <v>New Balance</v>
      </c>
      <c r="B1839" s="5" t="str">
        <f t="shared" si="200"/>
        <v>2002R</v>
      </c>
      <c r="C1839" s="3">
        <f t="shared" si="206"/>
        <v>45780</v>
      </c>
      <c r="D1839" s="4">
        <f t="shared" ca="1" si="201"/>
        <v>128</v>
      </c>
      <c r="E1839" s="2">
        <f t="shared" ca="1" si="202"/>
        <v>1536</v>
      </c>
      <c r="F1839" s="2">
        <f t="shared" ca="1" si="203"/>
        <v>29129</v>
      </c>
      <c r="G1839" s="2">
        <f t="shared" ca="1" si="204"/>
        <v>2104</v>
      </c>
    </row>
    <row r="1840" spans="1:7" x14ac:dyDescent="0.3">
      <c r="A1840" s="5" t="str">
        <f t="shared" si="205"/>
        <v>Reebok</v>
      </c>
      <c r="B1840" s="5" t="str">
        <f t="shared" si="200"/>
        <v>Instapump Fury</v>
      </c>
      <c r="C1840" s="3">
        <f t="shared" si="206"/>
        <v>45780</v>
      </c>
      <c r="D1840" s="4">
        <f t="shared" ca="1" si="201"/>
        <v>241</v>
      </c>
      <c r="E1840" s="2">
        <f t="shared" ca="1" si="202"/>
        <v>5226</v>
      </c>
      <c r="F1840" s="2">
        <f t="shared" ca="1" si="203"/>
        <v>8637</v>
      </c>
      <c r="G1840" s="2">
        <f t="shared" ca="1" si="204"/>
        <v>504</v>
      </c>
    </row>
    <row r="1841" spans="1:7" x14ac:dyDescent="0.3">
      <c r="A1841" s="5" t="str">
        <f t="shared" si="205"/>
        <v>Nike</v>
      </c>
      <c r="B1841" s="5" t="str">
        <f t="shared" si="200"/>
        <v>Cortez</v>
      </c>
      <c r="C1841" s="3">
        <f t="shared" si="206"/>
        <v>45780</v>
      </c>
      <c r="D1841" s="4">
        <f t="shared" ca="1" si="201"/>
        <v>96</v>
      </c>
      <c r="E1841" s="2">
        <f t="shared" ca="1" si="202"/>
        <v>4112</v>
      </c>
      <c r="F1841" s="2">
        <f t="shared" ca="1" si="203"/>
        <v>13091</v>
      </c>
      <c r="G1841" s="2">
        <f t="shared" ca="1" si="204"/>
        <v>376</v>
      </c>
    </row>
    <row r="1842" spans="1:7" x14ac:dyDescent="0.3">
      <c r="A1842" s="5" t="str">
        <f t="shared" si="205"/>
        <v>Adidas</v>
      </c>
      <c r="B1842" s="5" t="str">
        <f t="shared" si="200"/>
        <v>NMD S1</v>
      </c>
      <c r="C1842" s="3">
        <f t="shared" si="206"/>
        <v>45780</v>
      </c>
      <c r="D1842" s="4">
        <f t="shared" ca="1" si="201"/>
        <v>248</v>
      </c>
      <c r="E1842" s="2">
        <f t="shared" ca="1" si="202"/>
        <v>9984</v>
      </c>
      <c r="F1842" s="2">
        <f t="shared" ca="1" si="203"/>
        <v>12634</v>
      </c>
      <c r="G1842" s="2">
        <f t="shared" ca="1" si="204"/>
        <v>747</v>
      </c>
    </row>
    <row r="1843" spans="1:7" x14ac:dyDescent="0.3">
      <c r="A1843" s="5" t="str">
        <f t="shared" si="205"/>
        <v>Puma</v>
      </c>
      <c r="B1843" s="5" t="str">
        <f t="shared" si="200"/>
        <v>Suede Classic</v>
      </c>
      <c r="C1843" s="3">
        <f t="shared" si="206"/>
        <v>45780</v>
      </c>
      <c r="D1843" s="4">
        <f t="shared" ca="1" si="201"/>
        <v>56</v>
      </c>
      <c r="E1843" s="2">
        <f t="shared" ca="1" si="202"/>
        <v>2845</v>
      </c>
      <c r="F1843" s="2">
        <f t="shared" ca="1" si="203"/>
        <v>10746</v>
      </c>
      <c r="G1843" s="2">
        <f t="shared" ca="1" si="204"/>
        <v>689</v>
      </c>
    </row>
    <row r="1844" spans="1:7" x14ac:dyDescent="0.3">
      <c r="A1844" s="5" t="str">
        <f t="shared" si="205"/>
        <v>New Balance</v>
      </c>
      <c r="B1844" s="5" t="str">
        <f t="shared" si="200"/>
        <v>990v6</v>
      </c>
      <c r="C1844" s="3">
        <f t="shared" si="206"/>
        <v>45780</v>
      </c>
      <c r="D1844" s="4">
        <f t="shared" ca="1" si="201"/>
        <v>179</v>
      </c>
      <c r="E1844" s="2">
        <f t="shared" ca="1" si="202"/>
        <v>8009</v>
      </c>
      <c r="F1844" s="2">
        <f t="shared" ca="1" si="203"/>
        <v>17327</v>
      </c>
      <c r="G1844" s="2">
        <f t="shared" ca="1" si="204"/>
        <v>869</v>
      </c>
    </row>
    <row r="1845" spans="1:7" x14ac:dyDescent="0.3">
      <c r="A1845" s="5" t="str">
        <f t="shared" si="205"/>
        <v>Reebok</v>
      </c>
      <c r="B1845" s="5" t="str">
        <f t="shared" si="200"/>
        <v>Nano X3</v>
      </c>
      <c r="C1845" s="3">
        <f t="shared" si="206"/>
        <v>45780</v>
      </c>
      <c r="D1845" s="4">
        <f t="shared" ca="1" si="201"/>
        <v>117</v>
      </c>
      <c r="E1845" s="2">
        <f t="shared" ca="1" si="202"/>
        <v>3208</v>
      </c>
      <c r="F1845" s="2">
        <f t="shared" ca="1" si="203"/>
        <v>30741</v>
      </c>
      <c r="G1845" s="2">
        <f t="shared" ca="1" si="204"/>
        <v>2405</v>
      </c>
    </row>
    <row r="1846" spans="1:7" x14ac:dyDescent="0.3">
      <c r="A1846" s="5" t="str">
        <f t="shared" si="205"/>
        <v>Nike</v>
      </c>
      <c r="B1846" s="5" t="str">
        <f t="shared" si="200"/>
        <v>Vaporfly 3</v>
      </c>
      <c r="C1846" s="3">
        <f t="shared" si="206"/>
        <v>45780</v>
      </c>
      <c r="D1846" s="4">
        <f t="shared" ca="1" si="201"/>
        <v>124</v>
      </c>
      <c r="E1846" s="2">
        <f t="shared" ca="1" si="202"/>
        <v>5840</v>
      </c>
      <c r="F1846" s="2">
        <f t="shared" ca="1" si="203"/>
        <v>31126</v>
      </c>
      <c r="G1846" s="2">
        <f t="shared" ca="1" si="204"/>
        <v>905</v>
      </c>
    </row>
    <row r="1847" spans="1:7" x14ac:dyDescent="0.3">
      <c r="A1847" s="5" t="str">
        <f t="shared" si="205"/>
        <v>Adidas</v>
      </c>
      <c r="B1847" s="5" t="str">
        <f t="shared" si="200"/>
        <v>Samba</v>
      </c>
      <c r="C1847" s="3">
        <f t="shared" si="206"/>
        <v>45781</v>
      </c>
      <c r="D1847" s="4">
        <f t="shared" ca="1" si="201"/>
        <v>241</v>
      </c>
      <c r="E1847" s="2">
        <f t="shared" ca="1" si="202"/>
        <v>10537</v>
      </c>
      <c r="F1847" s="2">
        <f t="shared" ca="1" si="203"/>
        <v>14509</v>
      </c>
      <c r="G1847" s="2">
        <f t="shared" ca="1" si="204"/>
        <v>461</v>
      </c>
    </row>
    <row r="1848" spans="1:7" x14ac:dyDescent="0.3">
      <c r="A1848" s="5" t="str">
        <f t="shared" si="205"/>
        <v>Puma</v>
      </c>
      <c r="B1848" s="5" t="str">
        <f t="shared" si="200"/>
        <v>Mayze</v>
      </c>
      <c r="C1848" s="3">
        <f t="shared" si="206"/>
        <v>45781</v>
      </c>
      <c r="D1848" s="4">
        <f t="shared" ca="1" si="201"/>
        <v>234</v>
      </c>
      <c r="E1848" s="2">
        <f t="shared" ca="1" si="202"/>
        <v>10139</v>
      </c>
      <c r="F1848" s="2">
        <f t="shared" ca="1" si="203"/>
        <v>29737</v>
      </c>
      <c r="G1848" s="2">
        <f t="shared" ca="1" si="204"/>
        <v>999</v>
      </c>
    </row>
    <row r="1849" spans="1:7" x14ac:dyDescent="0.3">
      <c r="A1849" s="5" t="str">
        <f t="shared" si="205"/>
        <v>New Balance</v>
      </c>
      <c r="B1849" s="5" t="str">
        <f t="shared" si="200"/>
        <v>574 Core</v>
      </c>
      <c r="C1849" s="3">
        <f t="shared" si="206"/>
        <v>45781</v>
      </c>
      <c r="D1849" s="4">
        <f t="shared" ca="1" si="201"/>
        <v>213</v>
      </c>
      <c r="E1849" s="2">
        <f t="shared" ca="1" si="202"/>
        <v>7797</v>
      </c>
      <c r="F1849" s="2">
        <f t="shared" ca="1" si="203"/>
        <v>14336</v>
      </c>
      <c r="G1849" s="2">
        <f t="shared" ca="1" si="204"/>
        <v>749</v>
      </c>
    </row>
    <row r="1850" spans="1:7" x14ac:dyDescent="0.3">
      <c r="A1850" s="5" t="str">
        <f t="shared" si="205"/>
        <v>Reebok</v>
      </c>
      <c r="B1850" s="5" t="str">
        <f t="shared" si="200"/>
        <v>Club C 85</v>
      </c>
      <c r="C1850" s="3">
        <f t="shared" si="206"/>
        <v>45781</v>
      </c>
      <c r="D1850" s="4">
        <f t="shared" ca="1" si="201"/>
        <v>241</v>
      </c>
      <c r="E1850" s="2">
        <f t="shared" ca="1" si="202"/>
        <v>9392</v>
      </c>
      <c r="F1850" s="2">
        <f t="shared" ca="1" si="203"/>
        <v>32070</v>
      </c>
      <c r="G1850" s="2">
        <f t="shared" ca="1" si="204"/>
        <v>1032</v>
      </c>
    </row>
    <row r="1851" spans="1:7" x14ac:dyDescent="0.3">
      <c r="A1851" s="5" t="str">
        <f t="shared" si="205"/>
        <v>Nike</v>
      </c>
      <c r="B1851" s="5" t="str">
        <f t="shared" si="200"/>
        <v>Pegasus 40</v>
      </c>
      <c r="C1851" s="3">
        <f t="shared" si="206"/>
        <v>45781</v>
      </c>
      <c r="D1851" s="4">
        <f t="shared" ca="1" si="201"/>
        <v>232</v>
      </c>
      <c r="E1851" s="2">
        <f t="shared" ca="1" si="202"/>
        <v>5473</v>
      </c>
      <c r="F1851" s="2">
        <f t="shared" ca="1" si="203"/>
        <v>11698</v>
      </c>
      <c r="G1851" s="2">
        <f t="shared" ca="1" si="204"/>
        <v>864</v>
      </c>
    </row>
    <row r="1852" spans="1:7" x14ac:dyDescent="0.3">
      <c r="A1852" s="5" t="str">
        <f t="shared" si="205"/>
        <v>Adidas</v>
      </c>
      <c r="B1852" s="5" t="str">
        <f t="shared" si="200"/>
        <v>Gazelle</v>
      </c>
      <c r="C1852" s="3">
        <f t="shared" si="206"/>
        <v>45781</v>
      </c>
      <c r="D1852" s="4">
        <f t="shared" ca="1" si="201"/>
        <v>147</v>
      </c>
      <c r="E1852" s="2">
        <f t="shared" ca="1" si="202"/>
        <v>3617</v>
      </c>
      <c r="F1852" s="2">
        <f t="shared" ca="1" si="203"/>
        <v>29033</v>
      </c>
      <c r="G1852" s="2">
        <f t="shared" ca="1" si="204"/>
        <v>1178</v>
      </c>
    </row>
    <row r="1853" spans="1:7" x14ac:dyDescent="0.3">
      <c r="A1853" s="5" t="str">
        <f t="shared" si="205"/>
        <v>Puma</v>
      </c>
      <c r="B1853" s="5" t="str">
        <f t="shared" si="200"/>
        <v>Slipstream</v>
      </c>
      <c r="C1853" s="3">
        <f t="shared" si="206"/>
        <v>45781</v>
      </c>
      <c r="D1853" s="4">
        <f t="shared" ca="1" si="201"/>
        <v>93</v>
      </c>
      <c r="E1853" s="2">
        <f t="shared" ca="1" si="202"/>
        <v>3329</v>
      </c>
      <c r="F1853" s="2">
        <f t="shared" ca="1" si="203"/>
        <v>12760</v>
      </c>
      <c r="G1853" s="2">
        <f t="shared" ca="1" si="204"/>
        <v>691</v>
      </c>
    </row>
    <row r="1854" spans="1:7" x14ac:dyDescent="0.3">
      <c r="A1854" s="5" t="str">
        <f t="shared" si="205"/>
        <v>New Balance</v>
      </c>
      <c r="B1854" s="5" t="str">
        <f t="shared" si="200"/>
        <v>550</v>
      </c>
      <c r="C1854" s="3">
        <f t="shared" si="206"/>
        <v>45781</v>
      </c>
      <c r="D1854" s="4">
        <f t="shared" ca="1" si="201"/>
        <v>242</v>
      </c>
      <c r="E1854" s="2">
        <f t="shared" ca="1" si="202"/>
        <v>8037</v>
      </c>
      <c r="F1854" s="2">
        <f t="shared" ca="1" si="203"/>
        <v>21421</v>
      </c>
      <c r="G1854" s="2">
        <f t="shared" ca="1" si="204"/>
        <v>1194</v>
      </c>
    </row>
    <row r="1855" spans="1:7" x14ac:dyDescent="0.3">
      <c r="A1855" s="5" t="str">
        <f t="shared" si="205"/>
        <v>Reebok</v>
      </c>
      <c r="B1855" s="5" t="str">
        <f t="shared" si="200"/>
        <v>Classic Leather</v>
      </c>
      <c r="C1855" s="3">
        <f t="shared" si="206"/>
        <v>45781</v>
      </c>
      <c r="D1855" s="4">
        <f t="shared" ca="1" si="201"/>
        <v>130</v>
      </c>
      <c r="E1855" s="2">
        <f t="shared" ca="1" si="202"/>
        <v>5366</v>
      </c>
      <c r="F1855" s="2">
        <f t="shared" ca="1" si="203"/>
        <v>17472</v>
      </c>
      <c r="G1855" s="2">
        <f t="shared" ca="1" si="204"/>
        <v>446</v>
      </c>
    </row>
    <row r="1856" spans="1:7" x14ac:dyDescent="0.3">
      <c r="A1856" s="5" t="str">
        <f t="shared" si="205"/>
        <v>Nike</v>
      </c>
      <c r="B1856" s="5" t="str">
        <f t="shared" si="200"/>
        <v>Air Force 1</v>
      </c>
      <c r="C1856" s="3">
        <f t="shared" si="206"/>
        <v>45781</v>
      </c>
      <c r="D1856" s="4">
        <f t="shared" ca="1" si="201"/>
        <v>120</v>
      </c>
      <c r="E1856" s="2">
        <f t="shared" ca="1" si="202"/>
        <v>11252</v>
      </c>
      <c r="F1856" s="2">
        <f t="shared" ca="1" si="203"/>
        <v>21921</v>
      </c>
      <c r="G1856" s="2">
        <f t="shared" ca="1" si="204"/>
        <v>761</v>
      </c>
    </row>
    <row r="1857" spans="1:7" x14ac:dyDescent="0.3">
      <c r="A1857" s="5" t="str">
        <f t="shared" si="205"/>
        <v>Adidas</v>
      </c>
      <c r="B1857" s="5" t="str">
        <f t="shared" si="200"/>
        <v>Superstar</v>
      </c>
      <c r="C1857" s="3">
        <f t="shared" si="206"/>
        <v>45781</v>
      </c>
      <c r="D1857" s="4">
        <f t="shared" ca="1" si="201"/>
        <v>160</v>
      </c>
      <c r="E1857" s="2">
        <f t="shared" ca="1" si="202"/>
        <v>9138</v>
      </c>
      <c r="F1857" s="2">
        <f t="shared" ca="1" si="203"/>
        <v>20852</v>
      </c>
      <c r="G1857" s="2">
        <f t="shared" ca="1" si="204"/>
        <v>814</v>
      </c>
    </row>
    <row r="1858" spans="1:7" x14ac:dyDescent="0.3">
      <c r="A1858" s="5" t="str">
        <f t="shared" si="205"/>
        <v>Puma</v>
      </c>
      <c r="B1858" s="5" t="str">
        <f t="shared" si="200"/>
        <v>Rider Vintage</v>
      </c>
      <c r="C1858" s="3">
        <f t="shared" si="206"/>
        <v>45781</v>
      </c>
      <c r="D1858" s="4">
        <f t="shared" ca="1" si="201"/>
        <v>204</v>
      </c>
      <c r="E1858" s="2">
        <f t="shared" ca="1" si="202"/>
        <v>3199</v>
      </c>
      <c r="F1858" s="2">
        <f t="shared" ca="1" si="203"/>
        <v>12377</v>
      </c>
      <c r="G1858" s="2">
        <f t="shared" ca="1" si="204"/>
        <v>358</v>
      </c>
    </row>
    <row r="1859" spans="1:7" x14ac:dyDescent="0.3">
      <c r="A1859" s="5" t="str">
        <f t="shared" si="205"/>
        <v>New Balance</v>
      </c>
      <c r="B1859" s="5" t="str">
        <f t="shared" ref="B1859:B1922" si="207">IF(A1859="Nike",CHOOSE(MOD(ROW(A1858),6)+1,"Air Max 270","Air Force 1","Pegasus 40","Vaporfly 3","Cortez","Jordan 1"),
 IF(A1859="Adidas",CHOOSE(MOD(ROW(A1858),6)+1,"Ultraboost 23","Stan Smith","Superstar","Gazelle","Samba","NMD S1"),
 IF(A1859="Puma",CHOOSE(MOD(ROW(A1858),6)+1,"Suede Classic","RS-X","Cali Dream","Rider Vintage","Slipstream","Mayze"),
 IF(A1859="New Balance",CHOOSE(MOD(ROW(A1858),6)+1,"574 Core","990v6","2002R","9060","327","550"),
 IF(A1859="Reebok",CHOOSE(MOD(ROW(A1858),6)+1,"Classic Leather","Club C 85","Nano X3","Instapump Fury","Zig Kinetica","Question Mid"),"")))))</f>
        <v>327</v>
      </c>
      <c r="C1859" s="3">
        <f t="shared" si="206"/>
        <v>45781</v>
      </c>
      <c r="D1859" s="4">
        <f t="shared" ref="D1859:D1922" ca="1" si="208">RANDBETWEEN(20,250)</f>
        <v>213</v>
      </c>
      <c r="E1859" s="2">
        <f t="shared" ref="E1859:E1922" ca="1" si="209">ROUND(RANDBETWEEN(1500,12000)+(RANDBETWEEN(-200,200)),2)</f>
        <v>2170</v>
      </c>
      <c r="F1859" s="2">
        <f t="shared" ref="F1859:F1922" ca="1" si="210">RANDBETWEEN(5000,35000)</f>
        <v>30298</v>
      </c>
      <c r="G1859" s="2">
        <f t="shared" ref="G1859:G1922" ca="1" si="211">RANDBETWEEN(ROUND(F1859*0.02,0),ROUND(F1859*0.08,0))</f>
        <v>1708</v>
      </c>
    </row>
    <row r="1860" spans="1:7" x14ac:dyDescent="0.3">
      <c r="A1860" s="5" t="str">
        <f t="shared" si="205"/>
        <v>Reebok</v>
      </c>
      <c r="B1860" s="5" t="str">
        <f t="shared" si="207"/>
        <v>Question Mid</v>
      </c>
      <c r="C1860" s="3">
        <f t="shared" si="206"/>
        <v>45781</v>
      </c>
      <c r="D1860" s="4">
        <f t="shared" ca="1" si="208"/>
        <v>223</v>
      </c>
      <c r="E1860" s="2">
        <f t="shared" ca="1" si="209"/>
        <v>8257</v>
      </c>
      <c r="F1860" s="2">
        <f t="shared" ca="1" si="210"/>
        <v>21898</v>
      </c>
      <c r="G1860" s="2">
        <f t="shared" ca="1" si="211"/>
        <v>1678</v>
      </c>
    </row>
    <row r="1861" spans="1:7" x14ac:dyDescent="0.3">
      <c r="A1861" s="5" t="str">
        <f t="shared" si="205"/>
        <v>Nike</v>
      </c>
      <c r="B1861" s="5" t="str">
        <f t="shared" si="207"/>
        <v>Air Max 270</v>
      </c>
      <c r="C1861" s="3">
        <f t="shared" si="206"/>
        <v>45781</v>
      </c>
      <c r="D1861" s="4">
        <f t="shared" ca="1" si="208"/>
        <v>137</v>
      </c>
      <c r="E1861" s="2">
        <f t="shared" ca="1" si="209"/>
        <v>5094</v>
      </c>
      <c r="F1861" s="2">
        <f t="shared" ca="1" si="210"/>
        <v>22804</v>
      </c>
      <c r="G1861" s="2">
        <f t="shared" ca="1" si="211"/>
        <v>1771</v>
      </c>
    </row>
    <row r="1862" spans="1:7" x14ac:dyDescent="0.3">
      <c r="A1862" s="5" t="str">
        <f t="shared" si="205"/>
        <v>Adidas</v>
      </c>
      <c r="B1862" s="5" t="str">
        <f t="shared" si="207"/>
        <v>Stan Smith</v>
      </c>
      <c r="C1862" s="3">
        <f t="shared" si="206"/>
        <v>45782</v>
      </c>
      <c r="D1862" s="4">
        <f t="shared" ca="1" si="208"/>
        <v>229</v>
      </c>
      <c r="E1862" s="2">
        <f t="shared" ca="1" si="209"/>
        <v>3834</v>
      </c>
      <c r="F1862" s="2">
        <f t="shared" ca="1" si="210"/>
        <v>7366</v>
      </c>
      <c r="G1862" s="2">
        <f t="shared" ca="1" si="211"/>
        <v>279</v>
      </c>
    </row>
    <row r="1863" spans="1:7" x14ac:dyDescent="0.3">
      <c r="A1863" s="5" t="str">
        <f t="shared" si="205"/>
        <v>Puma</v>
      </c>
      <c r="B1863" s="5" t="str">
        <f t="shared" si="207"/>
        <v>Cali Dream</v>
      </c>
      <c r="C1863" s="3">
        <f t="shared" si="206"/>
        <v>45782</v>
      </c>
      <c r="D1863" s="4">
        <f t="shared" ca="1" si="208"/>
        <v>27</v>
      </c>
      <c r="E1863" s="2">
        <f t="shared" ca="1" si="209"/>
        <v>6396</v>
      </c>
      <c r="F1863" s="2">
        <f t="shared" ca="1" si="210"/>
        <v>22690</v>
      </c>
      <c r="G1863" s="2">
        <f t="shared" ca="1" si="211"/>
        <v>1055</v>
      </c>
    </row>
    <row r="1864" spans="1:7" x14ac:dyDescent="0.3">
      <c r="A1864" s="5" t="str">
        <f t="shared" si="205"/>
        <v>New Balance</v>
      </c>
      <c r="B1864" s="5" t="str">
        <f t="shared" si="207"/>
        <v>9060</v>
      </c>
      <c r="C1864" s="3">
        <f t="shared" si="206"/>
        <v>45782</v>
      </c>
      <c r="D1864" s="4">
        <f t="shared" ca="1" si="208"/>
        <v>100</v>
      </c>
      <c r="E1864" s="2">
        <f t="shared" ca="1" si="209"/>
        <v>6672</v>
      </c>
      <c r="F1864" s="2">
        <f t="shared" ca="1" si="210"/>
        <v>5414</v>
      </c>
      <c r="G1864" s="2">
        <f t="shared" ca="1" si="211"/>
        <v>188</v>
      </c>
    </row>
    <row r="1865" spans="1:7" x14ac:dyDescent="0.3">
      <c r="A1865" s="5" t="str">
        <f t="shared" si="205"/>
        <v>Reebok</v>
      </c>
      <c r="B1865" s="5" t="str">
        <f t="shared" si="207"/>
        <v>Zig Kinetica</v>
      </c>
      <c r="C1865" s="3">
        <f t="shared" si="206"/>
        <v>45782</v>
      </c>
      <c r="D1865" s="4">
        <f t="shared" ca="1" si="208"/>
        <v>78</v>
      </c>
      <c r="E1865" s="2">
        <f t="shared" ca="1" si="209"/>
        <v>11100</v>
      </c>
      <c r="F1865" s="2">
        <f t="shared" ca="1" si="210"/>
        <v>12767</v>
      </c>
      <c r="G1865" s="2">
        <f t="shared" ca="1" si="211"/>
        <v>681</v>
      </c>
    </row>
    <row r="1866" spans="1:7" x14ac:dyDescent="0.3">
      <c r="A1866" s="5" t="str">
        <f t="shared" si="205"/>
        <v>Nike</v>
      </c>
      <c r="B1866" s="5" t="str">
        <f t="shared" si="207"/>
        <v>Jordan 1</v>
      </c>
      <c r="C1866" s="3">
        <f t="shared" si="206"/>
        <v>45782</v>
      </c>
      <c r="D1866" s="4">
        <f t="shared" ca="1" si="208"/>
        <v>84</v>
      </c>
      <c r="E1866" s="2">
        <f t="shared" ca="1" si="209"/>
        <v>3100</v>
      </c>
      <c r="F1866" s="2">
        <f t="shared" ca="1" si="210"/>
        <v>33819</v>
      </c>
      <c r="G1866" s="2">
        <f t="shared" ca="1" si="211"/>
        <v>1505</v>
      </c>
    </row>
    <row r="1867" spans="1:7" x14ac:dyDescent="0.3">
      <c r="A1867" s="5" t="str">
        <f t="shared" si="205"/>
        <v>Adidas</v>
      </c>
      <c r="B1867" s="5" t="str">
        <f t="shared" si="207"/>
        <v>Ultraboost 23</v>
      </c>
      <c r="C1867" s="3">
        <f t="shared" si="206"/>
        <v>45782</v>
      </c>
      <c r="D1867" s="4">
        <f t="shared" ca="1" si="208"/>
        <v>130</v>
      </c>
      <c r="E1867" s="2">
        <f t="shared" ca="1" si="209"/>
        <v>11024</v>
      </c>
      <c r="F1867" s="2">
        <f t="shared" ca="1" si="210"/>
        <v>26982</v>
      </c>
      <c r="G1867" s="2">
        <f t="shared" ca="1" si="211"/>
        <v>1419</v>
      </c>
    </row>
    <row r="1868" spans="1:7" x14ac:dyDescent="0.3">
      <c r="A1868" s="5" t="str">
        <f t="shared" si="205"/>
        <v>Puma</v>
      </c>
      <c r="B1868" s="5" t="str">
        <f t="shared" si="207"/>
        <v>RS-X</v>
      </c>
      <c r="C1868" s="3">
        <f t="shared" si="206"/>
        <v>45782</v>
      </c>
      <c r="D1868" s="4">
        <f t="shared" ca="1" si="208"/>
        <v>159</v>
      </c>
      <c r="E1868" s="2">
        <f t="shared" ca="1" si="209"/>
        <v>11563</v>
      </c>
      <c r="F1868" s="2">
        <f t="shared" ca="1" si="210"/>
        <v>29104</v>
      </c>
      <c r="G1868" s="2">
        <f t="shared" ca="1" si="211"/>
        <v>1320</v>
      </c>
    </row>
    <row r="1869" spans="1:7" x14ac:dyDescent="0.3">
      <c r="A1869" s="5" t="str">
        <f t="shared" si="205"/>
        <v>New Balance</v>
      </c>
      <c r="B1869" s="5" t="str">
        <f t="shared" si="207"/>
        <v>2002R</v>
      </c>
      <c r="C1869" s="3">
        <f t="shared" si="206"/>
        <v>45782</v>
      </c>
      <c r="D1869" s="4">
        <f t="shared" ca="1" si="208"/>
        <v>86</v>
      </c>
      <c r="E1869" s="2">
        <f t="shared" ca="1" si="209"/>
        <v>6262</v>
      </c>
      <c r="F1869" s="2">
        <f t="shared" ca="1" si="210"/>
        <v>18629</v>
      </c>
      <c r="G1869" s="2">
        <f t="shared" ca="1" si="211"/>
        <v>562</v>
      </c>
    </row>
    <row r="1870" spans="1:7" x14ac:dyDescent="0.3">
      <c r="A1870" s="5" t="str">
        <f t="shared" si="205"/>
        <v>Reebok</v>
      </c>
      <c r="B1870" s="5" t="str">
        <f t="shared" si="207"/>
        <v>Instapump Fury</v>
      </c>
      <c r="C1870" s="3">
        <f t="shared" si="206"/>
        <v>45782</v>
      </c>
      <c r="D1870" s="4">
        <f t="shared" ca="1" si="208"/>
        <v>104</v>
      </c>
      <c r="E1870" s="2">
        <f t="shared" ca="1" si="209"/>
        <v>7269</v>
      </c>
      <c r="F1870" s="2">
        <f t="shared" ca="1" si="210"/>
        <v>10042</v>
      </c>
      <c r="G1870" s="2">
        <f t="shared" ca="1" si="211"/>
        <v>271</v>
      </c>
    </row>
    <row r="1871" spans="1:7" x14ac:dyDescent="0.3">
      <c r="A1871" s="5" t="str">
        <f t="shared" si="205"/>
        <v>Nike</v>
      </c>
      <c r="B1871" s="5" t="str">
        <f t="shared" si="207"/>
        <v>Cortez</v>
      </c>
      <c r="C1871" s="3">
        <f t="shared" si="206"/>
        <v>45782</v>
      </c>
      <c r="D1871" s="4">
        <f t="shared" ca="1" si="208"/>
        <v>249</v>
      </c>
      <c r="E1871" s="2">
        <f t="shared" ca="1" si="209"/>
        <v>6677</v>
      </c>
      <c r="F1871" s="2">
        <f t="shared" ca="1" si="210"/>
        <v>30142</v>
      </c>
      <c r="G1871" s="2">
        <f t="shared" ca="1" si="211"/>
        <v>720</v>
      </c>
    </row>
    <row r="1872" spans="1:7" x14ac:dyDescent="0.3">
      <c r="A1872" s="5" t="str">
        <f t="shared" si="205"/>
        <v>Adidas</v>
      </c>
      <c r="B1872" s="5" t="str">
        <f t="shared" si="207"/>
        <v>NMD S1</v>
      </c>
      <c r="C1872" s="3">
        <f t="shared" si="206"/>
        <v>45782</v>
      </c>
      <c r="D1872" s="4">
        <f t="shared" ca="1" si="208"/>
        <v>140</v>
      </c>
      <c r="E1872" s="2">
        <f t="shared" ca="1" si="209"/>
        <v>9270</v>
      </c>
      <c r="F1872" s="2">
        <f t="shared" ca="1" si="210"/>
        <v>29897</v>
      </c>
      <c r="G1872" s="2">
        <f t="shared" ca="1" si="211"/>
        <v>2067</v>
      </c>
    </row>
    <row r="1873" spans="1:7" x14ac:dyDescent="0.3">
      <c r="A1873" s="5" t="str">
        <f t="shared" si="205"/>
        <v>Puma</v>
      </c>
      <c r="B1873" s="5" t="str">
        <f t="shared" si="207"/>
        <v>Suede Classic</v>
      </c>
      <c r="C1873" s="3">
        <f t="shared" si="206"/>
        <v>45782</v>
      </c>
      <c r="D1873" s="4">
        <f t="shared" ca="1" si="208"/>
        <v>113</v>
      </c>
      <c r="E1873" s="2">
        <f t="shared" ca="1" si="209"/>
        <v>5649</v>
      </c>
      <c r="F1873" s="2">
        <f t="shared" ca="1" si="210"/>
        <v>27469</v>
      </c>
      <c r="G1873" s="2">
        <f t="shared" ca="1" si="211"/>
        <v>1208</v>
      </c>
    </row>
    <row r="1874" spans="1:7" x14ac:dyDescent="0.3">
      <c r="A1874" s="5" t="str">
        <f t="shared" si="205"/>
        <v>New Balance</v>
      </c>
      <c r="B1874" s="5" t="str">
        <f t="shared" si="207"/>
        <v>990v6</v>
      </c>
      <c r="C1874" s="3">
        <f t="shared" si="206"/>
        <v>45782</v>
      </c>
      <c r="D1874" s="4">
        <f t="shared" ca="1" si="208"/>
        <v>76</v>
      </c>
      <c r="E1874" s="2">
        <f t="shared" ca="1" si="209"/>
        <v>2590</v>
      </c>
      <c r="F1874" s="2">
        <f t="shared" ca="1" si="210"/>
        <v>20827</v>
      </c>
      <c r="G1874" s="2">
        <f t="shared" ca="1" si="211"/>
        <v>1143</v>
      </c>
    </row>
    <row r="1875" spans="1:7" x14ac:dyDescent="0.3">
      <c r="A1875" s="5" t="str">
        <f t="shared" si="205"/>
        <v>Reebok</v>
      </c>
      <c r="B1875" s="5" t="str">
        <f t="shared" si="207"/>
        <v>Nano X3</v>
      </c>
      <c r="C1875" s="3">
        <f t="shared" si="206"/>
        <v>45782</v>
      </c>
      <c r="D1875" s="4">
        <f t="shared" ca="1" si="208"/>
        <v>48</v>
      </c>
      <c r="E1875" s="2">
        <f t="shared" ca="1" si="209"/>
        <v>4679</v>
      </c>
      <c r="F1875" s="2">
        <f t="shared" ca="1" si="210"/>
        <v>28144</v>
      </c>
      <c r="G1875" s="2">
        <f t="shared" ca="1" si="211"/>
        <v>749</v>
      </c>
    </row>
    <row r="1876" spans="1:7" x14ac:dyDescent="0.3">
      <c r="A1876" s="5" t="str">
        <f t="shared" si="205"/>
        <v>Nike</v>
      </c>
      <c r="B1876" s="5" t="str">
        <f t="shared" si="207"/>
        <v>Vaporfly 3</v>
      </c>
      <c r="C1876" s="3">
        <f t="shared" si="206"/>
        <v>45782</v>
      </c>
      <c r="D1876" s="4">
        <f t="shared" ca="1" si="208"/>
        <v>121</v>
      </c>
      <c r="E1876" s="2">
        <f t="shared" ca="1" si="209"/>
        <v>9571</v>
      </c>
      <c r="F1876" s="2">
        <f t="shared" ca="1" si="210"/>
        <v>7544</v>
      </c>
      <c r="G1876" s="2">
        <f t="shared" ca="1" si="211"/>
        <v>254</v>
      </c>
    </row>
    <row r="1877" spans="1:7" x14ac:dyDescent="0.3">
      <c r="A1877" s="5" t="str">
        <f t="shared" si="205"/>
        <v>Adidas</v>
      </c>
      <c r="B1877" s="5" t="str">
        <f t="shared" si="207"/>
        <v>Samba</v>
      </c>
      <c r="C1877" s="3">
        <f t="shared" si="206"/>
        <v>45783</v>
      </c>
      <c r="D1877" s="4">
        <f t="shared" ca="1" si="208"/>
        <v>109</v>
      </c>
      <c r="E1877" s="2">
        <f t="shared" ca="1" si="209"/>
        <v>2858</v>
      </c>
      <c r="F1877" s="2">
        <f t="shared" ca="1" si="210"/>
        <v>21295</v>
      </c>
      <c r="G1877" s="2">
        <f t="shared" ca="1" si="211"/>
        <v>430</v>
      </c>
    </row>
    <row r="1878" spans="1:7" x14ac:dyDescent="0.3">
      <c r="A1878" s="5" t="str">
        <f t="shared" si="205"/>
        <v>Puma</v>
      </c>
      <c r="B1878" s="5" t="str">
        <f t="shared" si="207"/>
        <v>Mayze</v>
      </c>
      <c r="C1878" s="3">
        <f t="shared" si="206"/>
        <v>45783</v>
      </c>
      <c r="D1878" s="4">
        <f t="shared" ca="1" si="208"/>
        <v>238</v>
      </c>
      <c r="E1878" s="2">
        <f t="shared" ca="1" si="209"/>
        <v>4501</v>
      </c>
      <c r="F1878" s="2">
        <f t="shared" ca="1" si="210"/>
        <v>16061</v>
      </c>
      <c r="G1878" s="2">
        <f t="shared" ca="1" si="211"/>
        <v>619</v>
      </c>
    </row>
    <row r="1879" spans="1:7" x14ac:dyDescent="0.3">
      <c r="A1879" s="5" t="str">
        <f t="shared" si="205"/>
        <v>New Balance</v>
      </c>
      <c r="B1879" s="5" t="str">
        <f t="shared" si="207"/>
        <v>574 Core</v>
      </c>
      <c r="C1879" s="3">
        <f t="shared" si="206"/>
        <v>45783</v>
      </c>
      <c r="D1879" s="4">
        <f t="shared" ca="1" si="208"/>
        <v>67</v>
      </c>
      <c r="E1879" s="2">
        <f t="shared" ca="1" si="209"/>
        <v>1939</v>
      </c>
      <c r="F1879" s="2">
        <f t="shared" ca="1" si="210"/>
        <v>25673</v>
      </c>
      <c r="G1879" s="2">
        <f t="shared" ca="1" si="211"/>
        <v>571</v>
      </c>
    </row>
    <row r="1880" spans="1:7" x14ac:dyDescent="0.3">
      <c r="A1880" s="5" t="str">
        <f t="shared" si="205"/>
        <v>Reebok</v>
      </c>
      <c r="B1880" s="5" t="str">
        <f t="shared" si="207"/>
        <v>Club C 85</v>
      </c>
      <c r="C1880" s="3">
        <f t="shared" si="206"/>
        <v>45783</v>
      </c>
      <c r="D1880" s="4">
        <f t="shared" ca="1" si="208"/>
        <v>58</v>
      </c>
      <c r="E1880" s="2">
        <f t="shared" ca="1" si="209"/>
        <v>8032</v>
      </c>
      <c r="F1880" s="2">
        <f t="shared" ca="1" si="210"/>
        <v>18704</v>
      </c>
      <c r="G1880" s="2">
        <f t="shared" ca="1" si="211"/>
        <v>520</v>
      </c>
    </row>
    <row r="1881" spans="1:7" x14ac:dyDescent="0.3">
      <c r="A1881" s="5" t="str">
        <f t="shared" si="205"/>
        <v>Nike</v>
      </c>
      <c r="B1881" s="5" t="str">
        <f t="shared" si="207"/>
        <v>Pegasus 40</v>
      </c>
      <c r="C1881" s="3">
        <f t="shared" si="206"/>
        <v>45783</v>
      </c>
      <c r="D1881" s="4">
        <f t="shared" ca="1" si="208"/>
        <v>85</v>
      </c>
      <c r="E1881" s="2">
        <f t="shared" ca="1" si="209"/>
        <v>9418</v>
      </c>
      <c r="F1881" s="2">
        <f t="shared" ca="1" si="210"/>
        <v>33106</v>
      </c>
      <c r="G1881" s="2">
        <f t="shared" ca="1" si="211"/>
        <v>751</v>
      </c>
    </row>
    <row r="1882" spans="1:7" x14ac:dyDescent="0.3">
      <c r="A1882" s="5" t="str">
        <f t="shared" si="205"/>
        <v>Adidas</v>
      </c>
      <c r="B1882" s="5" t="str">
        <f t="shared" si="207"/>
        <v>Gazelle</v>
      </c>
      <c r="C1882" s="3">
        <f t="shared" si="206"/>
        <v>45783</v>
      </c>
      <c r="D1882" s="4">
        <f t="shared" ca="1" si="208"/>
        <v>135</v>
      </c>
      <c r="E1882" s="2">
        <f t="shared" ca="1" si="209"/>
        <v>6525</v>
      </c>
      <c r="F1882" s="2">
        <f t="shared" ca="1" si="210"/>
        <v>31140</v>
      </c>
      <c r="G1882" s="2">
        <f t="shared" ca="1" si="211"/>
        <v>2220</v>
      </c>
    </row>
    <row r="1883" spans="1:7" x14ac:dyDescent="0.3">
      <c r="A1883" s="5" t="str">
        <f t="shared" si="205"/>
        <v>Puma</v>
      </c>
      <c r="B1883" s="5" t="str">
        <f t="shared" si="207"/>
        <v>Slipstream</v>
      </c>
      <c r="C1883" s="3">
        <f t="shared" si="206"/>
        <v>45783</v>
      </c>
      <c r="D1883" s="4">
        <f t="shared" ca="1" si="208"/>
        <v>65</v>
      </c>
      <c r="E1883" s="2">
        <f t="shared" ca="1" si="209"/>
        <v>2025</v>
      </c>
      <c r="F1883" s="2">
        <f t="shared" ca="1" si="210"/>
        <v>24472</v>
      </c>
      <c r="G1883" s="2">
        <f t="shared" ca="1" si="211"/>
        <v>1957</v>
      </c>
    </row>
    <row r="1884" spans="1:7" x14ac:dyDescent="0.3">
      <c r="A1884" s="5" t="str">
        <f t="shared" si="205"/>
        <v>New Balance</v>
      </c>
      <c r="B1884" s="5" t="str">
        <f t="shared" si="207"/>
        <v>550</v>
      </c>
      <c r="C1884" s="3">
        <f t="shared" si="206"/>
        <v>45783</v>
      </c>
      <c r="D1884" s="4">
        <f t="shared" ca="1" si="208"/>
        <v>152</v>
      </c>
      <c r="E1884" s="2">
        <f t="shared" ca="1" si="209"/>
        <v>2218</v>
      </c>
      <c r="F1884" s="2">
        <f t="shared" ca="1" si="210"/>
        <v>5677</v>
      </c>
      <c r="G1884" s="2">
        <f t="shared" ca="1" si="211"/>
        <v>325</v>
      </c>
    </row>
    <row r="1885" spans="1:7" x14ac:dyDescent="0.3">
      <c r="A1885" s="5" t="str">
        <f t="shared" si="205"/>
        <v>Reebok</v>
      </c>
      <c r="B1885" s="5" t="str">
        <f t="shared" si="207"/>
        <v>Classic Leather</v>
      </c>
      <c r="C1885" s="3">
        <f t="shared" si="206"/>
        <v>45783</v>
      </c>
      <c r="D1885" s="4">
        <f t="shared" ca="1" si="208"/>
        <v>63</v>
      </c>
      <c r="E1885" s="2">
        <f t="shared" ca="1" si="209"/>
        <v>7541</v>
      </c>
      <c r="F1885" s="2">
        <f t="shared" ca="1" si="210"/>
        <v>9783</v>
      </c>
      <c r="G1885" s="2">
        <f t="shared" ca="1" si="211"/>
        <v>256</v>
      </c>
    </row>
    <row r="1886" spans="1:7" x14ac:dyDescent="0.3">
      <c r="A1886" s="5" t="str">
        <f t="shared" si="205"/>
        <v>Nike</v>
      </c>
      <c r="B1886" s="5" t="str">
        <f t="shared" si="207"/>
        <v>Air Force 1</v>
      </c>
      <c r="C1886" s="3">
        <f t="shared" si="206"/>
        <v>45783</v>
      </c>
      <c r="D1886" s="4">
        <f t="shared" ca="1" si="208"/>
        <v>149</v>
      </c>
      <c r="E1886" s="2">
        <f t="shared" ca="1" si="209"/>
        <v>6696</v>
      </c>
      <c r="F1886" s="2">
        <f t="shared" ca="1" si="210"/>
        <v>19548</v>
      </c>
      <c r="G1886" s="2">
        <f t="shared" ca="1" si="211"/>
        <v>1058</v>
      </c>
    </row>
    <row r="1887" spans="1:7" x14ac:dyDescent="0.3">
      <c r="A1887" s="5" t="str">
        <f t="shared" si="205"/>
        <v>Adidas</v>
      </c>
      <c r="B1887" s="5" t="str">
        <f t="shared" si="207"/>
        <v>Superstar</v>
      </c>
      <c r="C1887" s="3">
        <f t="shared" si="206"/>
        <v>45783</v>
      </c>
      <c r="D1887" s="4">
        <f t="shared" ca="1" si="208"/>
        <v>211</v>
      </c>
      <c r="E1887" s="2">
        <f t="shared" ca="1" si="209"/>
        <v>3873</v>
      </c>
      <c r="F1887" s="2">
        <f t="shared" ca="1" si="210"/>
        <v>20034</v>
      </c>
      <c r="G1887" s="2">
        <f t="shared" ca="1" si="211"/>
        <v>440</v>
      </c>
    </row>
    <row r="1888" spans="1:7" x14ac:dyDescent="0.3">
      <c r="A1888" s="5" t="str">
        <f t="shared" si="205"/>
        <v>Puma</v>
      </c>
      <c r="B1888" s="5" t="str">
        <f t="shared" si="207"/>
        <v>Rider Vintage</v>
      </c>
      <c r="C1888" s="3">
        <f t="shared" si="206"/>
        <v>45783</v>
      </c>
      <c r="D1888" s="4">
        <f t="shared" ca="1" si="208"/>
        <v>177</v>
      </c>
      <c r="E1888" s="2">
        <f t="shared" ca="1" si="209"/>
        <v>2659</v>
      </c>
      <c r="F1888" s="2">
        <f t="shared" ca="1" si="210"/>
        <v>16721</v>
      </c>
      <c r="G1888" s="2">
        <f t="shared" ca="1" si="211"/>
        <v>1297</v>
      </c>
    </row>
    <row r="1889" spans="1:7" x14ac:dyDescent="0.3">
      <c r="A1889" s="5" t="str">
        <f t="shared" si="205"/>
        <v>New Balance</v>
      </c>
      <c r="B1889" s="5" t="str">
        <f t="shared" si="207"/>
        <v>327</v>
      </c>
      <c r="C1889" s="3">
        <f t="shared" si="206"/>
        <v>45783</v>
      </c>
      <c r="D1889" s="4">
        <f t="shared" ca="1" si="208"/>
        <v>133</v>
      </c>
      <c r="E1889" s="2">
        <f t="shared" ca="1" si="209"/>
        <v>7126</v>
      </c>
      <c r="F1889" s="2">
        <f t="shared" ca="1" si="210"/>
        <v>9086</v>
      </c>
      <c r="G1889" s="2">
        <f t="shared" ca="1" si="211"/>
        <v>380</v>
      </c>
    </row>
    <row r="1890" spans="1:7" x14ac:dyDescent="0.3">
      <c r="A1890" s="5" t="str">
        <f t="shared" si="205"/>
        <v>Reebok</v>
      </c>
      <c r="B1890" s="5" t="str">
        <f t="shared" si="207"/>
        <v>Question Mid</v>
      </c>
      <c r="C1890" s="3">
        <f t="shared" si="206"/>
        <v>45783</v>
      </c>
      <c r="D1890" s="4">
        <f t="shared" ca="1" si="208"/>
        <v>52</v>
      </c>
      <c r="E1890" s="2">
        <f t="shared" ca="1" si="209"/>
        <v>8545</v>
      </c>
      <c r="F1890" s="2">
        <f t="shared" ca="1" si="210"/>
        <v>7749</v>
      </c>
      <c r="G1890" s="2">
        <f t="shared" ca="1" si="211"/>
        <v>311</v>
      </c>
    </row>
    <row r="1891" spans="1:7" x14ac:dyDescent="0.3">
      <c r="A1891" s="5" t="str">
        <f t="shared" si="205"/>
        <v>Nike</v>
      </c>
      <c r="B1891" s="5" t="str">
        <f t="shared" si="207"/>
        <v>Air Max 270</v>
      </c>
      <c r="C1891" s="3">
        <f t="shared" si="206"/>
        <v>45783</v>
      </c>
      <c r="D1891" s="4">
        <f t="shared" ca="1" si="208"/>
        <v>85</v>
      </c>
      <c r="E1891" s="2">
        <f t="shared" ca="1" si="209"/>
        <v>2065</v>
      </c>
      <c r="F1891" s="2">
        <f t="shared" ca="1" si="210"/>
        <v>29643</v>
      </c>
      <c r="G1891" s="2">
        <f t="shared" ca="1" si="211"/>
        <v>1939</v>
      </c>
    </row>
    <row r="1892" spans="1:7" x14ac:dyDescent="0.3">
      <c r="A1892" s="5" t="str">
        <f t="shared" si="205"/>
        <v>Adidas</v>
      </c>
      <c r="B1892" s="5" t="str">
        <f t="shared" si="207"/>
        <v>Stan Smith</v>
      </c>
      <c r="C1892" s="3">
        <f t="shared" si="206"/>
        <v>45784</v>
      </c>
      <c r="D1892" s="4">
        <f t="shared" ca="1" si="208"/>
        <v>89</v>
      </c>
      <c r="E1892" s="2">
        <f t="shared" ca="1" si="209"/>
        <v>6227</v>
      </c>
      <c r="F1892" s="2">
        <f t="shared" ca="1" si="210"/>
        <v>16610</v>
      </c>
      <c r="G1892" s="2">
        <f t="shared" ca="1" si="211"/>
        <v>1135</v>
      </c>
    </row>
    <row r="1893" spans="1:7" x14ac:dyDescent="0.3">
      <c r="A1893" s="5" t="str">
        <f t="shared" si="205"/>
        <v>Puma</v>
      </c>
      <c r="B1893" s="5" t="str">
        <f t="shared" si="207"/>
        <v>Cali Dream</v>
      </c>
      <c r="C1893" s="3">
        <f t="shared" si="206"/>
        <v>45784</v>
      </c>
      <c r="D1893" s="4">
        <f t="shared" ca="1" si="208"/>
        <v>49</v>
      </c>
      <c r="E1893" s="2">
        <f t="shared" ca="1" si="209"/>
        <v>7111</v>
      </c>
      <c r="F1893" s="2">
        <f t="shared" ca="1" si="210"/>
        <v>5658</v>
      </c>
      <c r="G1893" s="2">
        <f t="shared" ca="1" si="211"/>
        <v>140</v>
      </c>
    </row>
    <row r="1894" spans="1:7" x14ac:dyDescent="0.3">
      <c r="A1894" s="5" t="str">
        <f t="shared" si="205"/>
        <v>New Balance</v>
      </c>
      <c r="B1894" s="5" t="str">
        <f t="shared" si="207"/>
        <v>9060</v>
      </c>
      <c r="C1894" s="3">
        <f t="shared" si="206"/>
        <v>45784</v>
      </c>
      <c r="D1894" s="4">
        <f t="shared" ca="1" si="208"/>
        <v>69</v>
      </c>
      <c r="E1894" s="2">
        <f t="shared" ca="1" si="209"/>
        <v>11550</v>
      </c>
      <c r="F1894" s="2">
        <f t="shared" ca="1" si="210"/>
        <v>33735</v>
      </c>
      <c r="G1894" s="2">
        <f t="shared" ca="1" si="211"/>
        <v>1673</v>
      </c>
    </row>
    <row r="1895" spans="1:7" x14ac:dyDescent="0.3">
      <c r="A1895" s="5" t="str">
        <f t="shared" si="205"/>
        <v>Reebok</v>
      </c>
      <c r="B1895" s="5" t="str">
        <f t="shared" si="207"/>
        <v>Zig Kinetica</v>
      </c>
      <c r="C1895" s="3">
        <f t="shared" si="206"/>
        <v>45784</v>
      </c>
      <c r="D1895" s="4">
        <f t="shared" ca="1" si="208"/>
        <v>96</v>
      </c>
      <c r="E1895" s="2">
        <f t="shared" ca="1" si="209"/>
        <v>7250</v>
      </c>
      <c r="F1895" s="2">
        <f t="shared" ca="1" si="210"/>
        <v>10129</v>
      </c>
      <c r="G1895" s="2">
        <f t="shared" ca="1" si="211"/>
        <v>525</v>
      </c>
    </row>
    <row r="1896" spans="1:7" x14ac:dyDescent="0.3">
      <c r="A1896" s="5" t="str">
        <f t="shared" si="205"/>
        <v>Nike</v>
      </c>
      <c r="B1896" s="5" t="str">
        <f t="shared" si="207"/>
        <v>Jordan 1</v>
      </c>
      <c r="C1896" s="3">
        <f t="shared" si="206"/>
        <v>45784</v>
      </c>
      <c r="D1896" s="4">
        <f t="shared" ca="1" si="208"/>
        <v>135</v>
      </c>
      <c r="E1896" s="2">
        <f t="shared" ca="1" si="209"/>
        <v>4189</v>
      </c>
      <c r="F1896" s="2">
        <f t="shared" ca="1" si="210"/>
        <v>26775</v>
      </c>
      <c r="G1896" s="2">
        <f t="shared" ca="1" si="211"/>
        <v>868</v>
      </c>
    </row>
    <row r="1897" spans="1:7" x14ac:dyDescent="0.3">
      <c r="A1897" s="5" t="str">
        <f t="shared" si="205"/>
        <v>Adidas</v>
      </c>
      <c r="B1897" s="5" t="str">
        <f t="shared" si="207"/>
        <v>Ultraboost 23</v>
      </c>
      <c r="C1897" s="3">
        <f t="shared" si="206"/>
        <v>45784</v>
      </c>
      <c r="D1897" s="4">
        <f t="shared" ca="1" si="208"/>
        <v>181</v>
      </c>
      <c r="E1897" s="2">
        <f t="shared" ca="1" si="209"/>
        <v>3581</v>
      </c>
      <c r="F1897" s="2">
        <f t="shared" ca="1" si="210"/>
        <v>20286</v>
      </c>
      <c r="G1897" s="2">
        <f t="shared" ca="1" si="211"/>
        <v>792</v>
      </c>
    </row>
    <row r="1898" spans="1:7" x14ac:dyDescent="0.3">
      <c r="A1898" s="5" t="str">
        <f t="shared" si="205"/>
        <v>Puma</v>
      </c>
      <c r="B1898" s="5" t="str">
        <f t="shared" si="207"/>
        <v>RS-X</v>
      </c>
      <c r="C1898" s="3">
        <f t="shared" si="206"/>
        <v>45784</v>
      </c>
      <c r="D1898" s="4">
        <f t="shared" ca="1" si="208"/>
        <v>65</v>
      </c>
      <c r="E1898" s="2">
        <f t="shared" ca="1" si="209"/>
        <v>8811</v>
      </c>
      <c r="F1898" s="2">
        <f t="shared" ca="1" si="210"/>
        <v>20931</v>
      </c>
      <c r="G1898" s="2">
        <f t="shared" ca="1" si="211"/>
        <v>1341</v>
      </c>
    </row>
    <row r="1899" spans="1:7" x14ac:dyDescent="0.3">
      <c r="A1899" s="5" t="str">
        <f t="shared" ref="A1899:A1962" si="212">CHOOSE(MOD(ROW(A1898),5)+1,"Nike","Adidas","Puma","New Balance","Reebok")</f>
        <v>New Balance</v>
      </c>
      <c r="B1899" s="5" t="str">
        <f t="shared" si="207"/>
        <v>2002R</v>
      </c>
      <c r="C1899" s="3">
        <f t="shared" ref="C1899:C1962" si="213">DATE(2025,1,1)+INT((ROW(A1899)-2)/15)</f>
        <v>45784</v>
      </c>
      <c r="D1899" s="4">
        <f t="shared" ca="1" si="208"/>
        <v>234</v>
      </c>
      <c r="E1899" s="2">
        <f t="shared" ca="1" si="209"/>
        <v>3171</v>
      </c>
      <c r="F1899" s="2">
        <f t="shared" ca="1" si="210"/>
        <v>13401</v>
      </c>
      <c r="G1899" s="2">
        <f t="shared" ca="1" si="211"/>
        <v>606</v>
      </c>
    </row>
    <row r="1900" spans="1:7" x14ac:dyDescent="0.3">
      <c r="A1900" s="5" t="str">
        <f t="shared" si="212"/>
        <v>Reebok</v>
      </c>
      <c r="B1900" s="5" t="str">
        <f t="shared" si="207"/>
        <v>Instapump Fury</v>
      </c>
      <c r="C1900" s="3">
        <f t="shared" si="213"/>
        <v>45784</v>
      </c>
      <c r="D1900" s="4">
        <f t="shared" ca="1" si="208"/>
        <v>90</v>
      </c>
      <c r="E1900" s="2">
        <f t="shared" ca="1" si="209"/>
        <v>6066</v>
      </c>
      <c r="F1900" s="2">
        <f t="shared" ca="1" si="210"/>
        <v>11407</v>
      </c>
      <c r="G1900" s="2">
        <f t="shared" ca="1" si="211"/>
        <v>667</v>
      </c>
    </row>
    <row r="1901" spans="1:7" x14ac:dyDescent="0.3">
      <c r="A1901" s="5" t="str">
        <f t="shared" si="212"/>
        <v>Nike</v>
      </c>
      <c r="B1901" s="5" t="str">
        <f t="shared" si="207"/>
        <v>Cortez</v>
      </c>
      <c r="C1901" s="3">
        <f t="shared" si="213"/>
        <v>45784</v>
      </c>
      <c r="D1901" s="4">
        <f t="shared" ca="1" si="208"/>
        <v>249</v>
      </c>
      <c r="E1901" s="2">
        <f t="shared" ca="1" si="209"/>
        <v>10207</v>
      </c>
      <c r="F1901" s="2">
        <f t="shared" ca="1" si="210"/>
        <v>13520</v>
      </c>
      <c r="G1901" s="2">
        <f t="shared" ca="1" si="211"/>
        <v>997</v>
      </c>
    </row>
    <row r="1902" spans="1:7" x14ac:dyDescent="0.3">
      <c r="A1902" s="5" t="str">
        <f t="shared" si="212"/>
        <v>Adidas</v>
      </c>
      <c r="B1902" s="5" t="str">
        <f t="shared" si="207"/>
        <v>NMD S1</v>
      </c>
      <c r="C1902" s="3">
        <f t="shared" si="213"/>
        <v>45784</v>
      </c>
      <c r="D1902" s="4">
        <f t="shared" ca="1" si="208"/>
        <v>131</v>
      </c>
      <c r="E1902" s="2">
        <f t="shared" ca="1" si="209"/>
        <v>8063</v>
      </c>
      <c r="F1902" s="2">
        <f t="shared" ca="1" si="210"/>
        <v>17714</v>
      </c>
      <c r="G1902" s="2">
        <f t="shared" ca="1" si="211"/>
        <v>1383</v>
      </c>
    </row>
    <row r="1903" spans="1:7" x14ac:dyDescent="0.3">
      <c r="A1903" s="5" t="str">
        <f t="shared" si="212"/>
        <v>Puma</v>
      </c>
      <c r="B1903" s="5" t="str">
        <f t="shared" si="207"/>
        <v>Suede Classic</v>
      </c>
      <c r="C1903" s="3">
        <f t="shared" si="213"/>
        <v>45784</v>
      </c>
      <c r="D1903" s="4">
        <f t="shared" ca="1" si="208"/>
        <v>24</v>
      </c>
      <c r="E1903" s="2">
        <f t="shared" ca="1" si="209"/>
        <v>5080</v>
      </c>
      <c r="F1903" s="2">
        <f t="shared" ca="1" si="210"/>
        <v>12330</v>
      </c>
      <c r="G1903" s="2">
        <f t="shared" ca="1" si="211"/>
        <v>947</v>
      </c>
    </row>
    <row r="1904" spans="1:7" x14ac:dyDescent="0.3">
      <c r="A1904" s="5" t="str">
        <f t="shared" si="212"/>
        <v>New Balance</v>
      </c>
      <c r="B1904" s="5" t="str">
        <f t="shared" si="207"/>
        <v>990v6</v>
      </c>
      <c r="C1904" s="3">
        <f t="shared" si="213"/>
        <v>45784</v>
      </c>
      <c r="D1904" s="4">
        <f t="shared" ca="1" si="208"/>
        <v>109</v>
      </c>
      <c r="E1904" s="2">
        <f t="shared" ca="1" si="209"/>
        <v>11178</v>
      </c>
      <c r="F1904" s="2">
        <f t="shared" ca="1" si="210"/>
        <v>24693</v>
      </c>
      <c r="G1904" s="2">
        <f t="shared" ca="1" si="211"/>
        <v>1028</v>
      </c>
    </row>
    <row r="1905" spans="1:7" x14ac:dyDescent="0.3">
      <c r="A1905" s="5" t="str">
        <f t="shared" si="212"/>
        <v>Reebok</v>
      </c>
      <c r="B1905" s="5" t="str">
        <f t="shared" si="207"/>
        <v>Nano X3</v>
      </c>
      <c r="C1905" s="3">
        <f t="shared" si="213"/>
        <v>45784</v>
      </c>
      <c r="D1905" s="4">
        <f t="shared" ca="1" si="208"/>
        <v>74</v>
      </c>
      <c r="E1905" s="2">
        <f t="shared" ca="1" si="209"/>
        <v>10111</v>
      </c>
      <c r="F1905" s="2">
        <f t="shared" ca="1" si="210"/>
        <v>30131</v>
      </c>
      <c r="G1905" s="2">
        <f t="shared" ca="1" si="211"/>
        <v>2126</v>
      </c>
    </row>
    <row r="1906" spans="1:7" x14ac:dyDescent="0.3">
      <c r="A1906" s="5" t="str">
        <f t="shared" si="212"/>
        <v>Nike</v>
      </c>
      <c r="B1906" s="5" t="str">
        <f t="shared" si="207"/>
        <v>Vaporfly 3</v>
      </c>
      <c r="C1906" s="3">
        <f t="shared" si="213"/>
        <v>45784</v>
      </c>
      <c r="D1906" s="4">
        <f t="shared" ca="1" si="208"/>
        <v>182</v>
      </c>
      <c r="E1906" s="2">
        <f t="shared" ca="1" si="209"/>
        <v>4311</v>
      </c>
      <c r="F1906" s="2">
        <f t="shared" ca="1" si="210"/>
        <v>32698</v>
      </c>
      <c r="G1906" s="2">
        <f t="shared" ca="1" si="211"/>
        <v>1733</v>
      </c>
    </row>
    <row r="1907" spans="1:7" x14ac:dyDescent="0.3">
      <c r="A1907" s="5" t="str">
        <f t="shared" si="212"/>
        <v>Adidas</v>
      </c>
      <c r="B1907" s="5" t="str">
        <f t="shared" si="207"/>
        <v>Samba</v>
      </c>
      <c r="C1907" s="3">
        <f t="shared" si="213"/>
        <v>45785</v>
      </c>
      <c r="D1907" s="4">
        <f t="shared" ca="1" si="208"/>
        <v>55</v>
      </c>
      <c r="E1907" s="2">
        <f t="shared" ca="1" si="209"/>
        <v>6705</v>
      </c>
      <c r="F1907" s="2">
        <f t="shared" ca="1" si="210"/>
        <v>26644</v>
      </c>
      <c r="G1907" s="2">
        <f t="shared" ca="1" si="211"/>
        <v>1580</v>
      </c>
    </row>
    <row r="1908" spans="1:7" x14ac:dyDescent="0.3">
      <c r="A1908" s="5" t="str">
        <f t="shared" si="212"/>
        <v>Puma</v>
      </c>
      <c r="B1908" s="5" t="str">
        <f t="shared" si="207"/>
        <v>Mayze</v>
      </c>
      <c r="C1908" s="3">
        <f t="shared" si="213"/>
        <v>45785</v>
      </c>
      <c r="D1908" s="4">
        <f t="shared" ca="1" si="208"/>
        <v>241</v>
      </c>
      <c r="E1908" s="2">
        <f t="shared" ca="1" si="209"/>
        <v>2028</v>
      </c>
      <c r="F1908" s="2">
        <f t="shared" ca="1" si="210"/>
        <v>9174</v>
      </c>
      <c r="G1908" s="2">
        <f t="shared" ca="1" si="211"/>
        <v>577</v>
      </c>
    </row>
    <row r="1909" spans="1:7" x14ac:dyDescent="0.3">
      <c r="A1909" s="5" t="str">
        <f t="shared" si="212"/>
        <v>New Balance</v>
      </c>
      <c r="B1909" s="5" t="str">
        <f t="shared" si="207"/>
        <v>574 Core</v>
      </c>
      <c r="C1909" s="3">
        <f t="shared" si="213"/>
        <v>45785</v>
      </c>
      <c r="D1909" s="4">
        <f t="shared" ca="1" si="208"/>
        <v>188</v>
      </c>
      <c r="E1909" s="2">
        <f t="shared" ca="1" si="209"/>
        <v>6084</v>
      </c>
      <c r="F1909" s="2">
        <f t="shared" ca="1" si="210"/>
        <v>6400</v>
      </c>
      <c r="G1909" s="2">
        <f t="shared" ca="1" si="211"/>
        <v>211</v>
      </c>
    </row>
    <row r="1910" spans="1:7" x14ac:dyDescent="0.3">
      <c r="A1910" s="5" t="str">
        <f t="shared" si="212"/>
        <v>Reebok</v>
      </c>
      <c r="B1910" s="5" t="str">
        <f t="shared" si="207"/>
        <v>Club C 85</v>
      </c>
      <c r="C1910" s="3">
        <f t="shared" si="213"/>
        <v>45785</v>
      </c>
      <c r="D1910" s="4">
        <f t="shared" ca="1" si="208"/>
        <v>123</v>
      </c>
      <c r="E1910" s="2">
        <f t="shared" ca="1" si="209"/>
        <v>2915</v>
      </c>
      <c r="F1910" s="2">
        <f t="shared" ca="1" si="210"/>
        <v>27283</v>
      </c>
      <c r="G1910" s="2">
        <f t="shared" ca="1" si="211"/>
        <v>1017</v>
      </c>
    </row>
    <row r="1911" spans="1:7" x14ac:dyDescent="0.3">
      <c r="A1911" s="5" t="str">
        <f t="shared" si="212"/>
        <v>Nike</v>
      </c>
      <c r="B1911" s="5" t="str">
        <f t="shared" si="207"/>
        <v>Pegasus 40</v>
      </c>
      <c r="C1911" s="3">
        <f t="shared" si="213"/>
        <v>45785</v>
      </c>
      <c r="D1911" s="4">
        <f t="shared" ca="1" si="208"/>
        <v>95</v>
      </c>
      <c r="E1911" s="2">
        <f t="shared" ca="1" si="209"/>
        <v>6818</v>
      </c>
      <c r="F1911" s="2">
        <f t="shared" ca="1" si="210"/>
        <v>19760</v>
      </c>
      <c r="G1911" s="2">
        <f t="shared" ca="1" si="211"/>
        <v>719</v>
      </c>
    </row>
    <row r="1912" spans="1:7" x14ac:dyDescent="0.3">
      <c r="A1912" s="5" t="str">
        <f t="shared" si="212"/>
        <v>Adidas</v>
      </c>
      <c r="B1912" s="5" t="str">
        <f t="shared" si="207"/>
        <v>Gazelle</v>
      </c>
      <c r="C1912" s="3">
        <f t="shared" si="213"/>
        <v>45785</v>
      </c>
      <c r="D1912" s="4">
        <f t="shared" ca="1" si="208"/>
        <v>186</v>
      </c>
      <c r="E1912" s="2">
        <f t="shared" ca="1" si="209"/>
        <v>2907</v>
      </c>
      <c r="F1912" s="2">
        <f t="shared" ca="1" si="210"/>
        <v>29852</v>
      </c>
      <c r="G1912" s="2">
        <f t="shared" ca="1" si="211"/>
        <v>1644</v>
      </c>
    </row>
    <row r="1913" spans="1:7" x14ac:dyDescent="0.3">
      <c r="A1913" s="5" t="str">
        <f t="shared" si="212"/>
        <v>Puma</v>
      </c>
      <c r="B1913" s="5" t="str">
        <f t="shared" si="207"/>
        <v>Slipstream</v>
      </c>
      <c r="C1913" s="3">
        <f t="shared" si="213"/>
        <v>45785</v>
      </c>
      <c r="D1913" s="4">
        <f t="shared" ca="1" si="208"/>
        <v>236</v>
      </c>
      <c r="E1913" s="2">
        <f t="shared" ca="1" si="209"/>
        <v>10120</v>
      </c>
      <c r="F1913" s="2">
        <f t="shared" ca="1" si="210"/>
        <v>19299</v>
      </c>
      <c r="G1913" s="2">
        <f t="shared" ca="1" si="211"/>
        <v>1456</v>
      </c>
    </row>
    <row r="1914" spans="1:7" x14ac:dyDescent="0.3">
      <c r="A1914" s="5" t="str">
        <f t="shared" si="212"/>
        <v>New Balance</v>
      </c>
      <c r="B1914" s="5" t="str">
        <f t="shared" si="207"/>
        <v>550</v>
      </c>
      <c r="C1914" s="3">
        <f t="shared" si="213"/>
        <v>45785</v>
      </c>
      <c r="D1914" s="4">
        <f t="shared" ca="1" si="208"/>
        <v>248</v>
      </c>
      <c r="E1914" s="2">
        <f t="shared" ca="1" si="209"/>
        <v>3117</v>
      </c>
      <c r="F1914" s="2">
        <f t="shared" ca="1" si="210"/>
        <v>33589</v>
      </c>
      <c r="G1914" s="2">
        <f t="shared" ca="1" si="211"/>
        <v>1958</v>
      </c>
    </row>
    <row r="1915" spans="1:7" x14ac:dyDescent="0.3">
      <c r="A1915" s="5" t="str">
        <f t="shared" si="212"/>
        <v>Reebok</v>
      </c>
      <c r="B1915" s="5" t="str">
        <f t="shared" si="207"/>
        <v>Classic Leather</v>
      </c>
      <c r="C1915" s="3">
        <f t="shared" si="213"/>
        <v>45785</v>
      </c>
      <c r="D1915" s="4">
        <f t="shared" ca="1" si="208"/>
        <v>91</v>
      </c>
      <c r="E1915" s="2">
        <f t="shared" ca="1" si="209"/>
        <v>5258</v>
      </c>
      <c r="F1915" s="2">
        <f t="shared" ca="1" si="210"/>
        <v>25175</v>
      </c>
      <c r="G1915" s="2">
        <f t="shared" ca="1" si="211"/>
        <v>510</v>
      </c>
    </row>
    <row r="1916" spans="1:7" x14ac:dyDescent="0.3">
      <c r="A1916" s="5" t="str">
        <f t="shared" si="212"/>
        <v>Nike</v>
      </c>
      <c r="B1916" s="5" t="str">
        <f t="shared" si="207"/>
        <v>Air Force 1</v>
      </c>
      <c r="C1916" s="3">
        <f t="shared" si="213"/>
        <v>45785</v>
      </c>
      <c r="D1916" s="4">
        <f t="shared" ca="1" si="208"/>
        <v>135</v>
      </c>
      <c r="E1916" s="2">
        <f t="shared" ca="1" si="209"/>
        <v>3573</v>
      </c>
      <c r="F1916" s="2">
        <f t="shared" ca="1" si="210"/>
        <v>16760</v>
      </c>
      <c r="G1916" s="2">
        <f t="shared" ca="1" si="211"/>
        <v>1029</v>
      </c>
    </row>
    <row r="1917" spans="1:7" x14ac:dyDescent="0.3">
      <c r="A1917" s="5" t="str">
        <f t="shared" si="212"/>
        <v>Adidas</v>
      </c>
      <c r="B1917" s="5" t="str">
        <f t="shared" si="207"/>
        <v>Superstar</v>
      </c>
      <c r="C1917" s="3">
        <f t="shared" si="213"/>
        <v>45785</v>
      </c>
      <c r="D1917" s="4">
        <f t="shared" ca="1" si="208"/>
        <v>248</v>
      </c>
      <c r="E1917" s="2">
        <f t="shared" ca="1" si="209"/>
        <v>7673</v>
      </c>
      <c r="F1917" s="2">
        <f t="shared" ca="1" si="210"/>
        <v>11495</v>
      </c>
      <c r="G1917" s="2">
        <f t="shared" ca="1" si="211"/>
        <v>651</v>
      </c>
    </row>
    <row r="1918" spans="1:7" x14ac:dyDescent="0.3">
      <c r="A1918" s="5" t="str">
        <f t="shared" si="212"/>
        <v>Puma</v>
      </c>
      <c r="B1918" s="5" t="str">
        <f t="shared" si="207"/>
        <v>Rider Vintage</v>
      </c>
      <c r="C1918" s="3">
        <f t="shared" si="213"/>
        <v>45785</v>
      </c>
      <c r="D1918" s="4">
        <f t="shared" ca="1" si="208"/>
        <v>176</v>
      </c>
      <c r="E1918" s="2">
        <f t="shared" ca="1" si="209"/>
        <v>1654</v>
      </c>
      <c r="F1918" s="2">
        <f t="shared" ca="1" si="210"/>
        <v>33479</v>
      </c>
      <c r="G1918" s="2">
        <f t="shared" ca="1" si="211"/>
        <v>1962</v>
      </c>
    </row>
    <row r="1919" spans="1:7" x14ac:dyDescent="0.3">
      <c r="A1919" s="5" t="str">
        <f t="shared" si="212"/>
        <v>New Balance</v>
      </c>
      <c r="B1919" s="5" t="str">
        <f t="shared" si="207"/>
        <v>327</v>
      </c>
      <c r="C1919" s="3">
        <f t="shared" si="213"/>
        <v>45785</v>
      </c>
      <c r="D1919" s="4">
        <f t="shared" ca="1" si="208"/>
        <v>67</v>
      </c>
      <c r="E1919" s="2">
        <f t="shared" ca="1" si="209"/>
        <v>6724</v>
      </c>
      <c r="F1919" s="2">
        <f t="shared" ca="1" si="210"/>
        <v>33904</v>
      </c>
      <c r="G1919" s="2">
        <f t="shared" ca="1" si="211"/>
        <v>1100</v>
      </c>
    </row>
    <row r="1920" spans="1:7" x14ac:dyDescent="0.3">
      <c r="A1920" s="5" t="str">
        <f t="shared" si="212"/>
        <v>Reebok</v>
      </c>
      <c r="B1920" s="5" t="str">
        <f t="shared" si="207"/>
        <v>Question Mid</v>
      </c>
      <c r="C1920" s="3">
        <f t="shared" si="213"/>
        <v>45785</v>
      </c>
      <c r="D1920" s="4">
        <f t="shared" ca="1" si="208"/>
        <v>45</v>
      </c>
      <c r="E1920" s="2">
        <f t="shared" ca="1" si="209"/>
        <v>8862</v>
      </c>
      <c r="F1920" s="2">
        <f t="shared" ca="1" si="210"/>
        <v>7153</v>
      </c>
      <c r="G1920" s="2">
        <f t="shared" ca="1" si="211"/>
        <v>338</v>
      </c>
    </row>
    <row r="1921" spans="1:7" x14ac:dyDescent="0.3">
      <c r="A1921" s="5" t="str">
        <f t="shared" si="212"/>
        <v>Nike</v>
      </c>
      <c r="B1921" s="5" t="str">
        <f t="shared" si="207"/>
        <v>Air Max 270</v>
      </c>
      <c r="C1921" s="3">
        <f t="shared" si="213"/>
        <v>45785</v>
      </c>
      <c r="D1921" s="4">
        <f t="shared" ca="1" si="208"/>
        <v>132</v>
      </c>
      <c r="E1921" s="2">
        <f t="shared" ca="1" si="209"/>
        <v>6829</v>
      </c>
      <c r="F1921" s="2">
        <f t="shared" ca="1" si="210"/>
        <v>30615</v>
      </c>
      <c r="G1921" s="2">
        <f t="shared" ca="1" si="211"/>
        <v>1799</v>
      </c>
    </row>
    <row r="1922" spans="1:7" x14ac:dyDescent="0.3">
      <c r="A1922" s="5" t="str">
        <f t="shared" si="212"/>
        <v>Adidas</v>
      </c>
      <c r="B1922" s="5" t="str">
        <f t="shared" si="207"/>
        <v>Stan Smith</v>
      </c>
      <c r="C1922" s="3">
        <f t="shared" si="213"/>
        <v>45786</v>
      </c>
      <c r="D1922" s="4">
        <f t="shared" ca="1" si="208"/>
        <v>177</v>
      </c>
      <c r="E1922" s="2">
        <f t="shared" ca="1" si="209"/>
        <v>11962</v>
      </c>
      <c r="F1922" s="2">
        <f t="shared" ca="1" si="210"/>
        <v>17450</v>
      </c>
      <c r="G1922" s="2">
        <f t="shared" ca="1" si="211"/>
        <v>356</v>
      </c>
    </row>
    <row r="1923" spans="1:7" x14ac:dyDescent="0.3">
      <c r="A1923" s="5" t="str">
        <f t="shared" si="212"/>
        <v>Puma</v>
      </c>
      <c r="B1923" s="5" t="str">
        <f t="shared" ref="B1923:B1986" si="214">IF(A1923="Nike",CHOOSE(MOD(ROW(A1922),6)+1,"Air Max 270","Air Force 1","Pegasus 40","Vaporfly 3","Cortez","Jordan 1"),
 IF(A1923="Adidas",CHOOSE(MOD(ROW(A1922),6)+1,"Ultraboost 23","Stan Smith","Superstar","Gazelle","Samba","NMD S1"),
 IF(A1923="Puma",CHOOSE(MOD(ROW(A1922),6)+1,"Suede Classic","RS-X","Cali Dream","Rider Vintage","Slipstream","Mayze"),
 IF(A1923="New Balance",CHOOSE(MOD(ROW(A1922),6)+1,"574 Core","990v6","2002R","9060","327","550"),
 IF(A1923="Reebok",CHOOSE(MOD(ROW(A1922),6)+1,"Classic Leather","Club C 85","Nano X3","Instapump Fury","Zig Kinetica","Question Mid"),"")))))</f>
        <v>Cali Dream</v>
      </c>
      <c r="C1923" s="3">
        <f t="shared" si="213"/>
        <v>45786</v>
      </c>
      <c r="D1923" s="4">
        <f t="shared" ref="D1923:D1986" ca="1" si="215">RANDBETWEEN(20,250)</f>
        <v>210</v>
      </c>
      <c r="E1923" s="2">
        <f t="shared" ref="E1923:E1986" ca="1" si="216">ROUND(RANDBETWEEN(1500,12000)+(RANDBETWEEN(-200,200)),2)</f>
        <v>6240</v>
      </c>
      <c r="F1923" s="2">
        <f t="shared" ref="F1923:F1986" ca="1" si="217">RANDBETWEEN(5000,35000)</f>
        <v>34312</v>
      </c>
      <c r="G1923" s="2">
        <f t="shared" ref="G1923:G1986" ca="1" si="218">RANDBETWEEN(ROUND(F1923*0.02,0),ROUND(F1923*0.08,0))</f>
        <v>1481</v>
      </c>
    </row>
    <row r="1924" spans="1:7" x14ac:dyDescent="0.3">
      <c r="A1924" s="5" t="str">
        <f t="shared" si="212"/>
        <v>New Balance</v>
      </c>
      <c r="B1924" s="5" t="str">
        <f t="shared" si="214"/>
        <v>9060</v>
      </c>
      <c r="C1924" s="3">
        <f t="shared" si="213"/>
        <v>45786</v>
      </c>
      <c r="D1924" s="4">
        <f t="shared" ca="1" si="215"/>
        <v>248</v>
      </c>
      <c r="E1924" s="2">
        <f t="shared" ca="1" si="216"/>
        <v>6208</v>
      </c>
      <c r="F1924" s="2">
        <f t="shared" ca="1" si="217"/>
        <v>6599</v>
      </c>
      <c r="G1924" s="2">
        <f t="shared" ca="1" si="218"/>
        <v>209</v>
      </c>
    </row>
    <row r="1925" spans="1:7" x14ac:dyDescent="0.3">
      <c r="A1925" s="5" t="str">
        <f t="shared" si="212"/>
        <v>Reebok</v>
      </c>
      <c r="B1925" s="5" t="str">
        <f t="shared" si="214"/>
        <v>Zig Kinetica</v>
      </c>
      <c r="C1925" s="3">
        <f t="shared" si="213"/>
        <v>45786</v>
      </c>
      <c r="D1925" s="4">
        <f t="shared" ca="1" si="215"/>
        <v>85</v>
      </c>
      <c r="E1925" s="2">
        <f t="shared" ca="1" si="216"/>
        <v>3199</v>
      </c>
      <c r="F1925" s="2">
        <f t="shared" ca="1" si="217"/>
        <v>10254</v>
      </c>
      <c r="G1925" s="2">
        <f t="shared" ca="1" si="218"/>
        <v>778</v>
      </c>
    </row>
    <row r="1926" spans="1:7" x14ac:dyDescent="0.3">
      <c r="A1926" s="5" t="str">
        <f t="shared" si="212"/>
        <v>Nike</v>
      </c>
      <c r="B1926" s="5" t="str">
        <f t="shared" si="214"/>
        <v>Jordan 1</v>
      </c>
      <c r="C1926" s="3">
        <f t="shared" si="213"/>
        <v>45786</v>
      </c>
      <c r="D1926" s="4">
        <f t="shared" ca="1" si="215"/>
        <v>201</v>
      </c>
      <c r="E1926" s="2">
        <f t="shared" ca="1" si="216"/>
        <v>3507</v>
      </c>
      <c r="F1926" s="2">
        <f t="shared" ca="1" si="217"/>
        <v>18082</v>
      </c>
      <c r="G1926" s="2">
        <f t="shared" ca="1" si="218"/>
        <v>1119</v>
      </c>
    </row>
    <row r="1927" spans="1:7" x14ac:dyDescent="0.3">
      <c r="A1927" s="5" t="str">
        <f t="shared" si="212"/>
        <v>Adidas</v>
      </c>
      <c r="B1927" s="5" t="str">
        <f t="shared" si="214"/>
        <v>Ultraboost 23</v>
      </c>
      <c r="C1927" s="3">
        <f t="shared" si="213"/>
        <v>45786</v>
      </c>
      <c r="D1927" s="4">
        <f t="shared" ca="1" si="215"/>
        <v>147</v>
      </c>
      <c r="E1927" s="2">
        <f t="shared" ca="1" si="216"/>
        <v>5139</v>
      </c>
      <c r="F1927" s="2">
        <f t="shared" ca="1" si="217"/>
        <v>18693</v>
      </c>
      <c r="G1927" s="2">
        <f t="shared" ca="1" si="218"/>
        <v>531</v>
      </c>
    </row>
    <row r="1928" spans="1:7" x14ac:dyDescent="0.3">
      <c r="A1928" s="5" t="str">
        <f t="shared" si="212"/>
        <v>Puma</v>
      </c>
      <c r="B1928" s="5" t="str">
        <f t="shared" si="214"/>
        <v>RS-X</v>
      </c>
      <c r="C1928" s="3">
        <f t="shared" si="213"/>
        <v>45786</v>
      </c>
      <c r="D1928" s="4">
        <f t="shared" ca="1" si="215"/>
        <v>91</v>
      </c>
      <c r="E1928" s="2">
        <f t="shared" ca="1" si="216"/>
        <v>8677</v>
      </c>
      <c r="F1928" s="2">
        <f t="shared" ca="1" si="217"/>
        <v>15685</v>
      </c>
      <c r="G1928" s="2">
        <f t="shared" ca="1" si="218"/>
        <v>426</v>
      </c>
    </row>
    <row r="1929" spans="1:7" x14ac:dyDescent="0.3">
      <c r="A1929" s="5" t="str">
        <f t="shared" si="212"/>
        <v>New Balance</v>
      </c>
      <c r="B1929" s="5" t="str">
        <f t="shared" si="214"/>
        <v>2002R</v>
      </c>
      <c r="C1929" s="3">
        <f t="shared" si="213"/>
        <v>45786</v>
      </c>
      <c r="D1929" s="4">
        <f t="shared" ca="1" si="215"/>
        <v>208</v>
      </c>
      <c r="E1929" s="2">
        <f t="shared" ca="1" si="216"/>
        <v>2088</v>
      </c>
      <c r="F1929" s="2">
        <f t="shared" ca="1" si="217"/>
        <v>30870</v>
      </c>
      <c r="G1929" s="2">
        <f t="shared" ca="1" si="218"/>
        <v>1424</v>
      </c>
    </row>
    <row r="1930" spans="1:7" x14ac:dyDescent="0.3">
      <c r="A1930" s="5" t="str">
        <f t="shared" si="212"/>
        <v>Reebok</v>
      </c>
      <c r="B1930" s="5" t="str">
        <f t="shared" si="214"/>
        <v>Instapump Fury</v>
      </c>
      <c r="C1930" s="3">
        <f t="shared" si="213"/>
        <v>45786</v>
      </c>
      <c r="D1930" s="4">
        <f t="shared" ca="1" si="215"/>
        <v>91</v>
      </c>
      <c r="E1930" s="2">
        <f t="shared" ca="1" si="216"/>
        <v>10167</v>
      </c>
      <c r="F1930" s="2">
        <f t="shared" ca="1" si="217"/>
        <v>21426</v>
      </c>
      <c r="G1930" s="2">
        <f t="shared" ca="1" si="218"/>
        <v>584</v>
      </c>
    </row>
    <row r="1931" spans="1:7" x14ac:dyDescent="0.3">
      <c r="A1931" s="5" t="str">
        <f t="shared" si="212"/>
        <v>Nike</v>
      </c>
      <c r="B1931" s="5" t="str">
        <f t="shared" si="214"/>
        <v>Cortez</v>
      </c>
      <c r="C1931" s="3">
        <f t="shared" si="213"/>
        <v>45786</v>
      </c>
      <c r="D1931" s="4">
        <f t="shared" ca="1" si="215"/>
        <v>165</v>
      </c>
      <c r="E1931" s="2">
        <f t="shared" ca="1" si="216"/>
        <v>4168</v>
      </c>
      <c r="F1931" s="2">
        <f t="shared" ca="1" si="217"/>
        <v>23993</v>
      </c>
      <c r="G1931" s="2">
        <f t="shared" ca="1" si="218"/>
        <v>1816</v>
      </c>
    </row>
    <row r="1932" spans="1:7" x14ac:dyDescent="0.3">
      <c r="A1932" s="5" t="str">
        <f t="shared" si="212"/>
        <v>Adidas</v>
      </c>
      <c r="B1932" s="5" t="str">
        <f t="shared" si="214"/>
        <v>NMD S1</v>
      </c>
      <c r="C1932" s="3">
        <f t="shared" si="213"/>
        <v>45786</v>
      </c>
      <c r="D1932" s="4">
        <f t="shared" ca="1" si="215"/>
        <v>159</v>
      </c>
      <c r="E1932" s="2">
        <f t="shared" ca="1" si="216"/>
        <v>2341</v>
      </c>
      <c r="F1932" s="2">
        <f t="shared" ca="1" si="217"/>
        <v>12340</v>
      </c>
      <c r="G1932" s="2">
        <f t="shared" ca="1" si="218"/>
        <v>610</v>
      </c>
    </row>
    <row r="1933" spans="1:7" x14ac:dyDescent="0.3">
      <c r="A1933" s="5" t="str">
        <f t="shared" si="212"/>
        <v>Puma</v>
      </c>
      <c r="B1933" s="5" t="str">
        <f t="shared" si="214"/>
        <v>Suede Classic</v>
      </c>
      <c r="C1933" s="3">
        <f t="shared" si="213"/>
        <v>45786</v>
      </c>
      <c r="D1933" s="4">
        <f t="shared" ca="1" si="215"/>
        <v>185</v>
      </c>
      <c r="E1933" s="2">
        <f t="shared" ca="1" si="216"/>
        <v>5813</v>
      </c>
      <c r="F1933" s="2">
        <f t="shared" ca="1" si="217"/>
        <v>34476</v>
      </c>
      <c r="G1933" s="2">
        <f t="shared" ca="1" si="218"/>
        <v>1105</v>
      </c>
    </row>
    <row r="1934" spans="1:7" x14ac:dyDescent="0.3">
      <c r="A1934" s="5" t="str">
        <f t="shared" si="212"/>
        <v>New Balance</v>
      </c>
      <c r="B1934" s="5" t="str">
        <f t="shared" si="214"/>
        <v>990v6</v>
      </c>
      <c r="C1934" s="3">
        <f t="shared" si="213"/>
        <v>45786</v>
      </c>
      <c r="D1934" s="4">
        <f t="shared" ca="1" si="215"/>
        <v>220</v>
      </c>
      <c r="E1934" s="2">
        <f t="shared" ca="1" si="216"/>
        <v>2338</v>
      </c>
      <c r="F1934" s="2">
        <f t="shared" ca="1" si="217"/>
        <v>14975</v>
      </c>
      <c r="G1934" s="2">
        <f t="shared" ca="1" si="218"/>
        <v>857</v>
      </c>
    </row>
    <row r="1935" spans="1:7" x14ac:dyDescent="0.3">
      <c r="A1935" s="5" t="str">
        <f t="shared" si="212"/>
        <v>Reebok</v>
      </c>
      <c r="B1935" s="5" t="str">
        <f t="shared" si="214"/>
        <v>Nano X3</v>
      </c>
      <c r="C1935" s="3">
        <f t="shared" si="213"/>
        <v>45786</v>
      </c>
      <c r="D1935" s="4">
        <f t="shared" ca="1" si="215"/>
        <v>83</v>
      </c>
      <c r="E1935" s="2">
        <f t="shared" ca="1" si="216"/>
        <v>5107</v>
      </c>
      <c r="F1935" s="2">
        <f t="shared" ca="1" si="217"/>
        <v>16463</v>
      </c>
      <c r="G1935" s="2">
        <f t="shared" ca="1" si="218"/>
        <v>1308</v>
      </c>
    </row>
    <row r="1936" spans="1:7" x14ac:dyDescent="0.3">
      <c r="A1936" s="5" t="str">
        <f t="shared" si="212"/>
        <v>Nike</v>
      </c>
      <c r="B1936" s="5" t="str">
        <f t="shared" si="214"/>
        <v>Vaporfly 3</v>
      </c>
      <c r="C1936" s="3">
        <f t="shared" si="213"/>
        <v>45786</v>
      </c>
      <c r="D1936" s="4">
        <f t="shared" ca="1" si="215"/>
        <v>138</v>
      </c>
      <c r="E1936" s="2">
        <f t="shared" ca="1" si="216"/>
        <v>4594</v>
      </c>
      <c r="F1936" s="2">
        <f t="shared" ca="1" si="217"/>
        <v>11916</v>
      </c>
      <c r="G1936" s="2">
        <f t="shared" ca="1" si="218"/>
        <v>287</v>
      </c>
    </row>
    <row r="1937" spans="1:7" x14ac:dyDescent="0.3">
      <c r="A1937" s="5" t="str">
        <f t="shared" si="212"/>
        <v>Adidas</v>
      </c>
      <c r="B1937" s="5" t="str">
        <f t="shared" si="214"/>
        <v>Samba</v>
      </c>
      <c r="C1937" s="3">
        <f t="shared" si="213"/>
        <v>45787</v>
      </c>
      <c r="D1937" s="4">
        <f t="shared" ca="1" si="215"/>
        <v>138</v>
      </c>
      <c r="E1937" s="2">
        <f t="shared" ca="1" si="216"/>
        <v>1776</v>
      </c>
      <c r="F1937" s="2">
        <f t="shared" ca="1" si="217"/>
        <v>25120</v>
      </c>
      <c r="G1937" s="2">
        <f t="shared" ca="1" si="218"/>
        <v>772</v>
      </c>
    </row>
    <row r="1938" spans="1:7" x14ac:dyDescent="0.3">
      <c r="A1938" s="5" t="str">
        <f t="shared" si="212"/>
        <v>Puma</v>
      </c>
      <c r="B1938" s="5" t="str">
        <f t="shared" si="214"/>
        <v>Mayze</v>
      </c>
      <c r="C1938" s="3">
        <f t="shared" si="213"/>
        <v>45787</v>
      </c>
      <c r="D1938" s="4">
        <f t="shared" ca="1" si="215"/>
        <v>67</v>
      </c>
      <c r="E1938" s="2">
        <f t="shared" ca="1" si="216"/>
        <v>9596</v>
      </c>
      <c r="F1938" s="2">
        <f t="shared" ca="1" si="217"/>
        <v>11484</v>
      </c>
      <c r="G1938" s="2">
        <f t="shared" ca="1" si="218"/>
        <v>600</v>
      </c>
    </row>
    <row r="1939" spans="1:7" x14ac:dyDescent="0.3">
      <c r="A1939" s="5" t="str">
        <f t="shared" si="212"/>
        <v>New Balance</v>
      </c>
      <c r="B1939" s="5" t="str">
        <f t="shared" si="214"/>
        <v>574 Core</v>
      </c>
      <c r="C1939" s="3">
        <f t="shared" si="213"/>
        <v>45787</v>
      </c>
      <c r="D1939" s="4">
        <f t="shared" ca="1" si="215"/>
        <v>48</v>
      </c>
      <c r="E1939" s="2">
        <f t="shared" ca="1" si="216"/>
        <v>11451</v>
      </c>
      <c r="F1939" s="2">
        <f t="shared" ca="1" si="217"/>
        <v>23133</v>
      </c>
      <c r="G1939" s="2">
        <f t="shared" ca="1" si="218"/>
        <v>943</v>
      </c>
    </row>
    <row r="1940" spans="1:7" x14ac:dyDescent="0.3">
      <c r="A1940" s="5" t="str">
        <f t="shared" si="212"/>
        <v>Reebok</v>
      </c>
      <c r="B1940" s="5" t="str">
        <f t="shared" si="214"/>
        <v>Club C 85</v>
      </c>
      <c r="C1940" s="3">
        <f t="shared" si="213"/>
        <v>45787</v>
      </c>
      <c r="D1940" s="4">
        <f t="shared" ca="1" si="215"/>
        <v>144</v>
      </c>
      <c r="E1940" s="2">
        <f t="shared" ca="1" si="216"/>
        <v>9620</v>
      </c>
      <c r="F1940" s="2">
        <f t="shared" ca="1" si="217"/>
        <v>7655</v>
      </c>
      <c r="G1940" s="2">
        <f t="shared" ca="1" si="218"/>
        <v>252</v>
      </c>
    </row>
    <row r="1941" spans="1:7" x14ac:dyDescent="0.3">
      <c r="A1941" s="5" t="str">
        <f t="shared" si="212"/>
        <v>Nike</v>
      </c>
      <c r="B1941" s="5" t="str">
        <f t="shared" si="214"/>
        <v>Pegasus 40</v>
      </c>
      <c r="C1941" s="3">
        <f t="shared" si="213"/>
        <v>45787</v>
      </c>
      <c r="D1941" s="4">
        <f t="shared" ca="1" si="215"/>
        <v>79</v>
      </c>
      <c r="E1941" s="2">
        <f t="shared" ca="1" si="216"/>
        <v>2164</v>
      </c>
      <c r="F1941" s="2">
        <f t="shared" ca="1" si="217"/>
        <v>31082</v>
      </c>
      <c r="G1941" s="2">
        <f t="shared" ca="1" si="218"/>
        <v>1591</v>
      </c>
    </row>
    <row r="1942" spans="1:7" x14ac:dyDescent="0.3">
      <c r="A1942" s="5" t="str">
        <f t="shared" si="212"/>
        <v>Adidas</v>
      </c>
      <c r="B1942" s="5" t="str">
        <f t="shared" si="214"/>
        <v>Gazelle</v>
      </c>
      <c r="C1942" s="3">
        <f t="shared" si="213"/>
        <v>45787</v>
      </c>
      <c r="D1942" s="4">
        <f t="shared" ca="1" si="215"/>
        <v>222</v>
      </c>
      <c r="E1942" s="2">
        <f t="shared" ca="1" si="216"/>
        <v>2463</v>
      </c>
      <c r="F1942" s="2">
        <f t="shared" ca="1" si="217"/>
        <v>16082</v>
      </c>
      <c r="G1942" s="2">
        <f t="shared" ca="1" si="218"/>
        <v>753</v>
      </c>
    </row>
    <row r="1943" spans="1:7" x14ac:dyDescent="0.3">
      <c r="A1943" s="5" t="str">
        <f t="shared" si="212"/>
        <v>Puma</v>
      </c>
      <c r="B1943" s="5" t="str">
        <f t="shared" si="214"/>
        <v>Slipstream</v>
      </c>
      <c r="C1943" s="3">
        <f t="shared" si="213"/>
        <v>45787</v>
      </c>
      <c r="D1943" s="4">
        <f t="shared" ca="1" si="215"/>
        <v>177</v>
      </c>
      <c r="E1943" s="2">
        <f t="shared" ca="1" si="216"/>
        <v>7544</v>
      </c>
      <c r="F1943" s="2">
        <f t="shared" ca="1" si="217"/>
        <v>7873</v>
      </c>
      <c r="G1943" s="2">
        <f t="shared" ca="1" si="218"/>
        <v>270</v>
      </c>
    </row>
    <row r="1944" spans="1:7" x14ac:dyDescent="0.3">
      <c r="A1944" s="5" t="str">
        <f t="shared" si="212"/>
        <v>New Balance</v>
      </c>
      <c r="B1944" s="5" t="str">
        <f t="shared" si="214"/>
        <v>550</v>
      </c>
      <c r="C1944" s="3">
        <f t="shared" si="213"/>
        <v>45787</v>
      </c>
      <c r="D1944" s="4">
        <f t="shared" ca="1" si="215"/>
        <v>199</v>
      </c>
      <c r="E1944" s="2">
        <f t="shared" ca="1" si="216"/>
        <v>10329</v>
      </c>
      <c r="F1944" s="2">
        <f t="shared" ca="1" si="217"/>
        <v>7321</v>
      </c>
      <c r="G1944" s="2">
        <f t="shared" ca="1" si="218"/>
        <v>503</v>
      </c>
    </row>
    <row r="1945" spans="1:7" x14ac:dyDescent="0.3">
      <c r="A1945" s="5" t="str">
        <f t="shared" si="212"/>
        <v>Reebok</v>
      </c>
      <c r="B1945" s="5" t="str">
        <f t="shared" si="214"/>
        <v>Classic Leather</v>
      </c>
      <c r="C1945" s="3">
        <f t="shared" si="213"/>
        <v>45787</v>
      </c>
      <c r="D1945" s="4">
        <f t="shared" ca="1" si="215"/>
        <v>186</v>
      </c>
      <c r="E1945" s="2">
        <f t="shared" ca="1" si="216"/>
        <v>6101</v>
      </c>
      <c r="F1945" s="2">
        <f t="shared" ca="1" si="217"/>
        <v>19741</v>
      </c>
      <c r="G1945" s="2">
        <f t="shared" ca="1" si="218"/>
        <v>710</v>
      </c>
    </row>
    <row r="1946" spans="1:7" x14ac:dyDescent="0.3">
      <c r="A1946" s="5" t="str">
        <f t="shared" si="212"/>
        <v>Nike</v>
      </c>
      <c r="B1946" s="5" t="str">
        <f t="shared" si="214"/>
        <v>Air Force 1</v>
      </c>
      <c r="C1946" s="3">
        <f t="shared" si="213"/>
        <v>45787</v>
      </c>
      <c r="D1946" s="4">
        <f t="shared" ca="1" si="215"/>
        <v>194</v>
      </c>
      <c r="E1946" s="2">
        <f t="shared" ca="1" si="216"/>
        <v>1768</v>
      </c>
      <c r="F1946" s="2">
        <f t="shared" ca="1" si="217"/>
        <v>13084</v>
      </c>
      <c r="G1946" s="2">
        <f t="shared" ca="1" si="218"/>
        <v>1047</v>
      </c>
    </row>
    <row r="1947" spans="1:7" x14ac:dyDescent="0.3">
      <c r="A1947" s="5" t="str">
        <f t="shared" si="212"/>
        <v>Adidas</v>
      </c>
      <c r="B1947" s="5" t="str">
        <f t="shared" si="214"/>
        <v>Superstar</v>
      </c>
      <c r="C1947" s="3">
        <f t="shared" si="213"/>
        <v>45787</v>
      </c>
      <c r="D1947" s="4">
        <f t="shared" ca="1" si="215"/>
        <v>200</v>
      </c>
      <c r="E1947" s="2">
        <f t="shared" ca="1" si="216"/>
        <v>11005</v>
      </c>
      <c r="F1947" s="2">
        <f t="shared" ca="1" si="217"/>
        <v>17306</v>
      </c>
      <c r="G1947" s="2">
        <f t="shared" ca="1" si="218"/>
        <v>671</v>
      </c>
    </row>
    <row r="1948" spans="1:7" x14ac:dyDescent="0.3">
      <c r="A1948" s="5" t="str">
        <f t="shared" si="212"/>
        <v>Puma</v>
      </c>
      <c r="B1948" s="5" t="str">
        <f t="shared" si="214"/>
        <v>Rider Vintage</v>
      </c>
      <c r="C1948" s="3">
        <f t="shared" si="213"/>
        <v>45787</v>
      </c>
      <c r="D1948" s="4">
        <f t="shared" ca="1" si="215"/>
        <v>176</v>
      </c>
      <c r="E1948" s="2">
        <f t="shared" ca="1" si="216"/>
        <v>8174</v>
      </c>
      <c r="F1948" s="2">
        <f t="shared" ca="1" si="217"/>
        <v>6825</v>
      </c>
      <c r="G1948" s="2">
        <f t="shared" ca="1" si="218"/>
        <v>526</v>
      </c>
    </row>
    <row r="1949" spans="1:7" x14ac:dyDescent="0.3">
      <c r="A1949" s="5" t="str">
        <f t="shared" si="212"/>
        <v>New Balance</v>
      </c>
      <c r="B1949" s="5" t="str">
        <f t="shared" si="214"/>
        <v>327</v>
      </c>
      <c r="C1949" s="3">
        <f t="shared" si="213"/>
        <v>45787</v>
      </c>
      <c r="D1949" s="4">
        <f t="shared" ca="1" si="215"/>
        <v>226</v>
      </c>
      <c r="E1949" s="2">
        <f t="shared" ca="1" si="216"/>
        <v>5237</v>
      </c>
      <c r="F1949" s="2">
        <f t="shared" ca="1" si="217"/>
        <v>12677</v>
      </c>
      <c r="G1949" s="2">
        <f t="shared" ca="1" si="218"/>
        <v>527</v>
      </c>
    </row>
    <row r="1950" spans="1:7" x14ac:dyDescent="0.3">
      <c r="A1950" s="5" t="str">
        <f t="shared" si="212"/>
        <v>Reebok</v>
      </c>
      <c r="B1950" s="5" t="str">
        <f t="shared" si="214"/>
        <v>Question Mid</v>
      </c>
      <c r="C1950" s="3">
        <f t="shared" si="213"/>
        <v>45787</v>
      </c>
      <c r="D1950" s="4">
        <f t="shared" ca="1" si="215"/>
        <v>131</v>
      </c>
      <c r="E1950" s="2">
        <f t="shared" ca="1" si="216"/>
        <v>9228</v>
      </c>
      <c r="F1950" s="2">
        <f t="shared" ca="1" si="217"/>
        <v>21045</v>
      </c>
      <c r="G1950" s="2">
        <f t="shared" ca="1" si="218"/>
        <v>542</v>
      </c>
    </row>
    <row r="1951" spans="1:7" x14ac:dyDescent="0.3">
      <c r="A1951" s="5" t="str">
        <f t="shared" si="212"/>
        <v>Nike</v>
      </c>
      <c r="B1951" s="5" t="str">
        <f t="shared" si="214"/>
        <v>Air Max 270</v>
      </c>
      <c r="C1951" s="3">
        <f t="shared" si="213"/>
        <v>45787</v>
      </c>
      <c r="D1951" s="4">
        <f t="shared" ca="1" si="215"/>
        <v>236</v>
      </c>
      <c r="E1951" s="2">
        <f t="shared" ca="1" si="216"/>
        <v>9848</v>
      </c>
      <c r="F1951" s="2">
        <f t="shared" ca="1" si="217"/>
        <v>10118</v>
      </c>
      <c r="G1951" s="2">
        <f t="shared" ca="1" si="218"/>
        <v>310</v>
      </c>
    </row>
    <row r="1952" spans="1:7" x14ac:dyDescent="0.3">
      <c r="A1952" s="5" t="str">
        <f t="shared" si="212"/>
        <v>Adidas</v>
      </c>
      <c r="B1952" s="5" t="str">
        <f t="shared" si="214"/>
        <v>Stan Smith</v>
      </c>
      <c r="C1952" s="3">
        <f t="shared" si="213"/>
        <v>45788</v>
      </c>
      <c r="D1952" s="4">
        <f t="shared" ca="1" si="215"/>
        <v>79</v>
      </c>
      <c r="E1952" s="2">
        <f t="shared" ca="1" si="216"/>
        <v>9401</v>
      </c>
      <c r="F1952" s="2">
        <f t="shared" ca="1" si="217"/>
        <v>18355</v>
      </c>
      <c r="G1952" s="2">
        <f t="shared" ca="1" si="218"/>
        <v>1326</v>
      </c>
    </row>
    <row r="1953" spans="1:7" x14ac:dyDescent="0.3">
      <c r="A1953" s="5" t="str">
        <f t="shared" si="212"/>
        <v>Puma</v>
      </c>
      <c r="B1953" s="5" t="str">
        <f t="shared" si="214"/>
        <v>Cali Dream</v>
      </c>
      <c r="C1953" s="3">
        <f t="shared" si="213"/>
        <v>45788</v>
      </c>
      <c r="D1953" s="4">
        <f t="shared" ca="1" si="215"/>
        <v>156</v>
      </c>
      <c r="E1953" s="2">
        <f t="shared" ca="1" si="216"/>
        <v>3034</v>
      </c>
      <c r="F1953" s="2">
        <f t="shared" ca="1" si="217"/>
        <v>15305</v>
      </c>
      <c r="G1953" s="2">
        <f t="shared" ca="1" si="218"/>
        <v>808</v>
      </c>
    </row>
    <row r="1954" spans="1:7" x14ac:dyDescent="0.3">
      <c r="A1954" s="5" t="str">
        <f t="shared" si="212"/>
        <v>New Balance</v>
      </c>
      <c r="B1954" s="5" t="str">
        <f t="shared" si="214"/>
        <v>9060</v>
      </c>
      <c r="C1954" s="3">
        <f t="shared" si="213"/>
        <v>45788</v>
      </c>
      <c r="D1954" s="4">
        <f t="shared" ca="1" si="215"/>
        <v>169</v>
      </c>
      <c r="E1954" s="2">
        <f t="shared" ca="1" si="216"/>
        <v>7332</v>
      </c>
      <c r="F1954" s="2">
        <f t="shared" ca="1" si="217"/>
        <v>19335</v>
      </c>
      <c r="G1954" s="2">
        <f t="shared" ca="1" si="218"/>
        <v>982</v>
      </c>
    </row>
    <row r="1955" spans="1:7" x14ac:dyDescent="0.3">
      <c r="A1955" s="5" t="str">
        <f t="shared" si="212"/>
        <v>Reebok</v>
      </c>
      <c r="B1955" s="5" t="str">
        <f t="shared" si="214"/>
        <v>Zig Kinetica</v>
      </c>
      <c r="C1955" s="3">
        <f t="shared" si="213"/>
        <v>45788</v>
      </c>
      <c r="D1955" s="4">
        <f t="shared" ca="1" si="215"/>
        <v>146</v>
      </c>
      <c r="E1955" s="2">
        <f t="shared" ca="1" si="216"/>
        <v>8478</v>
      </c>
      <c r="F1955" s="2">
        <f t="shared" ca="1" si="217"/>
        <v>24428</v>
      </c>
      <c r="G1955" s="2">
        <f t="shared" ca="1" si="218"/>
        <v>1620</v>
      </c>
    </row>
    <row r="1956" spans="1:7" x14ac:dyDescent="0.3">
      <c r="A1956" s="5" t="str">
        <f t="shared" si="212"/>
        <v>Nike</v>
      </c>
      <c r="B1956" s="5" t="str">
        <f t="shared" si="214"/>
        <v>Jordan 1</v>
      </c>
      <c r="C1956" s="3">
        <f t="shared" si="213"/>
        <v>45788</v>
      </c>
      <c r="D1956" s="4">
        <f t="shared" ca="1" si="215"/>
        <v>204</v>
      </c>
      <c r="E1956" s="2">
        <f t="shared" ca="1" si="216"/>
        <v>7838</v>
      </c>
      <c r="F1956" s="2">
        <f t="shared" ca="1" si="217"/>
        <v>9569</v>
      </c>
      <c r="G1956" s="2">
        <f t="shared" ca="1" si="218"/>
        <v>522</v>
      </c>
    </row>
    <row r="1957" spans="1:7" x14ac:dyDescent="0.3">
      <c r="A1957" s="5" t="str">
        <f t="shared" si="212"/>
        <v>Adidas</v>
      </c>
      <c r="B1957" s="5" t="str">
        <f t="shared" si="214"/>
        <v>Ultraboost 23</v>
      </c>
      <c r="C1957" s="3">
        <f t="shared" si="213"/>
        <v>45788</v>
      </c>
      <c r="D1957" s="4">
        <f t="shared" ca="1" si="215"/>
        <v>20</v>
      </c>
      <c r="E1957" s="2">
        <f t="shared" ca="1" si="216"/>
        <v>6430</v>
      </c>
      <c r="F1957" s="2">
        <f t="shared" ca="1" si="217"/>
        <v>28625</v>
      </c>
      <c r="G1957" s="2">
        <f t="shared" ca="1" si="218"/>
        <v>1371</v>
      </c>
    </row>
    <row r="1958" spans="1:7" x14ac:dyDescent="0.3">
      <c r="A1958" s="5" t="str">
        <f t="shared" si="212"/>
        <v>Puma</v>
      </c>
      <c r="B1958" s="5" t="str">
        <f t="shared" si="214"/>
        <v>RS-X</v>
      </c>
      <c r="C1958" s="3">
        <f t="shared" si="213"/>
        <v>45788</v>
      </c>
      <c r="D1958" s="4">
        <f t="shared" ca="1" si="215"/>
        <v>240</v>
      </c>
      <c r="E1958" s="2">
        <f t="shared" ca="1" si="216"/>
        <v>4380</v>
      </c>
      <c r="F1958" s="2">
        <f t="shared" ca="1" si="217"/>
        <v>27655</v>
      </c>
      <c r="G1958" s="2">
        <f t="shared" ca="1" si="218"/>
        <v>1988</v>
      </c>
    </row>
    <row r="1959" spans="1:7" x14ac:dyDescent="0.3">
      <c r="A1959" s="5" t="str">
        <f t="shared" si="212"/>
        <v>New Balance</v>
      </c>
      <c r="B1959" s="5" t="str">
        <f t="shared" si="214"/>
        <v>2002R</v>
      </c>
      <c r="C1959" s="3">
        <f t="shared" si="213"/>
        <v>45788</v>
      </c>
      <c r="D1959" s="4">
        <f t="shared" ca="1" si="215"/>
        <v>220</v>
      </c>
      <c r="E1959" s="2">
        <f t="shared" ca="1" si="216"/>
        <v>5537</v>
      </c>
      <c r="F1959" s="2">
        <f t="shared" ca="1" si="217"/>
        <v>23750</v>
      </c>
      <c r="G1959" s="2">
        <f t="shared" ca="1" si="218"/>
        <v>939</v>
      </c>
    </row>
    <row r="1960" spans="1:7" x14ac:dyDescent="0.3">
      <c r="A1960" s="5" t="str">
        <f t="shared" si="212"/>
        <v>Reebok</v>
      </c>
      <c r="B1960" s="5" t="str">
        <f t="shared" si="214"/>
        <v>Instapump Fury</v>
      </c>
      <c r="C1960" s="3">
        <f t="shared" si="213"/>
        <v>45788</v>
      </c>
      <c r="D1960" s="4">
        <f t="shared" ca="1" si="215"/>
        <v>37</v>
      </c>
      <c r="E1960" s="2">
        <f t="shared" ca="1" si="216"/>
        <v>7391</v>
      </c>
      <c r="F1960" s="2">
        <f t="shared" ca="1" si="217"/>
        <v>28235</v>
      </c>
      <c r="G1960" s="2">
        <f t="shared" ca="1" si="218"/>
        <v>2113</v>
      </c>
    </row>
    <row r="1961" spans="1:7" x14ac:dyDescent="0.3">
      <c r="A1961" s="5" t="str">
        <f t="shared" si="212"/>
        <v>Nike</v>
      </c>
      <c r="B1961" s="5" t="str">
        <f t="shared" si="214"/>
        <v>Cortez</v>
      </c>
      <c r="C1961" s="3">
        <f t="shared" si="213"/>
        <v>45788</v>
      </c>
      <c r="D1961" s="4">
        <f t="shared" ca="1" si="215"/>
        <v>175</v>
      </c>
      <c r="E1961" s="2">
        <f t="shared" ca="1" si="216"/>
        <v>3164</v>
      </c>
      <c r="F1961" s="2">
        <f t="shared" ca="1" si="217"/>
        <v>11989</v>
      </c>
      <c r="G1961" s="2">
        <f t="shared" ca="1" si="218"/>
        <v>249</v>
      </c>
    </row>
    <row r="1962" spans="1:7" x14ac:dyDescent="0.3">
      <c r="A1962" s="5" t="str">
        <f t="shared" si="212"/>
        <v>Adidas</v>
      </c>
      <c r="B1962" s="5" t="str">
        <f t="shared" si="214"/>
        <v>NMD S1</v>
      </c>
      <c r="C1962" s="3">
        <f t="shared" si="213"/>
        <v>45788</v>
      </c>
      <c r="D1962" s="4">
        <f t="shared" ca="1" si="215"/>
        <v>52</v>
      </c>
      <c r="E1962" s="2">
        <f t="shared" ca="1" si="216"/>
        <v>8484</v>
      </c>
      <c r="F1962" s="2">
        <f t="shared" ca="1" si="217"/>
        <v>27666</v>
      </c>
      <c r="G1962" s="2">
        <f t="shared" ca="1" si="218"/>
        <v>1196</v>
      </c>
    </row>
    <row r="1963" spans="1:7" x14ac:dyDescent="0.3">
      <c r="A1963" s="5" t="str">
        <f t="shared" ref="A1963:A2026" si="219">CHOOSE(MOD(ROW(A1962),5)+1,"Nike","Adidas","Puma","New Balance","Reebok")</f>
        <v>Puma</v>
      </c>
      <c r="B1963" s="5" t="str">
        <f t="shared" si="214"/>
        <v>Suede Classic</v>
      </c>
      <c r="C1963" s="3">
        <f t="shared" ref="C1963:C2026" si="220">DATE(2025,1,1)+INT((ROW(A1963)-2)/15)</f>
        <v>45788</v>
      </c>
      <c r="D1963" s="4">
        <f t="shared" ca="1" si="215"/>
        <v>142</v>
      </c>
      <c r="E1963" s="2">
        <f t="shared" ca="1" si="216"/>
        <v>10847</v>
      </c>
      <c r="F1963" s="2">
        <f t="shared" ca="1" si="217"/>
        <v>34300</v>
      </c>
      <c r="G1963" s="2">
        <f t="shared" ca="1" si="218"/>
        <v>1671</v>
      </c>
    </row>
    <row r="1964" spans="1:7" x14ac:dyDescent="0.3">
      <c r="A1964" s="5" t="str">
        <f t="shared" si="219"/>
        <v>New Balance</v>
      </c>
      <c r="B1964" s="5" t="str">
        <f t="shared" si="214"/>
        <v>990v6</v>
      </c>
      <c r="C1964" s="3">
        <f t="shared" si="220"/>
        <v>45788</v>
      </c>
      <c r="D1964" s="4">
        <f t="shared" ca="1" si="215"/>
        <v>34</v>
      </c>
      <c r="E1964" s="2">
        <f t="shared" ca="1" si="216"/>
        <v>11606</v>
      </c>
      <c r="F1964" s="2">
        <f t="shared" ca="1" si="217"/>
        <v>13926</v>
      </c>
      <c r="G1964" s="2">
        <f t="shared" ca="1" si="218"/>
        <v>525</v>
      </c>
    </row>
    <row r="1965" spans="1:7" x14ac:dyDescent="0.3">
      <c r="A1965" s="5" t="str">
        <f t="shared" si="219"/>
        <v>Reebok</v>
      </c>
      <c r="B1965" s="5" t="str">
        <f t="shared" si="214"/>
        <v>Nano X3</v>
      </c>
      <c r="C1965" s="3">
        <f t="shared" si="220"/>
        <v>45788</v>
      </c>
      <c r="D1965" s="4">
        <f t="shared" ca="1" si="215"/>
        <v>188</v>
      </c>
      <c r="E1965" s="2">
        <f t="shared" ca="1" si="216"/>
        <v>6300</v>
      </c>
      <c r="F1965" s="2">
        <f t="shared" ca="1" si="217"/>
        <v>15840</v>
      </c>
      <c r="G1965" s="2">
        <f t="shared" ca="1" si="218"/>
        <v>1103</v>
      </c>
    </row>
    <row r="1966" spans="1:7" x14ac:dyDescent="0.3">
      <c r="A1966" s="5" t="str">
        <f t="shared" si="219"/>
        <v>Nike</v>
      </c>
      <c r="B1966" s="5" t="str">
        <f t="shared" si="214"/>
        <v>Vaporfly 3</v>
      </c>
      <c r="C1966" s="3">
        <f t="shared" si="220"/>
        <v>45788</v>
      </c>
      <c r="D1966" s="4">
        <f t="shared" ca="1" si="215"/>
        <v>115</v>
      </c>
      <c r="E1966" s="2">
        <f t="shared" ca="1" si="216"/>
        <v>9661</v>
      </c>
      <c r="F1966" s="2">
        <f t="shared" ca="1" si="217"/>
        <v>5967</v>
      </c>
      <c r="G1966" s="2">
        <f t="shared" ca="1" si="218"/>
        <v>396</v>
      </c>
    </row>
    <row r="1967" spans="1:7" x14ac:dyDescent="0.3">
      <c r="A1967" s="5" t="str">
        <f t="shared" si="219"/>
        <v>Adidas</v>
      </c>
      <c r="B1967" s="5" t="str">
        <f t="shared" si="214"/>
        <v>Samba</v>
      </c>
      <c r="C1967" s="3">
        <f t="shared" si="220"/>
        <v>45789</v>
      </c>
      <c r="D1967" s="4">
        <f t="shared" ca="1" si="215"/>
        <v>201</v>
      </c>
      <c r="E1967" s="2">
        <f t="shared" ca="1" si="216"/>
        <v>8931</v>
      </c>
      <c r="F1967" s="2">
        <f t="shared" ca="1" si="217"/>
        <v>9999</v>
      </c>
      <c r="G1967" s="2">
        <f t="shared" ca="1" si="218"/>
        <v>413</v>
      </c>
    </row>
    <row r="1968" spans="1:7" x14ac:dyDescent="0.3">
      <c r="A1968" s="5" t="str">
        <f t="shared" si="219"/>
        <v>Puma</v>
      </c>
      <c r="B1968" s="5" t="str">
        <f t="shared" si="214"/>
        <v>Mayze</v>
      </c>
      <c r="C1968" s="3">
        <f t="shared" si="220"/>
        <v>45789</v>
      </c>
      <c r="D1968" s="4">
        <f t="shared" ca="1" si="215"/>
        <v>217</v>
      </c>
      <c r="E1968" s="2">
        <f t="shared" ca="1" si="216"/>
        <v>4034</v>
      </c>
      <c r="F1968" s="2">
        <f t="shared" ca="1" si="217"/>
        <v>6028</v>
      </c>
      <c r="G1968" s="2">
        <f t="shared" ca="1" si="218"/>
        <v>204</v>
      </c>
    </row>
    <row r="1969" spans="1:7" x14ac:dyDescent="0.3">
      <c r="A1969" s="5" t="str">
        <f t="shared" si="219"/>
        <v>New Balance</v>
      </c>
      <c r="B1969" s="5" t="str">
        <f t="shared" si="214"/>
        <v>574 Core</v>
      </c>
      <c r="C1969" s="3">
        <f t="shared" si="220"/>
        <v>45789</v>
      </c>
      <c r="D1969" s="4">
        <f t="shared" ca="1" si="215"/>
        <v>83</v>
      </c>
      <c r="E1969" s="2">
        <f t="shared" ca="1" si="216"/>
        <v>8126</v>
      </c>
      <c r="F1969" s="2">
        <f t="shared" ca="1" si="217"/>
        <v>34488</v>
      </c>
      <c r="G1969" s="2">
        <f t="shared" ca="1" si="218"/>
        <v>773</v>
      </c>
    </row>
    <row r="1970" spans="1:7" x14ac:dyDescent="0.3">
      <c r="A1970" s="5" t="str">
        <f t="shared" si="219"/>
        <v>Reebok</v>
      </c>
      <c r="B1970" s="5" t="str">
        <f t="shared" si="214"/>
        <v>Club C 85</v>
      </c>
      <c r="C1970" s="3">
        <f t="shared" si="220"/>
        <v>45789</v>
      </c>
      <c r="D1970" s="4">
        <f t="shared" ca="1" si="215"/>
        <v>30</v>
      </c>
      <c r="E1970" s="2">
        <f t="shared" ca="1" si="216"/>
        <v>5398</v>
      </c>
      <c r="F1970" s="2">
        <f t="shared" ca="1" si="217"/>
        <v>8780</v>
      </c>
      <c r="G1970" s="2">
        <f t="shared" ca="1" si="218"/>
        <v>294</v>
      </c>
    </row>
    <row r="1971" spans="1:7" x14ac:dyDescent="0.3">
      <c r="A1971" s="5" t="str">
        <f t="shared" si="219"/>
        <v>Nike</v>
      </c>
      <c r="B1971" s="5" t="str">
        <f t="shared" si="214"/>
        <v>Pegasus 40</v>
      </c>
      <c r="C1971" s="3">
        <f t="shared" si="220"/>
        <v>45789</v>
      </c>
      <c r="D1971" s="4">
        <f t="shared" ca="1" si="215"/>
        <v>72</v>
      </c>
      <c r="E1971" s="2">
        <f t="shared" ca="1" si="216"/>
        <v>8994</v>
      </c>
      <c r="F1971" s="2">
        <f t="shared" ca="1" si="217"/>
        <v>16638</v>
      </c>
      <c r="G1971" s="2">
        <f t="shared" ca="1" si="218"/>
        <v>970</v>
      </c>
    </row>
    <row r="1972" spans="1:7" x14ac:dyDescent="0.3">
      <c r="A1972" s="5" t="str">
        <f t="shared" si="219"/>
        <v>Adidas</v>
      </c>
      <c r="B1972" s="5" t="str">
        <f t="shared" si="214"/>
        <v>Gazelle</v>
      </c>
      <c r="C1972" s="3">
        <f t="shared" si="220"/>
        <v>45789</v>
      </c>
      <c r="D1972" s="4">
        <f t="shared" ca="1" si="215"/>
        <v>247</v>
      </c>
      <c r="E1972" s="2">
        <f t="shared" ca="1" si="216"/>
        <v>11774</v>
      </c>
      <c r="F1972" s="2">
        <f t="shared" ca="1" si="217"/>
        <v>33107</v>
      </c>
      <c r="G1972" s="2">
        <f t="shared" ca="1" si="218"/>
        <v>1783</v>
      </c>
    </row>
    <row r="1973" spans="1:7" x14ac:dyDescent="0.3">
      <c r="A1973" s="5" t="str">
        <f t="shared" si="219"/>
        <v>Puma</v>
      </c>
      <c r="B1973" s="5" t="str">
        <f t="shared" si="214"/>
        <v>Slipstream</v>
      </c>
      <c r="C1973" s="3">
        <f t="shared" si="220"/>
        <v>45789</v>
      </c>
      <c r="D1973" s="4">
        <f t="shared" ca="1" si="215"/>
        <v>219</v>
      </c>
      <c r="E1973" s="2">
        <f t="shared" ca="1" si="216"/>
        <v>8102</v>
      </c>
      <c r="F1973" s="2">
        <f t="shared" ca="1" si="217"/>
        <v>9326</v>
      </c>
      <c r="G1973" s="2">
        <f t="shared" ca="1" si="218"/>
        <v>238</v>
      </c>
    </row>
    <row r="1974" spans="1:7" x14ac:dyDescent="0.3">
      <c r="A1974" s="5" t="str">
        <f t="shared" si="219"/>
        <v>New Balance</v>
      </c>
      <c r="B1974" s="5" t="str">
        <f t="shared" si="214"/>
        <v>550</v>
      </c>
      <c r="C1974" s="3">
        <f t="shared" si="220"/>
        <v>45789</v>
      </c>
      <c r="D1974" s="4">
        <f t="shared" ca="1" si="215"/>
        <v>49</v>
      </c>
      <c r="E1974" s="2">
        <f t="shared" ca="1" si="216"/>
        <v>5580</v>
      </c>
      <c r="F1974" s="2">
        <f t="shared" ca="1" si="217"/>
        <v>17847</v>
      </c>
      <c r="G1974" s="2">
        <f t="shared" ca="1" si="218"/>
        <v>1396</v>
      </c>
    </row>
    <row r="1975" spans="1:7" x14ac:dyDescent="0.3">
      <c r="A1975" s="5" t="str">
        <f t="shared" si="219"/>
        <v>Reebok</v>
      </c>
      <c r="B1975" s="5" t="str">
        <f t="shared" si="214"/>
        <v>Classic Leather</v>
      </c>
      <c r="C1975" s="3">
        <f t="shared" si="220"/>
        <v>45789</v>
      </c>
      <c r="D1975" s="4">
        <f t="shared" ca="1" si="215"/>
        <v>71</v>
      </c>
      <c r="E1975" s="2">
        <f t="shared" ca="1" si="216"/>
        <v>11746</v>
      </c>
      <c r="F1975" s="2">
        <f t="shared" ca="1" si="217"/>
        <v>24728</v>
      </c>
      <c r="G1975" s="2">
        <f t="shared" ca="1" si="218"/>
        <v>1783</v>
      </c>
    </row>
    <row r="1976" spans="1:7" x14ac:dyDescent="0.3">
      <c r="A1976" s="5" t="str">
        <f t="shared" si="219"/>
        <v>Nike</v>
      </c>
      <c r="B1976" s="5" t="str">
        <f t="shared" si="214"/>
        <v>Air Force 1</v>
      </c>
      <c r="C1976" s="3">
        <f t="shared" si="220"/>
        <v>45789</v>
      </c>
      <c r="D1976" s="4">
        <f t="shared" ca="1" si="215"/>
        <v>152</v>
      </c>
      <c r="E1976" s="2">
        <f t="shared" ca="1" si="216"/>
        <v>4535</v>
      </c>
      <c r="F1976" s="2">
        <f t="shared" ca="1" si="217"/>
        <v>6423</v>
      </c>
      <c r="G1976" s="2">
        <f t="shared" ca="1" si="218"/>
        <v>476</v>
      </c>
    </row>
    <row r="1977" spans="1:7" x14ac:dyDescent="0.3">
      <c r="A1977" s="5" t="str">
        <f t="shared" si="219"/>
        <v>Adidas</v>
      </c>
      <c r="B1977" s="5" t="str">
        <f t="shared" si="214"/>
        <v>Superstar</v>
      </c>
      <c r="C1977" s="3">
        <f t="shared" si="220"/>
        <v>45789</v>
      </c>
      <c r="D1977" s="4">
        <f t="shared" ca="1" si="215"/>
        <v>227</v>
      </c>
      <c r="E1977" s="2">
        <f t="shared" ca="1" si="216"/>
        <v>5964</v>
      </c>
      <c r="F1977" s="2">
        <f t="shared" ca="1" si="217"/>
        <v>13089</v>
      </c>
      <c r="G1977" s="2">
        <f t="shared" ca="1" si="218"/>
        <v>782</v>
      </c>
    </row>
    <row r="1978" spans="1:7" x14ac:dyDescent="0.3">
      <c r="A1978" s="5" t="str">
        <f t="shared" si="219"/>
        <v>Puma</v>
      </c>
      <c r="B1978" s="5" t="str">
        <f t="shared" si="214"/>
        <v>Rider Vintage</v>
      </c>
      <c r="C1978" s="3">
        <f t="shared" si="220"/>
        <v>45789</v>
      </c>
      <c r="D1978" s="4">
        <f t="shared" ca="1" si="215"/>
        <v>173</v>
      </c>
      <c r="E1978" s="2">
        <f t="shared" ca="1" si="216"/>
        <v>2474</v>
      </c>
      <c r="F1978" s="2">
        <f t="shared" ca="1" si="217"/>
        <v>19412</v>
      </c>
      <c r="G1978" s="2">
        <f t="shared" ca="1" si="218"/>
        <v>1114</v>
      </c>
    </row>
    <row r="1979" spans="1:7" x14ac:dyDescent="0.3">
      <c r="A1979" s="5" t="str">
        <f t="shared" si="219"/>
        <v>New Balance</v>
      </c>
      <c r="B1979" s="5" t="str">
        <f t="shared" si="214"/>
        <v>327</v>
      </c>
      <c r="C1979" s="3">
        <f t="shared" si="220"/>
        <v>45789</v>
      </c>
      <c r="D1979" s="4">
        <f t="shared" ca="1" si="215"/>
        <v>169</v>
      </c>
      <c r="E1979" s="2">
        <f t="shared" ca="1" si="216"/>
        <v>7755</v>
      </c>
      <c r="F1979" s="2">
        <f t="shared" ca="1" si="217"/>
        <v>29198</v>
      </c>
      <c r="G1979" s="2">
        <f t="shared" ca="1" si="218"/>
        <v>1084</v>
      </c>
    </row>
    <row r="1980" spans="1:7" x14ac:dyDescent="0.3">
      <c r="A1980" s="5" t="str">
        <f t="shared" si="219"/>
        <v>Reebok</v>
      </c>
      <c r="B1980" s="5" t="str">
        <f t="shared" si="214"/>
        <v>Question Mid</v>
      </c>
      <c r="C1980" s="3">
        <f t="shared" si="220"/>
        <v>45789</v>
      </c>
      <c r="D1980" s="4">
        <f t="shared" ca="1" si="215"/>
        <v>62</v>
      </c>
      <c r="E1980" s="2">
        <f t="shared" ca="1" si="216"/>
        <v>10590</v>
      </c>
      <c r="F1980" s="2">
        <f t="shared" ca="1" si="217"/>
        <v>31036</v>
      </c>
      <c r="G1980" s="2">
        <f t="shared" ca="1" si="218"/>
        <v>817</v>
      </c>
    </row>
    <row r="1981" spans="1:7" x14ac:dyDescent="0.3">
      <c r="A1981" s="5" t="str">
        <f t="shared" si="219"/>
        <v>Nike</v>
      </c>
      <c r="B1981" s="5" t="str">
        <f t="shared" si="214"/>
        <v>Air Max 270</v>
      </c>
      <c r="C1981" s="3">
        <f t="shared" si="220"/>
        <v>45789</v>
      </c>
      <c r="D1981" s="4">
        <f t="shared" ca="1" si="215"/>
        <v>77</v>
      </c>
      <c r="E1981" s="2">
        <f t="shared" ca="1" si="216"/>
        <v>10874</v>
      </c>
      <c r="F1981" s="2">
        <f t="shared" ca="1" si="217"/>
        <v>30870</v>
      </c>
      <c r="G1981" s="2">
        <f t="shared" ca="1" si="218"/>
        <v>1194</v>
      </c>
    </row>
    <row r="1982" spans="1:7" x14ac:dyDescent="0.3">
      <c r="A1982" s="5" t="str">
        <f t="shared" si="219"/>
        <v>Adidas</v>
      </c>
      <c r="B1982" s="5" t="str">
        <f t="shared" si="214"/>
        <v>Stan Smith</v>
      </c>
      <c r="C1982" s="3">
        <f t="shared" si="220"/>
        <v>45790</v>
      </c>
      <c r="D1982" s="4">
        <f t="shared" ca="1" si="215"/>
        <v>138</v>
      </c>
      <c r="E1982" s="2">
        <f t="shared" ca="1" si="216"/>
        <v>7170</v>
      </c>
      <c r="F1982" s="2">
        <f t="shared" ca="1" si="217"/>
        <v>20022</v>
      </c>
      <c r="G1982" s="2">
        <f t="shared" ca="1" si="218"/>
        <v>491</v>
      </c>
    </row>
    <row r="1983" spans="1:7" x14ac:dyDescent="0.3">
      <c r="A1983" s="5" t="str">
        <f t="shared" si="219"/>
        <v>Puma</v>
      </c>
      <c r="B1983" s="5" t="str">
        <f t="shared" si="214"/>
        <v>Cali Dream</v>
      </c>
      <c r="C1983" s="3">
        <f t="shared" si="220"/>
        <v>45790</v>
      </c>
      <c r="D1983" s="4">
        <f t="shared" ca="1" si="215"/>
        <v>244</v>
      </c>
      <c r="E1983" s="2">
        <f t="shared" ca="1" si="216"/>
        <v>4165</v>
      </c>
      <c r="F1983" s="2">
        <f t="shared" ca="1" si="217"/>
        <v>19570</v>
      </c>
      <c r="G1983" s="2">
        <f t="shared" ca="1" si="218"/>
        <v>617</v>
      </c>
    </row>
    <row r="1984" spans="1:7" x14ac:dyDescent="0.3">
      <c r="A1984" s="5" t="str">
        <f t="shared" si="219"/>
        <v>New Balance</v>
      </c>
      <c r="B1984" s="5" t="str">
        <f t="shared" si="214"/>
        <v>9060</v>
      </c>
      <c r="C1984" s="3">
        <f t="shared" si="220"/>
        <v>45790</v>
      </c>
      <c r="D1984" s="4">
        <f t="shared" ca="1" si="215"/>
        <v>145</v>
      </c>
      <c r="E1984" s="2">
        <f t="shared" ca="1" si="216"/>
        <v>8941</v>
      </c>
      <c r="F1984" s="2">
        <f t="shared" ca="1" si="217"/>
        <v>31523</v>
      </c>
      <c r="G1984" s="2">
        <f t="shared" ca="1" si="218"/>
        <v>1743</v>
      </c>
    </row>
    <row r="1985" spans="1:7" x14ac:dyDescent="0.3">
      <c r="A1985" s="5" t="str">
        <f t="shared" si="219"/>
        <v>Reebok</v>
      </c>
      <c r="B1985" s="5" t="str">
        <f t="shared" si="214"/>
        <v>Zig Kinetica</v>
      </c>
      <c r="C1985" s="3">
        <f t="shared" si="220"/>
        <v>45790</v>
      </c>
      <c r="D1985" s="4">
        <f t="shared" ca="1" si="215"/>
        <v>196</v>
      </c>
      <c r="E1985" s="2">
        <f t="shared" ca="1" si="216"/>
        <v>9561</v>
      </c>
      <c r="F1985" s="2">
        <f t="shared" ca="1" si="217"/>
        <v>34012</v>
      </c>
      <c r="G1985" s="2">
        <f t="shared" ca="1" si="218"/>
        <v>2065</v>
      </c>
    </row>
    <row r="1986" spans="1:7" x14ac:dyDescent="0.3">
      <c r="A1986" s="5" t="str">
        <f t="shared" si="219"/>
        <v>Nike</v>
      </c>
      <c r="B1986" s="5" t="str">
        <f t="shared" si="214"/>
        <v>Jordan 1</v>
      </c>
      <c r="C1986" s="3">
        <f t="shared" si="220"/>
        <v>45790</v>
      </c>
      <c r="D1986" s="4">
        <f t="shared" ca="1" si="215"/>
        <v>84</v>
      </c>
      <c r="E1986" s="2">
        <f t="shared" ca="1" si="216"/>
        <v>3442</v>
      </c>
      <c r="F1986" s="2">
        <f t="shared" ca="1" si="217"/>
        <v>8160</v>
      </c>
      <c r="G1986" s="2">
        <f t="shared" ca="1" si="218"/>
        <v>615</v>
      </c>
    </row>
    <row r="1987" spans="1:7" x14ac:dyDescent="0.3">
      <c r="A1987" s="5" t="str">
        <f t="shared" si="219"/>
        <v>Adidas</v>
      </c>
      <c r="B1987" s="5" t="str">
        <f t="shared" ref="B1987:B2050" si="221">IF(A1987="Nike",CHOOSE(MOD(ROW(A1986),6)+1,"Air Max 270","Air Force 1","Pegasus 40","Vaporfly 3","Cortez","Jordan 1"),
 IF(A1987="Adidas",CHOOSE(MOD(ROW(A1986),6)+1,"Ultraboost 23","Stan Smith","Superstar","Gazelle","Samba","NMD S1"),
 IF(A1987="Puma",CHOOSE(MOD(ROW(A1986),6)+1,"Suede Classic","RS-X","Cali Dream","Rider Vintage","Slipstream","Mayze"),
 IF(A1987="New Balance",CHOOSE(MOD(ROW(A1986),6)+1,"574 Core","990v6","2002R","9060","327","550"),
 IF(A1987="Reebok",CHOOSE(MOD(ROW(A1986),6)+1,"Classic Leather","Club C 85","Nano X3","Instapump Fury","Zig Kinetica","Question Mid"),"")))))</f>
        <v>Ultraboost 23</v>
      </c>
      <c r="C1987" s="3">
        <f t="shared" si="220"/>
        <v>45790</v>
      </c>
      <c r="D1987" s="4">
        <f t="shared" ref="D1987:D2050" ca="1" si="222">RANDBETWEEN(20,250)</f>
        <v>111</v>
      </c>
      <c r="E1987" s="2">
        <f t="shared" ref="E1987:E2050" ca="1" si="223">ROUND(RANDBETWEEN(1500,12000)+(RANDBETWEEN(-200,200)),2)</f>
        <v>1848</v>
      </c>
      <c r="F1987" s="2">
        <f t="shared" ref="F1987:F2050" ca="1" si="224">RANDBETWEEN(5000,35000)</f>
        <v>17332</v>
      </c>
      <c r="G1987" s="2">
        <f t="shared" ref="G1987:G2050" ca="1" si="225">RANDBETWEEN(ROUND(F1987*0.02,0),ROUND(F1987*0.08,0))</f>
        <v>794</v>
      </c>
    </row>
    <row r="1988" spans="1:7" x14ac:dyDescent="0.3">
      <c r="A1988" s="5" t="str">
        <f t="shared" si="219"/>
        <v>Puma</v>
      </c>
      <c r="B1988" s="5" t="str">
        <f t="shared" si="221"/>
        <v>RS-X</v>
      </c>
      <c r="C1988" s="3">
        <f t="shared" si="220"/>
        <v>45790</v>
      </c>
      <c r="D1988" s="4">
        <f t="shared" ca="1" si="222"/>
        <v>120</v>
      </c>
      <c r="E1988" s="2">
        <f t="shared" ca="1" si="223"/>
        <v>1363</v>
      </c>
      <c r="F1988" s="2">
        <f t="shared" ca="1" si="224"/>
        <v>7094</v>
      </c>
      <c r="G1988" s="2">
        <f t="shared" ca="1" si="225"/>
        <v>375</v>
      </c>
    </row>
    <row r="1989" spans="1:7" x14ac:dyDescent="0.3">
      <c r="A1989" s="5" t="str">
        <f t="shared" si="219"/>
        <v>New Balance</v>
      </c>
      <c r="B1989" s="5" t="str">
        <f t="shared" si="221"/>
        <v>2002R</v>
      </c>
      <c r="C1989" s="3">
        <f t="shared" si="220"/>
        <v>45790</v>
      </c>
      <c r="D1989" s="4">
        <f t="shared" ca="1" si="222"/>
        <v>69</v>
      </c>
      <c r="E1989" s="2">
        <f t="shared" ca="1" si="223"/>
        <v>8138</v>
      </c>
      <c r="F1989" s="2">
        <f t="shared" ca="1" si="224"/>
        <v>13254</v>
      </c>
      <c r="G1989" s="2">
        <f t="shared" ca="1" si="225"/>
        <v>659</v>
      </c>
    </row>
    <row r="1990" spans="1:7" x14ac:dyDescent="0.3">
      <c r="A1990" s="5" t="str">
        <f t="shared" si="219"/>
        <v>Reebok</v>
      </c>
      <c r="B1990" s="5" t="str">
        <f t="shared" si="221"/>
        <v>Instapump Fury</v>
      </c>
      <c r="C1990" s="3">
        <f t="shared" si="220"/>
        <v>45790</v>
      </c>
      <c r="D1990" s="4">
        <f t="shared" ca="1" si="222"/>
        <v>145</v>
      </c>
      <c r="E1990" s="2">
        <f t="shared" ca="1" si="223"/>
        <v>7997</v>
      </c>
      <c r="F1990" s="2">
        <f t="shared" ca="1" si="224"/>
        <v>20404</v>
      </c>
      <c r="G1990" s="2">
        <f t="shared" ca="1" si="225"/>
        <v>1620</v>
      </c>
    </row>
    <row r="1991" spans="1:7" x14ac:dyDescent="0.3">
      <c r="A1991" s="5" t="str">
        <f t="shared" si="219"/>
        <v>Nike</v>
      </c>
      <c r="B1991" s="5" t="str">
        <f t="shared" si="221"/>
        <v>Cortez</v>
      </c>
      <c r="C1991" s="3">
        <f t="shared" si="220"/>
        <v>45790</v>
      </c>
      <c r="D1991" s="4">
        <f t="shared" ca="1" si="222"/>
        <v>66</v>
      </c>
      <c r="E1991" s="2">
        <f t="shared" ca="1" si="223"/>
        <v>10045</v>
      </c>
      <c r="F1991" s="2">
        <f t="shared" ca="1" si="224"/>
        <v>9508</v>
      </c>
      <c r="G1991" s="2">
        <f t="shared" ca="1" si="225"/>
        <v>733</v>
      </c>
    </row>
    <row r="1992" spans="1:7" x14ac:dyDescent="0.3">
      <c r="A1992" s="5" t="str">
        <f t="shared" si="219"/>
        <v>Adidas</v>
      </c>
      <c r="B1992" s="5" t="str">
        <f t="shared" si="221"/>
        <v>NMD S1</v>
      </c>
      <c r="C1992" s="3">
        <f t="shared" si="220"/>
        <v>45790</v>
      </c>
      <c r="D1992" s="4">
        <f t="shared" ca="1" si="222"/>
        <v>145</v>
      </c>
      <c r="E1992" s="2">
        <f t="shared" ca="1" si="223"/>
        <v>4918</v>
      </c>
      <c r="F1992" s="2">
        <f t="shared" ca="1" si="224"/>
        <v>26211</v>
      </c>
      <c r="G1992" s="2">
        <f t="shared" ca="1" si="225"/>
        <v>1452</v>
      </c>
    </row>
    <row r="1993" spans="1:7" x14ac:dyDescent="0.3">
      <c r="A1993" s="5" t="str">
        <f t="shared" si="219"/>
        <v>Puma</v>
      </c>
      <c r="B1993" s="5" t="str">
        <f t="shared" si="221"/>
        <v>Suede Classic</v>
      </c>
      <c r="C1993" s="3">
        <f t="shared" si="220"/>
        <v>45790</v>
      </c>
      <c r="D1993" s="4">
        <f t="shared" ca="1" si="222"/>
        <v>51</v>
      </c>
      <c r="E1993" s="2">
        <f t="shared" ca="1" si="223"/>
        <v>8626</v>
      </c>
      <c r="F1993" s="2">
        <f t="shared" ca="1" si="224"/>
        <v>28642</v>
      </c>
      <c r="G1993" s="2">
        <f t="shared" ca="1" si="225"/>
        <v>707</v>
      </c>
    </row>
    <row r="1994" spans="1:7" x14ac:dyDescent="0.3">
      <c r="A1994" s="5" t="str">
        <f t="shared" si="219"/>
        <v>New Balance</v>
      </c>
      <c r="B1994" s="5" t="str">
        <f t="shared" si="221"/>
        <v>990v6</v>
      </c>
      <c r="C1994" s="3">
        <f t="shared" si="220"/>
        <v>45790</v>
      </c>
      <c r="D1994" s="4">
        <f t="shared" ca="1" si="222"/>
        <v>135</v>
      </c>
      <c r="E1994" s="2">
        <f t="shared" ca="1" si="223"/>
        <v>2344</v>
      </c>
      <c r="F1994" s="2">
        <f t="shared" ca="1" si="224"/>
        <v>10951</v>
      </c>
      <c r="G1994" s="2">
        <f t="shared" ca="1" si="225"/>
        <v>405</v>
      </c>
    </row>
    <row r="1995" spans="1:7" x14ac:dyDescent="0.3">
      <c r="A1995" s="5" t="str">
        <f t="shared" si="219"/>
        <v>Reebok</v>
      </c>
      <c r="B1995" s="5" t="str">
        <f t="shared" si="221"/>
        <v>Nano X3</v>
      </c>
      <c r="C1995" s="3">
        <f t="shared" si="220"/>
        <v>45790</v>
      </c>
      <c r="D1995" s="4">
        <f t="shared" ca="1" si="222"/>
        <v>194</v>
      </c>
      <c r="E1995" s="2">
        <f t="shared" ca="1" si="223"/>
        <v>4192</v>
      </c>
      <c r="F1995" s="2">
        <f t="shared" ca="1" si="224"/>
        <v>14746</v>
      </c>
      <c r="G1995" s="2">
        <f t="shared" ca="1" si="225"/>
        <v>845</v>
      </c>
    </row>
    <row r="1996" spans="1:7" x14ac:dyDescent="0.3">
      <c r="A1996" s="5" t="str">
        <f t="shared" si="219"/>
        <v>Nike</v>
      </c>
      <c r="B1996" s="5" t="str">
        <f t="shared" si="221"/>
        <v>Vaporfly 3</v>
      </c>
      <c r="C1996" s="3">
        <f t="shared" si="220"/>
        <v>45790</v>
      </c>
      <c r="D1996" s="4">
        <f t="shared" ca="1" si="222"/>
        <v>60</v>
      </c>
      <c r="E1996" s="2">
        <f t="shared" ca="1" si="223"/>
        <v>8304</v>
      </c>
      <c r="F1996" s="2">
        <f t="shared" ca="1" si="224"/>
        <v>12756</v>
      </c>
      <c r="G1996" s="2">
        <f t="shared" ca="1" si="225"/>
        <v>848</v>
      </c>
    </row>
    <row r="1997" spans="1:7" x14ac:dyDescent="0.3">
      <c r="A1997" s="5" t="str">
        <f t="shared" si="219"/>
        <v>Adidas</v>
      </c>
      <c r="B1997" s="5" t="str">
        <f t="shared" si="221"/>
        <v>Samba</v>
      </c>
      <c r="C1997" s="3">
        <f t="shared" si="220"/>
        <v>45791</v>
      </c>
      <c r="D1997" s="4">
        <f t="shared" ca="1" si="222"/>
        <v>213</v>
      </c>
      <c r="E1997" s="2">
        <f t="shared" ca="1" si="223"/>
        <v>6018</v>
      </c>
      <c r="F1997" s="2">
        <f t="shared" ca="1" si="224"/>
        <v>11317</v>
      </c>
      <c r="G1997" s="2">
        <f t="shared" ca="1" si="225"/>
        <v>265</v>
      </c>
    </row>
    <row r="1998" spans="1:7" x14ac:dyDescent="0.3">
      <c r="A1998" s="5" t="str">
        <f t="shared" si="219"/>
        <v>Puma</v>
      </c>
      <c r="B1998" s="5" t="str">
        <f t="shared" si="221"/>
        <v>Mayze</v>
      </c>
      <c r="C1998" s="3">
        <f t="shared" si="220"/>
        <v>45791</v>
      </c>
      <c r="D1998" s="4">
        <f t="shared" ca="1" si="222"/>
        <v>79</v>
      </c>
      <c r="E1998" s="2">
        <f t="shared" ca="1" si="223"/>
        <v>9149</v>
      </c>
      <c r="F1998" s="2">
        <f t="shared" ca="1" si="224"/>
        <v>33364</v>
      </c>
      <c r="G1998" s="2">
        <f t="shared" ca="1" si="225"/>
        <v>1903</v>
      </c>
    </row>
    <row r="1999" spans="1:7" x14ac:dyDescent="0.3">
      <c r="A1999" s="5" t="str">
        <f t="shared" si="219"/>
        <v>New Balance</v>
      </c>
      <c r="B1999" s="5" t="str">
        <f t="shared" si="221"/>
        <v>574 Core</v>
      </c>
      <c r="C1999" s="3">
        <f t="shared" si="220"/>
        <v>45791</v>
      </c>
      <c r="D1999" s="4">
        <f t="shared" ca="1" si="222"/>
        <v>173</v>
      </c>
      <c r="E1999" s="2">
        <f t="shared" ca="1" si="223"/>
        <v>1837</v>
      </c>
      <c r="F1999" s="2">
        <f t="shared" ca="1" si="224"/>
        <v>18476</v>
      </c>
      <c r="G1999" s="2">
        <f t="shared" ca="1" si="225"/>
        <v>1400</v>
      </c>
    </row>
    <row r="2000" spans="1:7" x14ac:dyDescent="0.3">
      <c r="A2000" s="5" t="str">
        <f t="shared" si="219"/>
        <v>Reebok</v>
      </c>
      <c r="B2000" s="5" t="str">
        <f t="shared" si="221"/>
        <v>Club C 85</v>
      </c>
      <c r="C2000" s="3">
        <f t="shared" si="220"/>
        <v>45791</v>
      </c>
      <c r="D2000" s="4">
        <f t="shared" ca="1" si="222"/>
        <v>79</v>
      </c>
      <c r="E2000" s="2">
        <f t="shared" ca="1" si="223"/>
        <v>3035</v>
      </c>
      <c r="F2000" s="2">
        <f t="shared" ca="1" si="224"/>
        <v>6866</v>
      </c>
      <c r="G2000" s="2">
        <f t="shared" ca="1" si="225"/>
        <v>406</v>
      </c>
    </row>
    <row r="2001" spans="1:7" x14ac:dyDescent="0.3">
      <c r="A2001" s="5" t="str">
        <f t="shared" si="219"/>
        <v>Nike</v>
      </c>
      <c r="B2001" s="5" t="str">
        <f t="shared" si="221"/>
        <v>Pegasus 40</v>
      </c>
      <c r="C2001" s="3">
        <f t="shared" si="220"/>
        <v>45791</v>
      </c>
      <c r="D2001" s="4">
        <f t="shared" ca="1" si="222"/>
        <v>59</v>
      </c>
      <c r="E2001" s="2">
        <f t="shared" ca="1" si="223"/>
        <v>7276</v>
      </c>
      <c r="F2001" s="2">
        <f t="shared" ca="1" si="224"/>
        <v>14354</v>
      </c>
      <c r="G2001" s="2">
        <f t="shared" ca="1" si="225"/>
        <v>327</v>
      </c>
    </row>
    <row r="2002" spans="1:7" x14ac:dyDescent="0.3">
      <c r="A2002" s="5" t="str">
        <f t="shared" si="219"/>
        <v>Adidas</v>
      </c>
      <c r="B2002" s="5" t="str">
        <f t="shared" si="221"/>
        <v>Gazelle</v>
      </c>
      <c r="C2002" s="3">
        <f t="shared" si="220"/>
        <v>45791</v>
      </c>
      <c r="D2002" s="4">
        <f t="shared" ca="1" si="222"/>
        <v>21</v>
      </c>
      <c r="E2002" s="2">
        <f t="shared" ca="1" si="223"/>
        <v>11676</v>
      </c>
      <c r="F2002" s="2">
        <f t="shared" ca="1" si="224"/>
        <v>30480</v>
      </c>
      <c r="G2002" s="2">
        <f t="shared" ca="1" si="225"/>
        <v>1212</v>
      </c>
    </row>
    <row r="2003" spans="1:7" x14ac:dyDescent="0.3">
      <c r="A2003" s="5" t="str">
        <f t="shared" si="219"/>
        <v>Puma</v>
      </c>
      <c r="B2003" s="5" t="str">
        <f t="shared" si="221"/>
        <v>Slipstream</v>
      </c>
      <c r="C2003" s="3">
        <f t="shared" si="220"/>
        <v>45791</v>
      </c>
      <c r="D2003" s="4">
        <f t="shared" ca="1" si="222"/>
        <v>175</v>
      </c>
      <c r="E2003" s="2">
        <f t="shared" ca="1" si="223"/>
        <v>7509</v>
      </c>
      <c r="F2003" s="2">
        <f t="shared" ca="1" si="224"/>
        <v>22764</v>
      </c>
      <c r="G2003" s="2">
        <f t="shared" ca="1" si="225"/>
        <v>1138</v>
      </c>
    </row>
    <row r="2004" spans="1:7" x14ac:dyDescent="0.3">
      <c r="A2004" s="5" t="str">
        <f t="shared" si="219"/>
        <v>New Balance</v>
      </c>
      <c r="B2004" s="5" t="str">
        <f t="shared" si="221"/>
        <v>550</v>
      </c>
      <c r="C2004" s="3">
        <f t="shared" si="220"/>
        <v>45791</v>
      </c>
      <c r="D2004" s="4">
        <f t="shared" ca="1" si="222"/>
        <v>111</v>
      </c>
      <c r="E2004" s="2">
        <f t="shared" ca="1" si="223"/>
        <v>4207</v>
      </c>
      <c r="F2004" s="2">
        <f t="shared" ca="1" si="224"/>
        <v>33160</v>
      </c>
      <c r="G2004" s="2">
        <f t="shared" ca="1" si="225"/>
        <v>1447</v>
      </c>
    </row>
    <row r="2005" spans="1:7" x14ac:dyDescent="0.3">
      <c r="A2005" s="5" t="str">
        <f t="shared" si="219"/>
        <v>Reebok</v>
      </c>
      <c r="B2005" s="5" t="str">
        <f t="shared" si="221"/>
        <v>Classic Leather</v>
      </c>
      <c r="C2005" s="3">
        <f t="shared" si="220"/>
        <v>45791</v>
      </c>
      <c r="D2005" s="4">
        <f t="shared" ca="1" si="222"/>
        <v>239</v>
      </c>
      <c r="E2005" s="2">
        <f t="shared" ca="1" si="223"/>
        <v>3859</v>
      </c>
      <c r="F2005" s="2">
        <f t="shared" ca="1" si="224"/>
        <v>19460</v>
      </c>
      <c r="G2005" s="2">
        <f t="shared" ca="1" si="225"/>
        <v>739</v>
      </c>
    </row>
    <row r="2006" spans="1:7" x14ac:dyDescent="0.3">
      <c r="A2006" s="5" t="str">
        <f t="shared" si="219"/>
        <v>Nike</v>
      </c>
      <c r="B2006" s="5" t="str">
        <f t="shared" si="221"/>
        <v>Air Force 1</v>
      </c>
      <c r="C2006" s="3">
        <f t="shared" si="220"/>
        <v>45791</v>
      </c>
      <c r="D2006" s="4">
        <f t="shared" ca="1" si="222"/>
        <v>213</v>
      </c>
      <c r="E2006" s="2">
        <f t="shared" ca="1" si="223"/>
        <v>10658</v>
      </c>
      <c r="F2006" s="2">
        <f t="shared" ca="1" si="224"/>
        <v>19636</v>
      </c>
      <c r="G2006" s="2">
        <f t="shared" ca="1" si="225"/>
        <v>1362</v>
      </c>
    </row>
    <row r="2007" spans="1:7" x14ac:dyDescent="0.3">
      <c r="A2007" s="5" t="str">
        <f t="shared" si="219"/>
        <v>Adidas</v>
      </c>
      <c r="B2007" s="5" t="str">
        <f t="shared" si="221"/>
        <v>Superstar</v>
      </c>
      <c r="C2007" s="3">
        <f t="shared" si="220"/>
        <v>45791</v>
      </c>
      <c r="D2007" s="4">
        <f t="shared" ca="1" si="222"/>
        <v>239</v>
      </c>
      <c r="E2007" s="2">
        <f t="shared" ca="1" si="223"/>
        <v>6566</v>
      </c>
      <c r="F2007" s="2">
        <f t="shared" ca="1" si="224"/>
        <v>17849</v>
      </c>
      <c r="G2007" s="2">
        <f t="shared" ca="1" si="225"/>
        <v>1407</v>
      </c>
    </row>
    <row r="2008" spans="1:7" x14ac:dyDescent="0.3">
      <c r="A2008" s="5" t="str">
        <f t="shared" si="219"/>
        <v>Puma</v>
      </c>
      <c r="B2008" s="5" t="str">
        <f t="shared" si="221"/>
        <v>Rider Vintage</v>
      </c>
      <c r="C2008" s="3">
        <f t="shared" si="220"/>
        <v>45791</v>
      </c>
      <c r="D2008" s="4">
        <f t="shared" ca="1" si="222"/>
        <v>229</v>
      </c>
      <c r="E2008" s="2">
        <f t="shared" ca="1" si="223"/>
        <v>3259</v>
      </c>
      <c r="F2008" s="2">
        <f t="shared" ca="1" si="224"/>
        <v>16970</v>
      </c>
      <c r="G2008" s="2">
        <f t="shared" ca="1" si="225"/>
        <v>645</v>
      </c>
    </row>
    <row r="2009" spans="1:7" x14ac:dyDescent="0.3">
      <c r="A2009" s="5" t="str">
        <f t="shared" si="219"/>
        <v>New Balance</v>
      </c>
      <c r="B2009" s="5" t="str">
        <f t="shared" si="221"/>
        <v>327</v>
      </c>
      <c r="C2009" s="3">
        <f t="shared" si="220"/>
        <v>45791</v>
      </c>
      <c r="D2009" s="4">
        <f t="shared" ca="1" si="222"/>
        <v>208</v>
      </c>
      <c r="E2009" s="2">
        <f t="shared" ca="1" si="223"/>
        <v>3376</v>
      </c>
      <c r="F2009" s="2">
        <f t="shared" ca="1" si="224"/>
        <v>13145</v>
      </c>
      <c r="G2009" s="2">
        <f t="shared" ca="1" si="225"/>
        <v>617</v>
      </c>
    </row>
    <row r="2010" spans="1:7" x14ac:dyDescent="0.3">
      <c r="A2010" s="5" t="str">
        <f t="shared" si="219"/>
        <v>Reebok</v>
      </c>
      <c r="B2010" s="5" t="str">
        <f t="shared" si="221"/>
        <v>Question Mid</v>
      </c>
      <c r="C2010" s="3">
        <f t="shared" si="220"/>
        <v>45791</v>
      </c>
      <c r="D2010" s="4">
        <f t="shared" ca="1" si="222"/>
        <v>172</v>
      </c>
      <c r="E2010" s="2">
        <f t="shared" ca="1" si="223"/>
        <v>10263</v>
      </c>
      <c r="F2010" s="2">
        <f t="shared" ca="1" si="224"/>
        <v>31701</v>
      </c>
      <c r="G2010" s="2">
        <f t="shared" ca="1" si="225"/>
        <v>1208</v>
      </c>
    </row>
    <row r="2011" spans="1:7" x14ac:dyDescent="0.3">
      <c r="A2011" s="5" t="str">
        <f t="shared" si="219"/>
        <v>Nike</v>
      </c>
      <c r="B2011" s="5" t="str">
        <f t="shared" si="221"/>
        <v>Air Max 270</v>
      </c>
      <c r="C2011" s="3">
        <f t="shared" si="220"/>
        <v>45791</v>
      </c>
      <c r="D2011" s="4">
        <f t="shared" ca="1" si="222"/>
        <v>204</v>
      </c>
      <c r="E2011" s="2">
        <f t="shared" ca="1" si="223"/>
        <v>2703</v>
      </c>
      <c r="F2011" s="2">
        <f t="shared" ca="1" si="224"/>
        <v>27516</v>
      </c>
      <c r="G2011" s="2">
        <f t="shared" ca="1" si="225"/>
        <v>1714</v>
      </c>
    </row>
    <row r="2012" spans="1:7" x14ac:dyDescent="0.3">
      <c r="A2012" s="5" t="str">
        <f t="shared" si="219"/>
        <v>Adidas</v>
      </c>
      <c r="B2012" s="5" t="str">
        <f t="shared" si="221"/>
        <v>Stan Smith</v>
      </c>
      <c r="C2012" s="3">
        <f t="shared" si="220"/>
        <v>45792</v>
      </c>
      <c r="D2012" s="4">
        <f t="shared" ca="1" si="222"/>
        <v>145</v>
      </c>
      <c r="E2012" s="2">
        <f t="shared" ca="1" si="223"/>
        <v>6451</v>
      </c>
      <c r="F2012" s="2">
        <f t="shared" ca="1" si="224"/>
        <v>14764</v>
      </c>
      <c r="G2012" s="2">
        <f t="shared" ca="1" si="225"/>
        <v>1069</v>
      </c>
    </row>
    <row r="2013" spans="1:7" x14ac:dyDescent="0.3">
      <c r="A2013" s="5" t="str">
        <f t="shared" si="219"/>
        <v>Puma</v>
      </c>
      <c r="B2013" s="5" t="str">
        <f t="shared" si="221"/>
        <v>Cali Dream</v>
      </c>
      <c r="C2013" s="3">
        <f t="shared" si="220"/>
        <v>45792</v>
      </c>
      <c r="D2013" s="4">
        <f t="shared" ca="1" si="222"/>
        <v>151</v>
      </c>
      <c r="E2013" s="2">
        <f t="shared" ca="1" si="223"/>
        <v>12079</v>
      </c>
      <c r="F2013" s="2">
        <f t="shared" ca="1" si="224"/>
        <v>13069</v>
      </c>
      <c r="G2013" s="2">
        <f t="shared" ca="1" si="225"/>
        <v>528</v>
      </c>
    </row>
    <row r="2014" spans="1:7" x14ac:dyDescent="0.3">
      <c r="A2014" s="5" t="str">
        <f t="shared" si="219"/>
        <v>New Balance</v>
      </c>
      <c r="B2014" s="5" t="str">
        <f t="shared" si="221"/>
        <v>9060</v>
      </c>
      <c r="C2014" s="3">
        <f t="shared" si="220"/>
        <v>45792</v>
      </c>
      <c r="D2014" s="4">
        <f t="shared" ca="1" si="222"/>
        <v>191</v>
      </c>
      <c r="E2014" s="2">
        <f t="shared" ca="1" si="223"/>
        <v>7862</v>
      </c>
      <c r="F2014" s="2">
        <f t="shared" ca="1" si="224"/>
        <v>10673</v>
      </c>
      <c r="G2014" s="2">
        <f t="shared" ca="1" si="225"/>
        <v>807</v>
      </c>
    </row>
    <row r="2015" spans="1:7" x14ac:dyDescent="0.3">
      <c r="A2015" s="5" t="str">
        <f t="shared" si="219"/>
        <v>Reebok</v>
      </c>
      <c r="B2015" s="5" t="str">
        <f t="shared" si="221"/>
        <v>Zig Kinetica</v>
      </c>
      <c r="C2015" s="3">
        <f t="shared" si="220"/>
        <v>45792</v>
      </c>
      <c r="D2015" s="4">
        <f t="shared" ca="1" si="222"/>
        <v>131</v>
      </c>
      <c r="E2015" s="2">
        <f t="shared" ca="1" si="223"/>
        <v>11390</v>
      </c>
      <c r="F2015" s="2">
        <f t="shared" ca="1" si="224"/>
        <v>32640</v>
      </c>
      <c r="G2015" s="2">
        <f t="shared" ca="1" si="225"/>
        <v>802</v>
      </c>
    </row>
    <row r="2016" spans="1:7" x14ac:dyDescent="0.3">
      <c r="A2016" s="5" t="str">
        <f t="shared" si="219"/>
        <v>Nike</v>
      </c>
      <c r="B2016" s="5" t="str">
        <f t="shared" si="221"/>
        <v>Jordan 1</v>
      </c>
      <c r="C2016" s="3">
        <f t="shared" si="220"/>
        <v>45792</v>
      </c>
      <c r="D2016" s="4">
        <f t="shared" ca="1" si="222"/>
        <v>137</v>
      </c>
      <c r="E2016" s="2">
        <f t="shared" ca="1" si="223"/>
        <v>6778</v>
      </c>
      <c r="F2016" s="2">
        <f t="shared" ca="1" si="224"/>
        <v>32390</v>
      </c>
      <c r="G2016" s="2">
        <f t="shared" ca="1" si="225"/>
        <v>723</v>
      </c>
    </row>
    <row r="2017" spans="1:7" x14ac:dyDescent="0.3">
      <c r="A2017" s="5" t="str">
        <f t="shared" si="219"/>
        <v>Adidas</v>
      </c>
      <c r="B2017" s="5" t="str">
        <f t="shared" si="221"/>
        <v>Ultraboost 23</v>
      </c>
      <c r="C2017" s="3">
        <f t="shared" si="220"/>
        <v>45792</v>
      </c>
      <c r="D2017" s="4">
        <f t="shared" ca="1" si="222"/>
        <v>143</v>
      </c>
      <c r="E2017" s="2">
        <f t="shared" ca="1" si="223"/>
        <v>2765</v>
      </c>
      <c r="F2017" s="2">
        <f t="shared" ca="1" si="224"/>
        <v>27224</v>
      </c>
      <c r="G2017" s="2">
        <f t="shared" ca="1" si="225"/>
        <v>1711</v>
      </c>
    </row>
    <row r="2018" spans="1:7" x14ac:dyDescent="0.3">
      <c r="A2018" s="5" t="str">
        <f t="shared" si="219"/>
        <v>Puma</v>
      </c>
      <c r="B2018" s="5" t="str">
        <f t="shared" si="221"/>
        <v>RS-X</v>
      </c>
      <c r="C2018" s="3">
        <f t="shared" si="220"/>
        <v>45792</v>
      </c>
      <c r="D2018" s="4">
        <f t="shared" ca="1" si="222"/>
        <v>214</v>
      </c>
      <c r="E2018" s="2">
        <f t="shared" ca="1" si="223"/>
        <v>10277</v>
      </c>
      <c r="F2018" s="2">
        <f t="shared" ca="1" si="224"/>
        <v>22513</v>
      </c>
      <c r="G2018" s="2">
        <f t="shared" ca="1" si="225"/>
        <v>1284</v>
      </c>
    </row>
    <row r="2019" spans="1:7" x14ac:dyDescent="0.3">
      <c r="A2019" s="5" t="str">
        <f t="shared" si="219"/>
        <v>New Balance</v>
      </c>
      <c r="B2019" s="5" t="str">
        <f t="shared" si="221"/>
        <v>2002R</v>
      </c>
      <c r="C2019" s="3">
        <f t="shared" si="220"/>
        <v>45792</v>
      </c>
      <c r="D2019" s="4">
        <f t="shared" ca="1" si="222"/>
        <v>237</v>
      </c>
      <c r="E2019" s="2">
        <f t="shared" ca="1" si="223"/>
        <v>6833</v>
      </c>
      <c r="F2019" s="2">
        <f t="shared" ca="1" si="224"/>
        <v>26947</v>
      </c>
      <c r="G2019" s="2">
        <f t="shared" ca="1" si="225"/>
        <v>1650</v>
      </c>
    </row>
    <row r="2020" spans="1:7" x14ac:dyDescent="0.3">
      <c r="A2020" s="5" t="str">
        <f t="shared" si="219"/>
        <v>Reebok</v>
      </c>
      <c r="B2020" s="5" t="str">
        <f t="shared" si="221"/>
        <v>Instapump Fury</v>
      </c>
      <c r="C2020" s="3">
        <f t="shared" si="220"/>
        <v>45792</v>
      </c>
      <c r="D2020" s="4">
        <f t="shared" ca="1" si="222"/>
        <v>245</v>
      </c>
      <c r="E2020" s="2">
        <f t="shared" ca="1" si="223"/>
        <v>4435</v>
      </c>
      <c r="F2020" s="2">
        <f t="shared" ca="1" si="224"/>
        <v>16459</v>
      </c>
      <c r="G2020" s="2">
        <f t="shared" ca="1" si="225"/>
        <v>1184</v>
      </c>
    </row>
    <row r="2021" spans="1:7" x14ac:dyDescent="0.3">
      <c r="A2021" s="5" t="str">
        <f t="shared" si="219"/>
        <v>Nike</v>
      </c>
      <c r="B2021" s="5" t="str">
        <f t="shared" si="221"/>
        <v>Cortez</v>
      </c>
      <c r="C2021" s="3">
        <f t="shared" si="220"/>
        <v>45792</v>
      </c>
      <c r="D2021" s="4">
        <f t="shared" ca="1" si="222"/>
        <v>94</v>
      </c>
      <c r="E2021" s="2">
        <f t="shared" ca="1" si="223"/>
        <v>9630</v>
      </c>
      <c r="F2021" s="2">
        <f t="shared" ca="1" si="224"/>
        <v>17694</v>
      </c>
      <c r="G2021" s="2">
        <f t="shared" ca="1" si="225"/>
        <v>741</v>
      </c>
    </row>
    <row r="2022" spans="1:7" x14ac:dyDescent="0.3">
      <c r="A2022" s="5" t="str">
        <f t="shared" si="219"/>
        <v>Adidas</v>
      </c>
      <c r="B2022" s="5" t="str">
        <f t="shared" si="221"/>
        <v>NMD S1</v>
      </c>
      <c r="C2022" s="3">
        <f t="shared" si="220"/>
        <v>45792</v>
      </c>
      <c r="D2022" s="4">
        <f t="shared" ca="1" si="222"/>
        <v>65</v>
      </c>
      <c r="E2022" s="2">
        <f t="shared" ca="1" si="223"/>
        <v>9156</v>
      </c>
      <c r="F2022" s="2">
        <f t="shared" ca="1" si="224"/>
        <v>8594</v>
      </c>
      <c r="G2022" s="2">
        <f t="shared" ca="1" si="225"/>
        <v>419</v>
      </c>
    </row>
    <row r="2023" spans="1:7" x14ac:dyDescent="0.3">
      <c r="A2023" s="5" t="str">
        <f t="shared" si="219"/>
        <v>Puma</v>
      </c>
      <c r="B2023" s="5" t="str">
        <f t="shared" si="221"/>
        <v>Suede Classic</v>
      </c>
      <c r="C2023" s="3">
        <f t="shared" si="220"/>
        <v>45792</v>
      </c>
      <c r="D2023" s="4">
        <f t="shared" ca="1" si="222"/>
        <v>27</v>
      </c>
      <c r="E2023" s="2">
        <f t="shared" ca="1" si="223"/>
        <v>1951</v>
      </c>
      <c r="F2023" s="2">
        <f t="shared" ca="1" si="224"/>
        <v>9539</v>
      </c>
      <c r="G2023" s="2">
        <f t="shared" ca="1" si="225"/>
        <v>698</v>
      </c>
    </row>
    <row r="2024" spans="1:7" x14ac:dyDescent="0.3">
      <c r="A2024" s="5" t="str">
        <f t="shared" si="219"/>
        <v>New Balance</v>
      </c>
      <c r="B2024" s="5" t="str">
        <f t="shared" si="221"/>
        <v>990v6</v>
      </c>
      <c r="C2024" s="3">
        <f t="shared" si="220"/>
        <v>45792</v>
      </c>
      <c r="D2024" s="4">
        <f t="shared" ca="1" si="222"/>
        <v>174</v>
      </c>
      <c r="E2024" s="2">
        <f t="shared" ca="1" si="223"/>
        <v>11659</v>
      </c>
      <c r="F2024" s="2">
        <f t="shared" ca="1" si="224"/>
        <v>25869</v>
      </c>
      <c r="G2024" s="2">
        <f t="shared" ca="1" si="225"/>
        <v>741</v>
      </c>
    </row>
    <row r="2025" spans="1:7" x14ac:dyDescent="0.3">
      <c r="A2025" s="5" t="str">
        <f t="shared" si="219"/>
        <v>Reebok</v>
      </c>
      <c r="B2025" s="5" t="str">
        <f t="shared" si="221"/>
        <v>Nano X3</v>
      </c>
      <c r="C2025" s="3">
        <f t="shared" si="220"/>
        <v>45792</v>
      </c>
      <c r="D2025" s="4">
        <f t="shared" ca="1" si="222"/>
        <v>137</v>
      </c>
      <c r="E2025" s="2">
        <f t="shared" ca="1" si="223"/>
        <v>7050</v>
      </c>
      <c r="F2025" s="2">
        <f t="shared" ca="1" si="224"/>
        <v>10303</v>
      </c>
      <c r="G2025" s="2">
        <f t="shared" ca="1" si="225"/>
        <v>568</v>
      </c>
    </row>
    <row r="2026" spans="1:7" x14ac:dyDescent="0.3">
      <c r="A2026" s="5" t="str">
        <f t="shared" si="219"/>
        <v>Nike</v>
      </c>
      <c r="B2026" s="5" t="str">
        <f t="shared" si="221"/>
        <v>Vaporfly 3</v>
      </c>
      <c r="C2026" s="3">
        <f t="shared" si="220"/>
        <v>45792</v>
      </c>
      <c r="D2026" s="4">
        <f t="shared" ca="1" si="222"/>
        <v>120</v>
      </c>
      <c r="E2026" s="2">
        <f t="shared" ca="1" si="223"/>
        <v>5622</v>
      </c>
      <c r="F2026" s="2">
        <f t="shared" ca="1" si="224"/>
        <v>28841</v>
      </c>
      <c r="G2026" s="2">
        <f t="shared" ca="1" si="225"/>
        <v>1479</v>
      </c>
    </row>
    <row r="2027" spans="1:7" x14ac:dyDescent="0.3">
      <c r="A2027" s="5" t="str">
        <f t="shared" ref="A2027:A2090" si="226">CHOOSE(MOD(ROW(A2026),5)+1,"Nike","Adidas","Puma","New Balance","Reebok")</f>
        <v>Adidas</v>
      </c>
      <c r="B2027" s="5" t="str">
        <f t="shared" si="221"/>
        <v>Samba</v>
      </c>
      <c r="C2027" s="3">
        <f t="shared" ref="C2027:C2090" si="227">DATE(2025,1,1)+INT((ROW(A2027)-2)/15)</f>
        <v>45793</v>
      </c>
      <c r="D2027" s="4">
        <f t="shared" ca="1" si="222"/>
        <v>169</v>
      </c>
      <c r="E2027" s="2">
        <f t="shared" ca="1" si="223"/>
        <v>8815</v>
      </c>
      <c r="F2027" s="2">
        <f t="shared" ca="1" si="224"/>
        <v>9082</v>
      </c>
      <c r="G2027" s="2">
        <f t="shared" ca="1" si="225"/>
        <v>566</v>
      </c>
    </row>
    <row r="2028" spans="1:7" x14ac:dyDescent="0.3">
      <c r="A2028" s="5" t="str">
        <f t="shared" si="226"/>
        <v>Puma</v>
      </c>
      <c r="B2028" s="5" t="str">
        <f t="shared" si="221"/>
        <v>Mayze</v>
      </c>
      <c r="C2028" s="3">
        <f t="shared" si="227"/>
        <v>45793</v>
      </c>
      <c r="D2028" s="4">
        <f t="shared" ca="1" si="222"/>
        <v>137</v>
      </c>
      <c r="E2028" s="2">
        <f t="shared" ca="1" si="223"/>
        <v>11763</v>
      </c>
      <c r="F2028" s="2">
        <f t="shared" ca="1" si="224"/>
        <v>10102</v>
      </c>
      <c r="G2028" s="2">
        <f t="shared" ca="1" si="225"/>
        <v>209</v>
      </c>
    </row>
    <row r="2029" spans="1:7" x14ac:dyDescent="0.3">
      <c r="A2029" s="5" t="str">
        <f t="shared" si="226"/>
        <v>New Balance</v>
      </c>
      <c r="B2029" s="5" t="str">
        <f t="shared" si="221"/>
        <v>574 Core</v>
      </c>
      <c r="C2029" s="3">
        <f t="shared" si="227"/>
        <v>45793</v>
      </c>
      <c r="D2029" s="4">
        <f t="shared" ca="1" si="222"/>
        <v>79</v>
      </c>
      <c r="E2029" s="2">
        <f t="shared" ca="1" si="223"/>
        <v>9140</v>
      </c>
      <c r="F2029" s="2">
        <f t="shared" ca="1" si="224"/>
        <v>20962</v>
      </c>
      <c r="G2029" s="2">
        <f t="shared" ca="1" si="225"/>
        <v>1121</v>
      </c>
    </row>
    <row r="2030" spans="1:7" x14ac:dyDescent="0.3">
      <c r="A2030" s="5" t="str">
        <f t="shared" si="226"/>
        <v>Reebok</v>
      </c>
      <c r="B2030" s="5" t="str">
        <f t="shared" si="221"/>
        <v>Club C 85</v>
      </c>
      <c r="C2030" s="3">
        <f t="shared" si="227"/>
        <v>45793</v>
      </c>
      <c r="D2030" s="4">
        <f t="shared" ca="1" si="222"/>
        <v>156</v>
      </c>
      <c r="E2030" s="2">
        <f t="shared" ca="1" si="223"/>
        <v>2608</v>
      </c>
      <c r="F2030" s="2">
        <f t="shared" ca="1" si="224"/>
        <v>8465</v>
      </c>
      <c r="G2030" s="2">
        <f t="shared" ca="1" si="225"/>
        <v>456</v>
      </c>
    </row>
    <row r="2031" spans="1:7" x14ac:dyDescent="0.3">
      <c r="A2031" s="5" t="str">
        <f t="shared" si="226"/>
        <v>Nike</v>
      </c>
      <c r="B2031" s="5" t="str">
        <f t="shared" si="221"/>
        <v>Pegasus 40</v>
      </c>
      <c r="C2031" s="3">
        <f t="shared" si="227"/>
        <v>45793</v>
      </c>
      <c r="D2031" s="4">
        <f t="shared" ca="1" si="222"/>
        <v>24</v>
      </c>
      <c r="E2031" s="2">
        <f t="shared" ca="1" si="223"/>
        <v>8433</v>
      </c>
      <c r="F2031" s="2">
        <f t="shared" ca="1" si="224"/>
        <v>19856</v>
      </c>
      <c r="G2031" s="2">
        <f t="shared" ca="1" si="225"/>
        <v>570</v>
      </c>
    </row>
    <row r="2032" spans="1:7" x14ac:dyDescent="0.3">
      <c r="A2032" s="5" t="str">
        <f t="shared" si="226"/>
        <v>Adidas</v>
      </c>
      <c r="B2032" s="5" t="str">
        <f t="shared" si="221"/>
        <v>Gazelle</v>
      </c>
      <c r="C2032" s="3">
        <f t="shared" si="227"/>
        <v>45793</v>
      </c>
      <c r="D2032" s="4">
        <f t="shared" ca="1" si="222"/>
        <v>236</v>
      </c>
      <c r="E2032" s="2">
        <f t="shared" ca="1" si="223"/>
        <v>5575</v>
      </c>
      <c r="F2032" s="2">
        <f t="shared" ca="1" si="224"/>
        <v>9765</v>
      </c>
      <c r="G2032" s="2">
        <f t="shared" ca="1" si="225"/>
        <v>343</v>
      </c>
    </row>
    <row r="2033" spans="1:7" x14ac:dyDescent="0.3">
      <c r="A2033" s="5" t="str">
        <f t="shared" si="226"/>
        <v>Puma</v>
      </c>
      <c r="B2033" s="5" t="str">
        <f t="shared" si="221"/>
        <v>Slipstream</v>
      </c>
      <c r="C2033" s="3">
        <f t="shared" si="227"/>
        <v>45793</v>
      </c>
      <c r="D2033" s="4">
        <f t="shared" ca="1" si="222"/>
        <v>197</v>
      </c>
      <c r="E2033" s="2">
        <f t="shared" ca="1" si="223"/>
        <v>2757</v>
      </c>
      <c r="F2033" s="2">
        <f t="shared" ca="1" si="224"/>
        <v>9018</v>
      </c>
      <c r="G2033" s="2">
        <f t="shared" ca="1" si="225"/>
        <v>240</v>
      </c>
    </row>
    <row r="2034" spans="1:7" x14ac:dyDescent="0.3">
      <c r="A2034" s="5" t="str">
        <f t="shared" si="226"/>
        <v>New Balance</v>
      </c>
      <c r="B2034" s="5" t="str">
        <f t="shared" si="221"/>
        <v>550</v>
      </c>
      <c r="C2034" s="3">
        <f t="shared" si="227"/>
        <v>45793</v>
      </c>
      <c r="D2034" s="4">
        <f t="shared" ca="1" si="222"/>
        <v>141</v>
      </c>
      <c r="E2034" s="2">
        <f t="shared" ca="1" si="223"/>
        <v>2655</v>
      </c>
      <c r="F2034" s="2">
        <f t="shared" ca="1" si="224"/>
        <v>6127</v>
      </c>
      <c r="G2034" s="2">
        <f t="shared" ca="1" si="225"/>
        <v>233</v>
      </c>
    </row>
    <row r="2035" spans="1:7" x14ac:dyDescent="0.3">
      <c r="A2035" s="5" t="str">
        <f t="shared" si="226"/>
        <v>Reebok</v>
      </c>
      <c r="B2035" s="5" t="str">
        <f t="shared" si="221"/>
        <v>Classic Leather</v>
      </c>
      <c r="C2035" s="3">
        <f t="shared" si="227"/>
        <v>45793</v>
      </c>
      <c r="D2035" s="4">
        <f t="shared" ca="1" si="222"/>
        <v>220</v>
      </c>
      <c r="E2035" s="2">
        <f t="shared" ca="1" si="223"/>
        <v>8179</v>
      </c>
      <c r="F2035" s="2">
        <f t="shared" ca="1" si="224"/>
        <v>29045</v>
      </c>
      <c r="G2035" s="2">
        <f t="shared" ca="1" si="225"/>
        <v>1970</v>
      </c>
    </row>
    <row r="2036" spans="1:7" x14ac:dyDescent="0.3">
      <c r="A2036" s="5" t="str">
        <f t="shared" si="226"/>
        <v>Nike</v>
      </c>
      <c r="B2036" s="5" t="str">
        <f t="shared" si="221"/>
        <v>Air Force 1</v>
      </c>
      <c r="C2036" s="3">
        <f t="shared" si="227"/>
        <v>45793</v>
      </c>
      <c r="D2036" s="4">
        <f t="shared" ca="1" si="222"/>
        <v>140</v>
      </c>
      <c r="E2036" s="2">
        <f t="shared" ca="1" si="223"/>
        <v>3607</v>
      </c>
      <c r="F2036" s="2">
        <f t="shared" ca="1" si="224"/>
        <v>15280</v>
      </c>
      <c r="G2036" s="2">
        <f t="shared" ca="1" si="225"/>
        <v>382</v>
      </c>
    </row>
    <row r="2037" spans="1:7" x14ac:dyDescent="0.3">
      <c r="A2037" s="5" t="str">
        <f t="shared" si="226"/>
        <v>Adidas</v>
      </c>
      <c r="B2037" s="5" t="str">
        <f t="shared" si="221"/>
        <v>Superstar</v>
      </c>
      <c r="C2037" s="3">
        <f t="shared" si="227"/>
        <v>45793</v>
      </c>
      <c r="D2037" s="4">
        <f t="shared" ca="1" si="222"/>
        <v>84</v>
      </c>
      <c r="E2037" s="2">
        <f t="shared" ca="1" si="223"/>
        <v>3427</v>
      </c>
      <c r="F2037" s="2">
        <f t="shared" ca="1" si="224"/>
        <v>22301</v>
      </c>
      <c r="G2037" s="2">
        <f t="shared" ca="1" si="225"/>
        <v>685</v>
      </c>
    </row>
    <row r="2038" spans="1:7" x14ac:dyDescent="0.3">
      <c r="A2038" s="5" t="str">
        <f t="shared" si="226"/>
        <v>Puma</v>
      </c>
      <c r="B2038" s="5" t="str">
        <f t="shared" si="221"/>
        <v>Rider Vintage</v>
      </c>
      <c r="C2038" s="3">
        <f t="shared" si="227"/>
        <v>45793</v>
      </c>
      <c r="D2038" s="4">
        <f t="shared" ca="1" si="222"/>
        <v>174</v>
      </c>
      <c r="E2038" s="2">
        <f t="shared" ca="1" si="223"/>
        <v>9087</v>
      </c>
      <c r="F2038" s="2">
        <f t="shared" ca="1" si="224"/>
        <v>9897</v>
      </c>
      <c r="G2038" s="2">
        <f t="shared" ca="1" si="225"/>
        <v>502</v>
      </c>
    </row>
    <row r="2039" spans="1:7" x14ac:dyDescent="0.3">
      <c r="A2039" s="5" t="str">
        <f t="shared" si="226"/>
        <v>New Balance</v>
      </c>
      <c r="B2039" s="5" t="str">
        <f t="shared" si="221"/>
        <v>327</v>
      </c>
      <c r="C2039" s="3">
        <f t="shared" si="227"/>
        <v>45793</v>
      </c>
      <c r="D2039" s="4">
        <f t="shared" ca="1" si="222"/>
        <v>167</v>
      </c>
      <c r="E2039" s="2">
        <f t="shared" ca="1" si="223"/>
        <v>9117</v>
      </c>
      <c r="F2039" s="2">
        <f t="shared" ca="1" si="224"/>
        <v>15471</v>
      </c>
      <c r="G2039" s="2">
        <f t="shared" ca="1" si="225"/>
        <v>761</v>
      </c>
    </row>
    <row r="2040" spans="1:7" x14ac:dyDescent="0.3">
      <c r="A2040" s="5" t="str">
        <f t="shared" si="226"/>
        <v>Reebok</v>
      </c>
      <c r="B2040" s="5" t="str">
        <f t="shared" si="221"/>
        <v>Question Mid</v>
      </c>
      <c r="C2040" s="3">
        <f t="shared" si="227"/>
        <v>45793</v>
      </c>
      <c r="D2040" s="4">
        <f t="shared" ca="1" si="222"/>
        <v>139</v>
      </c>
      <c r="E2040" s="2">
        <f t="shared" ca="1" si="223"/>
        <v>7692</v>
      </c>
      <c r="F2040" s="2">
        <f t="shared" ca="1" si="224"/>
        <v>33539</v>
      </c>
      <c r="G2040" s="2">
        <f t="shared" ca="1" si="225"/>
        <v>934</v>
      </c>
    </row>
    <row r="2041" spans="1:7" x14ac:dyDescent="0.3">
      <c r="A2041" s="5" t="str">
        <f t="shared" si="226"/>
        <v>Nike</v>
      </c>
      <c r="B2041" s="5" t="str">
        <f t="shared" si="221"/>
        <v>Air Max 270</v>
      </c>
      <c r="C2041" s="3">
        <f t="shared" si="227"/>
        <v>45793</v>
      </c>
      <c r="D2041" s="4">
        <f t="shared" ca="1" si="222"/>
        <v>97</v>
      </c>
      <c r="E2041" s="2">
        <f t="shared" ca="1" si="223"/>
        <v>9697</v>
      </c>
      <c r="F2041" s="2">
        <f t="shared" ca="1" si="224"/>
        <v>20791</v>
      </c>
      <c r="G2041" s="2">
        <f t="shared" ca="1" si="225"/>
        <v>558</v>
      </c>
    </row>
    <row r="2042" spans="1:7" x14ac:dyDescent="0.3">
      <c r="A2042" s="5" t="str">
        <f t="shared" si="226"/>
        <v>Adidas</v>
      </c>
      <c r="B2042" s="5" t="str">
        <f t="shared" si="221"/>
        <v>Stan Smith</v>
      </c>
      <c r="C2042" s="3">
        <f t="shared" si="227"/>
        <v>45794</v>
      </c>
      <c r="D2042" s="4">
        <f t="shared" ca="1" si="222"/>
        <v>115</v>
      </c>
      <c r="E2042" s="2">
        <f t="shared" ca="1" si="223"/>
        <v>3545</v>
      </c>
      <c r="F2042" s="2">
        <f t="shared" ca="1" si="224"/>
        <v>13677</v>
      </c>
      <c r="G2042" s="2">
        <f t="shared" ca="1" si="225"/>
        <v>482</v>
      </c>
    </row>
    <row r="2043" spans="1:7" x14ac:dyDescent="0.3">
      <c r="A2043" s="5" t="str">
        <f t="shared" si="226"/>
        <v>Puma</v>
      </c>
      <c r="B2043" s="5" t="str">
        <f t="shared" si="221"/>
        <v>Cali Dream</v>
      </c>
      <c r="C2043" s="3">
        <f t="shared" si="227"/>
        <v>45794</v>
      </c>
      <c r="D2043" s="4">
        <f t="shared" ca="1" si="222"/>
        <v>133</v>
      </c>
      <c r="E2043" s="2">
        <f t="shared" ca="1" si="223"/>
        <v>3386</v>
      </c>
      <c r="F2043" s="2">
        <f t="shared" ca="1" si="224"/>
        <v>19052</v>
      </c>
      <c r="G2043" s="2">
        <f t="shared" ca="1" si="225"/>
        <v>1370</v>
      </c>
    </row>
    <row r="2044" spans="1:7" x14ac:dyDescent="0.3">
      <c r="A2044" s="5" t="str">
        <f t="shared" si="226"/>
        <v>New Balance</v>
      </c>
      <c r="B2044" s="5" t="str">
        <f t="shared" si="221"/>
        <v>9060</v>
      </c>
      <c r="C2044" s="3">
        <f t="shared" si="227"/>
        <v>45794</v>
      </c>
      <c r="D2044" s="4">
        <f t="shared" ca="1" si="222"/>
        <v>85</v>
      </c>
      <c r="E2044" s="2">
        <f t="shared" ca="1" si="223"/>
        <v>5716</v>
      </c>
      <c r="F2044" s="2">
        <f t="shared" ca="1" si="224"/>
        <v>32210</v>
      </c>
      <c r="G2044" s="2">
        <f t="shared" ca="1" si="225"/>
        <v>1178</v>
      </c>
    </row>
    <row r="2045" spans="1:7" x14ac:dyDescent="0.3">
      <c r="A2045" s="5" t="str">
        <f t="shared" si="226"/>
        <v>Reebok</v>
      </c>
      <c r="B2045" s="5" t="str">
        <f t="shared" si="221"/>
        <v>Zig Kinetica</v>
      </c>
      <c r="C2045" s="3">
        <f t="shared" si="227"/>
        <v>45794</v>
      </c>
      <c r="D2045" s="4">
        <f t="shared" ca="1" si="222"/>
        <v>232</v>
      </c>
      <c r="E2045" s="2">
        <f t="shared" ca="1" si="223"/>
        <v>9942</v>
      </c>
      <c r="F2045" s="2">
        <f t="shared" ca="1" si="224"/>
        <v>30705</v>
      </c>
      <c r="G2045" s="2">
        <f t="shared" ca="1" si="225"/>
        <v>815</v>
      </c>
    </row>
    <row r="2046" spans="1:7" x14ac:dyDescent="0.3">
      <c r="A2046" s="5" t="str">
        <f t="shared" si="226"/>
        <v>Nike</v>
      </c>
      <c r="B2046" s="5" t="str">
        <f t="shared" si="221"/>
        <v>Jordan 1</v>
      </c>
      <c r="C2046" s="3">
        <f t="shared" si="227"/>
        <v>45794</v>
      </c>
      <c r="D2046" s="4">
        <f t="shared" ca="1" si="222"/>
        <v>58</v>
      </c>
      <c r="E2046" s="2">
        <f t="shared" ca="1" si="223"/>
        <v>9781</v>
      </c>
      <c r="F2046" s="2">
        <f t="shared" ca="1" si="224"/>
        <v>23699</v>
      </c>
      <c r="G2046" s="2">
        <f t="shared" ca="1" si="225"/>
        <v>782</v>
      </c>
    </row>
    <row r="2047" spans="1:7" x14ac:dyDescent="0.3">
      <c r="A2047" s="5" t="str">
        <f t="shared" si="226"/>
        <v>Adidas</v>
      </c>
      <c r="B2047" s="5" t="str">
        <f t="shared" si="221"/>
        <v>Ultraboost 23</v>
      </c>
      <c r="C2047" s="3">
        <f t="shared" si="227"/>
        <v>45794</v>
      </c>
      <c r="D2047" s="4">
        <f t="shared" ca="1" si="222"/>
        <v>246</v>
      </c>
      <c r="E2047" s="2">
        <f t="shared" ca="1" si="223"/>
        <v>3041</v>
      </c>
      <c r="F2047" s="2">
        <f t="shared" ca="1" si="224"/>
        <v>24903</v>
      </c>
      <c r="G2047" s="2">
        <f t="shared" ca="1" si="225"/>
        <v>1282</v>
      </c>
    </row>
    <row r="2048" spans="1:7" x14ac:dyDescent="0.3">
      <c r="A2048" s="5" t="str">
        <f t="shared" si="226"/>
        <v>Puma</v>
      </c>
      <c r="B2048" s="5" t="str">
        <f t="shared" si="221"/>
        <v>RS-X</v>
      </c>
      <c r="C2048" s="3">
        <f t="shared" si="227"/>
        <v>45794</v>
      </c>
      <c r="D2048" s="4">
        <f t="shared" ca="1" si="222"/>
        <v>52</v>
      </c>
      <c r="E2048" s="2">
        <f t="shared" ca="1" si="223"/>
        <v>7930</v>
      </c>
      <c r="F2048" s="2">
        <f t="shared" ca="1" si="224"/>
        <v>30178</v>
      </c>
      <c r="G2048" s="2">
        <f t="shared" ca="1" si="225"/>
        <v>710</v>
      </c>
    </row>
    <row r="2049" spans="1:7" x14ac:dyDescent="0.3">
      <c r="A2049" s="5" t="str">
        <f t="shared" si="226"/>
        <v>New Balance</v>
      </c>
      <c r="B2049" s="5" t="str">
        <f t="shared" si="221"/>
        <v>2002R</v>
      </c>
      <c r="C2049" s="3">
        <f t="shared" si="227"/>
        <v>45794</v>
      </c>
      <c r="D2049" s="4">
        <f t="shared" ca="1" si="222"/>
        <v>127</v>
      </c>
      <c r="E2049" s="2">
        <f t="shared" ca="1" si="223"/>
        <v>5816</v>
      </c>
      <c r="F2049" s="2">
        <f t="shared" ca="1" si="224"/>
        <v>6977</v>
      </c>
      <c r="G2049" s="2">
        <f t="shared" ca="1" si="225"/>
        <v>182</v>
      </c>
    </row>
    <row r="2050" spans="1:7" x14ac:dyDescent="0.3">
      <c r="A2050" s="5" t="str">
        <f t="shared" si="226"/>
        <v>Reebok</v>
      </c>
      <c r="B2050" s="5" t="str">
        <f t="shared" si="221"/>
        <v>Instapump Fury</v>
      </c>
      <c r="C2050" s="3">
        <f t="shared" si="227"/>
        <v>45794</v>
      </c>
      <c r="D2050" s="4">
        <f t="shared" ca="1" si="222"/>
        <v>72</v>
      </c>
      <c r="E2050" s="2">
        <f t="shared" ca="1" si="223"/>
        <v>6815</v>
      </c>
      <c r="F2050" s="2">
        <f t="shared" ca="1" si="224"/>
        <v>27385</v>
      </c>
      <c r="G2050" s="2">
        <f t="shared" ca="1" si="225"/>
        <v>1248</v>
      </c>
    </row>
    <row r="2051" spans="1:7" x14ac:dyDescent="0.3">
      <c r="A2051" s="5" t="str">
        <f t="shared" si="226"/>
        <v>Nike</v>
      </c>
      <c r="B2051" s="5" t="str">
        <f t="shared" ref="B2051:B2114" si="228">IF(A2051="Nike",CHOOSE(MOD(ROW(A2050),6)+1,"Air Max 270","Air Force 1","Pegasus 40","Vaporfly 3","Cortez","Jordan 1"),
 IF(A2051="Adidas",CHOOSE(MOD(ROW(A2050),6)+1,"Ultraboost 23","Stan Smith","Superstar","Gazelle","Samba","NMD S1"),
 IF(A2051="Puma",CHOOSE(MOD(ROW(A2050),6)+1,"Suede Classic","RS-X","Cali Dream","Rider Vintage","Slipstream","Mayze"),
 IF(A2051="New Balance",CHOOSE(MOD(ROW(A2050),6)+1,"574 Core","990v6","2002R","9060","327","550"),
 IF(A2051="Reebok",CHOOSE(MOD(ROW(A2050),6)+1,"Classic Leather","Club C 85","Nano X3","Instapump Fury","Zig Kinetica","Question Mid"),"")))))</f>
        <v>Cortez</v>
      </c>
      <c r="C2051" s="3">
        <f t="shared" si="227"/>
        <v>45794</v>
      </c>
      <c r="D2051" s="4">
        <f t="shared" ref="D2051:D2114" ca="1" si="229">RANDBETWEEN(20,250)</f>
        <v>77</v>
      </c>
      <c r="E2051" s="2">
        <f t="shared" ref="E2051:E2114" ca="1" si="230">ROUND(RANDBETWEEN(1500,12000)+(RANDBETWEEN(-200,200)),2)</f>
        <v>9688</v>
      </c>
      <c r="F2051" s="2">
        <f t="shared" ref="F2051:F2114" ca="1" si="231">RANDBETWEEN(5000,35000)</f>
        <v>16318</v>
      </c>
      <c r="G2051" s="2">
        <f t="shared" ref="G2051:G2114" ca="1" si="232">RANDBETWEEN(ROUND(F2051*0.02,0),ROUND(F2051*0.08,0))</f>
        <v>345</v>
      </c>
    </row>
    <row r="2052" spans="1:7" x14ac:dyDescent="0.3">
      <c r="A2052" s="5" t="str">
        <f t="shared" si="226"/>
        <v>Adidas</v>
      </c>
      <c r="B2052" s="5" t="str">
        <f t="shared" si="228"/>
        <v>NMD S1</v>
      </c>
      <c r="C2052" s="3">
        <f t="shared" si="227"/>
        <v>45794</v>
      </c>
      <c r="D2052" s="4">
        <f t="shared" ca="1" si="229"/>
        <v>50</v>
      </c>
      <c r="E2052" s="2">
        <f t="shared" ca="1" si="230"/>
        <v>10695</v>
      </c>
      <c r="F2052" s="2">
        <f t="shared" ca="1" si="231"/>
        <v>21611</v>
      </c>
      <c r="G2052" s="2">
        <f t="shared" ca="1" si="232"/>
        <v>460</v>
      </c>
    </row>
    <row r="2053" spans="1:7" x14ac:dyDescent="0.3">
      <c r="A2053" s="5" t="str">
        <f t="shared" si="226"/>
        <v>Puma</v>
      </c>
      <c r="B2053" s="5" t="str">
        <f t="shared" si="228"/>
        <v>Suede Classic</v>
      </c>
      <c r="C2053" s="3">
        <f t="shared" si="227"/>
        <v>45794</v>
      </c>
      <c r="D2053" s="4">
        <f t="shared" ca="1" si="229"/>
        <v>71</v>
      </c>
      <c r="E2053" s="2">
        <f t="shared" ca="1" si="230"/>
        <v>3987</v>
      </c>
      <c r="F2053" s="2">
        <f t="shared" ca="1" si="231"/>
        <v>29730</v>
      </c>
      <c r="G2053" s="2">
        <f t="shared" ca="1" si="232"/>
        <v>2206</v>
      </c>
    </row>
    <row r="2054" spans="1:7" x14ac:dyDescent="0.3">
      <c r="A2054" s="5" t="str">
        <f t="shared" si="226"/>
        <v>New Balance</v>
      </c>
      <c r="B2054" s="5" t="str">
        <f t="shared" si="228"/>
        <v>990v6</v>
      </c>
      <c r="C2054" s="3">
        <f t="shared" si="227"/>
        <v>45794</v>
      </c>
      <c r="D2054" s="4">
        <f t="shared" ca="1" si="229"/>
        <v>223</v>
      </c>
      <c r="E2054" s="2">
        <f t="shared" ca="1" si="230"/>
        <v>1437</v>
      </c>
      <c r="F2054" s="2">
        <f t="shared" ca="1" si="231"/>
        <v>7564</v>
      </c>
      <c r="G2054" s="2">
        <f t="shared" ca="1" si="232"/>
        <v>564</v>
      </c>
    </row>
    <row r="2055" spans="1:7" x14ac:dyDescent="0.3">
      <c r="A2055" s="5" t="str">
        <f t="shared" si="226"/>
        <v>Reebok</v>
      </c>
      <c r="B2055" s="5" t="str">
        <f t="shared" si="228"/>
        <v>Nano X3</v>
      </c>
      <c r="C2055" s="3">
        <f t="shared" si="227"/>
        <v>45794</v>
      </c>
      <c r="D2055" s="4">
        <f t="shared" ca="1" si="229"/>
        <v>104</v>
      </c>
      <c r="E2055" s="2">
        <f t="shared" ca="1" si="230"/>
        <v>7849</v>
      </c>
      <c r="F2055" s="2">
        <f t="shared" ca="1" si="231"/>
        <v>25382</v>
      </c>
      <c r="G2055" s="2">
        <f t="shared" ca="1" si="232"/>
        <v>932</v>
      </c>
    </row>
    <row r="2056" spans="1:7" x14ac:dyDescent="0.3">
      <c r="A2056" s="5" t="str">
        <f t="shared" si="226"/>
        <v>Nike</v>
      </c>
      <c r="B2056" s="5" t="str">
        <f t="shared" si="228"/>
        <v>Vaporfly 3</v>
      </c>
      <c r="C2056" s="3">
        <f t="shared" si="227"/>
        <v>45794</v>
      </c>
      <c r="D2056" s="4">
        <f t="shared" ca="1" si="229"/>
        <v>147</v>
      </c>
      <c r="E2056" s="2">
        <f t="shared" ca="1" si="230"/>
        <v>4454</v>
      </c>
      <c r="F2056" s="2">
        <f t="shared" ca="1" si="231"/>
        <v>14944</v>
      </c>
      <c r="G2056" s="2">
        <f t="shared" ca="1" si="232"/>
        <v>1084</v>
      </c>
    </row>
    <row r="2057" spans="1:7" x14ac:dyDescent="0.3">
      <c r="A2057" s="5" t="str">
        <f t="shared" si="226"/>
        <v>Adidas</v>
      </c>
      <c r="B2057" s="5" t="str">
        <f t="shared" si="228"/>
        <v>Samba</v>
      </c>
      <c r="C2057" s="3">
        <f t="shared" si="227"/>
        <v>45795</v>
      </c>
      <c r="D2057" s="4">
        <f t="shared" ca="1" si="229"/>
        <v>124</v>
      </c>
      <c r="E2057" s="2">
        <f t="shared" ca="1" si="230"/>
        <v>4545</v>
      </c>
      <c r="F2057" s="2">
        <f t="shared" ca="1" si="231"/>
        <v>14869</v>
      </c>
      <c r="G2057" s="2">
        <f t="shared" ca="1" si="232"/>
        <v>550</v>
      </c>
    </row>
    <row r="2058" spans="1:7" x14ac:dyDescent="0.3">
      <c r="A2058" s="5" t="str">
        <f t="shared" si="226"/>
        <v>Puma</v>
      </c>
      <c r="B2058" s="5" t="str">
        <f t="shared" si="228"/>
        <v>Mayze</v>
      </c>
      <c r="C2058" s="3">
        <f t="shared" si="227"/>
        <v>45795</v>
      </c>
      <c r="D2058" s="4">
        <f t="shared" ca="1" si="229"/>
        <v>51</v>
      </c>
      <c r="E2058" s="2">
        <f t="shared" ca="1" si="230"/>
        <v>4178</v>
      </c>
      <c r="F2058" s="2">
        <f t="shared" ca="1" si="231"/>
        <v>27029</v>
      </c>
      <c r="G2058" s="2">
        <f t="shared" ca="1" si="232"/>
        <v>771</v>
      </c>
    </row>
    <row r="2059" spans="1:7" x14ac:dyDescent="0.3">
      <c r="A2059" s="5" t="str">
        <f t="shared" si="226"/>
        <v>New Balance</v>
      </c>
      <c r="B2059" s="5" t="str">
        <f t="shared" si="228"/>
        <v>574 Core</v>
      </c>
      <c r="C2059" s="3">
        <f t="shared" si="227"/>
        <v>45795</v>
      </c>
      <c r="D2059" s="4">
        <f t="shared" ca="1" si="229"/>
        <v>115</v>
      </c>
      <c r="E2059" s="2">
        <f t="shared" ca="1" si="230"/>
        <v>9855</v>
      </c>
      <c r="F2059" s="2">
        <f t="shared" ca="1" si="231"/>
        <v>33017</v>
      </c>
      <c r="G2059" s="2">
        <f t="shared" ca="1" si="232"/>
        <v>832</v>
      </c>
    </row>
    <row r="2060" spans="1:7" x14ac:dyDescent="0.3">
      <c r="A2060" s="5" t="str">
        <f t="shared" si="226"/>
        <v>Reebok</v>
      </c>
      <c r="B2060" s="5" t="str">
        <f t="shared" si="228"/>
        <v>Club C 85</v>
      </c>
      <c r="C2060" s="3">
        <f t="shared" si="227"/>
        <v>45795</v>
      </c>
      <c r="D2060" s="4">
        <f t="shared" ca="1" si="229"/>
        <v>47</v>
      </c>
      <c r="E2060" s="2">
        <f t="shared" ca="1" si="230"/>
        <v>3178</v>
      </c>
      <c r="F2060" s="2">
        <f t="shared" ca="1" si="231"/>
        <v>20764</v>
      </c>
      <c r="G2060" s="2">
        <f t="shared" ca="1" si="232"/>
        <v>1151</v>
      </c>
    </row>
    <row r="2061" spans="1:7" x14ac:dyDescent="0.3">
      <c r="A2061" s="5" t="str">
        <f t="shared" si="226"/>
        <v>Nike</v>
      </c>
      <c r="B2061" s="5" t="str">
        <f t="shared" si="228"/>
        <v>Pegasus 40</v>
      </c>
      <c r="C2061" s="3">
        <f t="shared" si="227"/>
        <v>45795</v>
      </c>
      <c r="D2061" s="4">
        <f t="shared" ca="1" si="229"/>
        <v>224</v>
      </c>
      <c r="E2061" s="2">
        <f t="shared" ca="1" si="230"/>
        <v>7166</v>
      </c>
      <c r="F2061" s="2">
        <f t="shared" ca="1" si="231"/>
        <v>32552</v>
      </c>
      <c r="G2061" s="2">
        <f t="shared" ca="1" si="232"/>
        <v>731</v>
      </c>
    </row>
    <row r="2062" spans="1:7" x14ac:dyDescent="0.3">
      <c r="A2062" s="5" t="str">
        <f t="shared" si="226"/>
        <v>Adidas</v>
      </c>
      <c r="B2062" s="5" t="str">
        <f t="shared" si="228"/>
        <v>Gazelle</v>
      </c>
      <c r="C2062" s="3">
        <f t="shared" si="227"/>
        <v>45795</v>
      </c>
      <c r="D2062" s="4">
        <f t="shared" ca="1" si="229"/>
        <v>101</v>
      </c>
      <c r="E2062" s="2">
        <f t="shared" ca="1" si="230"/>
        <v>5461</v>
      </c>
      <c r="F2062" s="2">
        <f t="shared" ca="1" si="231"/>
        <v>32181</v>
      </c>
      <c r="G2062" s="2">
        <f t="shared" ca="1" si="232"/>
        <v>876</v>
      </c>
    </row>
    <row r="2063" spans="1:7" x14ac:dyDescent="0.3">
      <c r="A2063" s="5" t="str">
        <f t="shared" si="226"/>
        <v>Puma</v>
      </c>
      <c r="B2063" s="5" t="str">
        <f t="shared" si="228"/>
        <v>Slipstream</v>
      </c>
      <c r="C2063" s="3">
        <f t="shared" si="227"/>
        <v>45795</v>
      </c>
      <c r="D2063" s="4">
        <f t="shared" ca="1" si="229"/>
        <v>203</v>
      </c>
      <c r="E2063" s="2">
        <f t="shared" ca="1" si="230"/>
        <v>6219</v>
      </c>
      <c r="F2063" s="2">
        <f t="shared" ca="1" si="231"/>
        <v>18527</v>
      </c>
      <c r="G2063" s="2">
        <f t="shared" ca="1" si="232"/>
        <v>461</v>
      </c>
    </row>
    <row r="2064" spans="1:7" x14ac:dyDescent="0.3">
      <c r="A2064" s="5" t="str">
        <f t="shared" si="226"/>
        <v>New Balance</v>
      </c>
      <c r="B2064" s="5" t="str">
        <f t="shared" si="228"/>
        <v>550</v>
      </c>
      <c r="C2064" s="3">
        <f t="shared" si="227"/>
        <v>45795</v>
      </c>
      <c r="D2064" s="4">
        <f t="shared" ca="1" si="229"/>
        <v>179</v>
      </c>
      <c r="E2064" s="2">
        <f t="shared" ca="1" si="230"/>
        <v>7461</v>
      </c>
      <c r="F2064" s="2">
        <f t="shared" ca="1" si="231"/>
        <v>34689</v>
      </c>
      <c r="G2064" s="2">
        <f t="shared" ca="1" si="232"/>
        <v>1288</v>
      </c>
    </row>
    <row r="2065" spans="1:7" x14ac:dyDescent="0.3">
      <c r="A2065" s="5" t="str">
        <f t="shared" si="226"/>
        <v>Reebok</v>
      </c>
      <c r="B2065" s="5" t="str">
        <f t="shared" si="228"/>
        <v>Classic Leather</v>
      </c>
      <c r="C2065" s="3">
        <f t="shared" si="227"/>
        <v>45795</v>
      </c>
      <c r="D2065" s="4">
        <f t="shared" ca="1" si="229"/>
        <v>71</v>
      </c>
      <c r="E2065" s="2">
        <f t="shared" ca="1" si="230"/>
        <v>3003</v>
      </c>
      <c r="F2065" s="2">
        <f t="shared" ca="1" si="231"/>
        <v>16747</v>
      </c>
      <c r="G2065" s="2">
        <f t="shared" ca="1" si="232"/>
        <v>1068</v>
      </c>
    </row>
    <row r="2066" spans="1:7" x14ac:dyDescent="0.3">
      <c r="A2066" s="5" t="str">
        <f t="shared" si="226"/>
        <v>Nike</v>
      </c>
      <c r="B2066" s="5" t="str">
        <f t="shared" si="228"/>
        <v>Air Force 1</v>
      </c>
      <c r="C2066" s="3">
        <f t="shared" si="227"/>
        <v>45795</v>
      </c>
      <c r="D2066" s="4">
        <f t="shared" ca="1" si="229"/>
        <v>201</v>
      </c>
      <c r="E2066" s="2">
        <f t="shared" ca="1" si="230"/>
        <v>1612</v>
      </c>
      <c r="F2066" s="2">
        <f t="shared" ca="1" si="231"/>
        <v>18940</v>
      </c>
      <c r="G2066" s="2">
        <f t="shared" ca="1" si="232"/>
        <v>468</v>
      </c>
    </row>
    <row r="2067" spans="1:7" x14ac:dyDescent="0.3">
      <c r="A2067" s="5" t="str">
        <f t="shared" si="226"/>
        <v>Adidas</v>
      </c>
      <c r="B2067" s="5" t="str">
        <f t="shared" si="228"/>
        <v>Superstar</v>
      </c>
      <c r="C2067" s="3">
        <f t="shared" si="227"/>
        <v>45795</v>
      </c>
      <c r="D2067" s="4">
        <f t="shared" ca="1" si="229"/>
        <v>22</v>
      </c>
      <c r="E2067" s="2">
        <f t="shared" ca="1" si="230"/>
        <v>3872</v>
      </c>
      <c r="F2067" s="2">
        <f t="shared" ca="1" si="231"/>
        <v>19340</v>
      </c>
      <c r="G2067" s="2">
        <f t="shared" ca="1" si="232"/>
        <v>1258</v>
      </c>
    </row>
    <row r="2068" spans="1:7" x14ac:dyDescent="0.3">
      <c r="A2068" s="5" t="str">
        <f t="shared" si="226"/>
        <v>Puma</v>
      </c>
      <c r="B2068" s="5" t="str">
        <f t="shared" si="228"/>
        <v>Rider Vintage</v>
      </c>
      <c r="C2068" s="3">
        <f t="shared" si="227"/>
        <v>45795</v>
      </c>
      <c r="D2068" s="4">
        <f t="shared" ca="1" si="229"/>
        <v>246</v>
      </c>
      <c r="E2068" s="2">
        <f t="shared" ca="1" si="230"/>
        <v>9652</v>
      </c>
      <c r="F2068" s="2">
        <f t="shared" ca="1" si="231"/>
        <v>8599</v>
      </c>
      <c r="G2068" s="2">
        <f t="shared" ca="1" si="232"/>
        <v>212</v>
      </c>
    </row>
    <row r="2069" spans="1:7" x14ac:dyDescent="0.3">
      <c r="A2069" s="5" t="str">
        <f t="shared" si="226"/>
        <v>New Balance</v>
      </c>
      <c r="B2069" s="5" t="str">
        <f t="shared" si="228"/>
        <v>327</v>
      </c>
      <c r="C2069" s="3">
        <f t="shared" si="227"/>
        <v>45795</v>
      </c>
      <c r="D2069" s="4">
        <f t="shared" ca="1" si="229"/>
        <v>31</v>
      </c>
      <c r="E2069" s="2">
        <f t="shared" ca="1" si="230"/>
        <v>6980</v>
      </c>
      <c r="F2069" s="2">
        <f t="shared" ca="1" si="231"/>
        <v>33667</v>
      </c>
      <c r="G2069" s="2">
        <f t="shared" ca="1" si="232"/>
        <v>1022</v>
      </c>
    </row>
    <row r="2070" spans="1:7" x14ac:dyDescent="0.3">
      <c r="A2070" s="5" t="str">
        <f t="shared" si="226"/>
        <v>Reebok</v>
      </c>
      <c r="B2070" s="5" t="str">
        <f t="shared" si="228"/>
        <v>Question Mid</v>
      </c>
      <c r="C2070" s="3">
        <f t="shared" si="227"/>
        <v>45795</v>
      </c>
      <c r="D2070" s="4">
        <f t="shared" ca="1" si="229"/>
        <v>180</v>
      </c>
      <c r="E2070" s="2">
        <f t="shared" ca="1" si="230"/>
        <v>1896</v>
      </c>
      <c r="F2070" s="2">
        <f t="shared" ca="1" si="231"/>
        <v>18626</v>
      </c>
      <c r="G2070" s="2">
        <f t="shared" ca="1" si="232"/>
        <v>1386</v>
      </c>
    </row>
    <row r="2071" spans="1:7" x14ac:dyDescent="0.3">
      <c r="A2071" s="5" t="str">
        <f t="shared" si="226"/>
        <v>Nike</v>
      </c>
      <c r="B2071" s="5" t="str">
        <f t="shared" si="228"/>
        <v>Air Max 270</v>
      </c>
      <c r="C2071" s="3">
        <f t="shared" si="227"/>
        <v>45795</v>
      </c>
      <c r="D2071" s="4">
        <f t="shared" ca="1" si="229"/>
        <v>38</v>
      </c>
      <c r="E2071" s="2">
        <f t="shared" ca="1" si="230"/>
        <v>8517</v>
      </c>
      <c r="F2071" s="2">
        <f t="shared" ca="1" si="231"/>
        <v>24642</v>
      </c>
      <c r="G2071" s="2">
        <f t="shared" ca="1" si="232"/>
        <v>1135</v>
      </c>
    </row>
    <row r="2072" spans="1:7" x14ac:dyDescent="0.3">
      <c r="A2072" s="5" t="str">
        <f t="shared" si="226"/>
        <v>Adidas</v>
      </c>
      <c r="B2072" s="5" t="str">
        <f t="shared" si="228"/>
        <v>Stan Smith</v>
      </c>
      <c r="C2072" s="3">
        <f t="shared" si="227"/>
        <v>45796</v>
      </c>
      <c r="D2072" s="4">
        <f t="shared" ca="1" si="229"/>
        <v>242</v>
      </c>
      <c r="E2072" s="2">
        <f t="shared" ca="1" si="230"/>
        <v>9281</v>
      </c>
      <c r="F2072" s="2">
        <f t="shared" ca="1" si="231"/>
        <v>21052</v>
      </c>
      <c r="G2072" s="2">
        <f t="shared" ca="1" si="232"/>
        <v>505</v>
      </c>
    </row>
    <row r="2073" spans="1:7" x14ac:dyDescent="0.3">
      <c r="A2073" s="5" t="str">
        <f t="shared" si="226"/>
        <v>Puma</v>
      </c>
      <c r="B2073" s="5" t="str">
        <f t="shared" si="228"/>
        <v>Cali Dream</v>
      </c>
      <c r="C2073" s="3">
        <f t="shared" si="227"/>
        <v>45796</v>
      </c>
      <c r="D2073" s="4">
        <f t="shared" ca="1" si="229"/>
        <v>120</v>
      </c>
      <c r="E2073" s="2">
        <f t="shared" ca="1" si="230"/>
        <v>11856</v>
      </c>
      <c r="F2073" s="2">
        <f t="shared" ca="1" si="231"/>
        <v>25960</v>
      </c>
      <c r="G2073" s="2">
        <f t="shared" ca="1" si="232"/>
        <v>1077</v>
      </c>
    </row>
    <row r="2074" spans="1:7" x14ac:dyDescent="0.3">
      <c r="A2074" s="5" t="str">
        <f t="shared" si="226"/>
        <v>New Balance</v>
      </c>
      <c r="B2074" s="5" t="str">
        <f t="shared" si="228"/>
        <v>9060</v>
      </c>
      <c r="C2074" s="3">
        <f t="shared" si="227"/>
        <v>45796</v>
      </c>
      <c r="D2074" s="4">
        <f t="shared" ca="1" si="229"/>
        <v>39</v>
      </c>
      <c r="E2074" s="2">
        <f t="shared" ca="1" si="230"/>
        <v>11615</v>
      </c>
      <c r="F2074" s="2">
        <f t="shared" ca="1" si="231"/>
        <v>20585</v>
      </c>
      <c r="G2074" s="2">
        <f t="shared" ca="1" si="232"/>
        <v>751</v>
      </c>
    </row>
    <row r="2075" spans="1:7" x14ac:dyDescent="0.3">
      <c r="A2075" s="5" t="str">
        <f t="shared" si="226"/>
        <v>Reebok</v>
      </c>
      <c r="B2075" s="5" t="str">
        <f t="shared" si="228"/>
        <v>Zig Kinetica</v>
      </c>
      <c r="C2075" s="3">
        <f t="shared" si="227"/>
        <v>45796</v>
      </c>
      <c r="D2075" s="4">
        <f t="shared" ca="1" si="229"/>
        <v>94</v>
      </c>
      <c r="E2075" s="2">
        <f t="shared" ca="1" si="230"/>
        <v>9570</v>
      </c>
      <c r="F2075" s="2">
        <f t="shared" ca="1" si="231"/>
        <v>27431</v>
      </c>
      <c r="G2075" s="2">
        <f t="shared" ca="1" si="232"/>
        <v>712</v>
      </c>
    </row>
    <row r="2076" spans="1:7" x14ac:dyDescent="0.3">
      <c r="A2076" s="5" t="str">
        <f t="shared" si="226"/>
        <v>Nike</v>
      </c>
      <c r="B2076" s="5" t="str">
        <f t="shared" si="228"/>
        <v>Jordan 1</v>
      </c>
      <c r="C2076" s="3">
        <f t="shared" si="227"/>
        <v>45796</v>
      </c>
      <c r="D2076" s="4">
        <f t="shared" ca="1" si="229"/>
        <v>111</v>
      </c>
      <c r="E2076" s="2">
        <f t="shared" ca="1" si="230"/>
        <v>5035</v>
      </c>
      <c r="F2076" s="2">
        <f t="shared" ca="1" si="231"/>
        <v>10323</v>
      </c>
      <c r="G2076" s="2">
        <f t="shared" ca="1" si="232"/>
        <v>342</v>
      </c>
    </row>
    <row r="2077" spans="1:7" x14ac:dyDescent="0.3">
      <c r="A2077" s="5" t="str">
        <f t="shared" si="226"/>
        <v>Adidas</v>
      </c>
      <c r="B2077" s="5" t="str">
        <f t="shared" si="228"/>
        <v>Ultraboost 23</v>
      </c>
      <c r="C2077" s="3">
        <f t="shared" si="227"/>
        <v>45796</v>
      </c>
      <c r="D2077" s="4">
        <f t="shared" ca="1" si="229"/>
        <v>220</v>
      </c>
      <c r="E2077" s="2">
        <f t="shared" ca="1" si="230"/>
        <v>1890</v>
      </c>
      <c r="F2077" s="2">
        <f t="shared" ca="1" si="231"/>
        <v>33423</v>
      </c>
      <c r="G2077" s="2">
        <f t="shared" ca="1" si="232"/>
        <v>1016</v>
      </c>
    </row>
    <row r="2078" spans="1:7" x14ac:dyDescent="0.3">
      <c r="A2078" s="5" t="str">
        <f t="shared" si="226"/>
        <v>Puma</v>
      </c>
      <c r="B2078" s="5" t="str">
        <f t="shared" si="228"/>
        <v>RS-X</v>
      </c>
      <c r="C2078" s="3">
        <f t="shared" si="227"/>
        <v>45796</v>
      </c>
      <c r="D2078" s="4">
        <f t="shared" ca="1" si="229"/>
        <v>149</v>
      </c>
      <c r="E2078" s="2">
        <f t="shared" ca="1" si="230"/>
        <v>6942</v>
      </c>
      <c r="F2078" s="2">
        <f t="shared" ca="1" si="231"/>
        <v>25270</v>
      </c>
      <c r="G2078" s="2">
        <f t="shared" ca="1" si="232"/>
        <v>1532</v>
      </c>
    </row>
    <row r="2079" spans="1:7" x14ac:dyDescent="0.3">
      <c r="A2079" s="5" t="str">
        <f t="shared" si="226"/>
        <v>New Balance</v>
      </c>
      <c r="B2079" s="5" t="str">
        <f t="shared" si="228"/>
        <v>2002R</v>
      </c>
      <c r="C2079" s="3">
        <f t="shared" si="227"/>
        <v>45796</v>
      </c>
      <c r="D2079" s="4">
        <f t="shared" ca="1" si="229"/>
        <v>73</v>
      </c>
      <c r="E2079" s="2">
        <f t="shared" ca="1" si="230"/>
        <v>8124</v>
      </c>
      <c r="F2079" s="2">
        <f t="shared" ca="1" si="231"/>
        <v>11712</v>
      </c>
      <c r="G2079" s="2">
        <f t="shared" ca="1" si="232"/>
        <v>544</v>
      </c>
    </row>
    <row r="2080" spans="1:7" x14ac:dyDescent="0.3">
      <c r="A2080" s="5" t="str">
        <f t="shared" si="226"/>
        <v>Reebok</v>
      </c>
      <c r="B2080" s="5" t="str">
        <f t="shared" si="228"/>
        <v>Instapump Fury</v>
      </c>
      <c r="C2080" s="3">
        <f t="shared" si="227"/>
        <v>45796</v>
      </c>
      <c r="D2080" s="4">
        <f t="shared" ca="1" si="229"/>
        <v>34</v>
      </c>
      <c r="E2080" s="2">
        <f t="shared" ca="1" si="230"/>
        <v>11089</v>
      </c>
      <c r="F2080" s="2">
        <f t="shared" ca="1" si="231"/>
        <v>5010</v>
      </c>
      <c r="G2080" s="2">
        <f t="shared" ca="1" si="232"/>
        <v>274</v>
      </c>
    </row>
    <row r="2081" spans="1:7" x14ac:dyDescent="0.3">
      <c r="A2081" s="5" t="str">
        <f t="shared" si="226"/>
        <v>Nike</v>
      </c>
      <c r="B2081" s="5" t="str">
        <f t="shared" si="228"/>
        <v>Cortez</v>
      </c>
      <c r="C2081" s="3">
        <f t="shared" si="227"/>
        <v>45796</v>
      </c>
      <c r="D2081" s="4">
        <f t="shared" ca="1" si="229"/>
        <v>80</v>
      </c>
      <c r="E2081" s="2">
        <f t="shared" ca="1" si="230"/>
        <v>2755</v>
      </c>
      <c r="F2081" s="2">
        <f t="shared" ca="1" si="231"/>
        <v>6155</v>
      </c>
      <c r="G2081" s="2">
        <f t="shared" ca="1" si="232"/>
        <v>198</v>
      </c>
    </row>
    <row r="2082" spans="1:7" x14ac:dyDescent="0.3">
      <c r="A2082" s="5" t="str">
        <f t="shared" si="226"/>
        <v>Adidas</v>
      </c>
      <c r="B2082" s="5" t="str">
        <f t="shared" si="228"/>
        <v>NMD S1</v>
      </c>
      <c r="C2082" s="3">
        <f t="shared" si="227"/>
        <v>45796</v>
      </c>
      <c r="D2082" s="4">
        <f t="shared" ca="1" si="229"/>
        <v>79</v>
      </c>
      <c r="E2082" s="2">
        <f t="shared" ca="1" si="230"/>
        <v>2532</v>
      </c>
      <c r="F2082" s="2">
        <f t="shared" ca="1" si="231"/>
        <v>12186</v>
      </c>
      <c r="G2082" s="2">
        <f t="shared" ca="1" si="232"/>
        <v>641</v>
      </c>
    </row>
    <row r="2083" spans="1:7" x14ac:dyDescent="0.3">
      <c r="A2083" s="5" t="str">
        <f t="shared" si="226"/>
        <v>Puma</v>
      </c>
      <c r="B2083" s="5" t="str">
        <f t="shared" si="228"/>
        <v>Suede Classic</v>
      </c>
      <c r="C2083" s="3">
        <f t="shared" si="227"/>
        <v>45796</v>
      </c>
      <c r="D2083" s="4">
        <f t="shared" ca="1" si="229"/>
        <v>40</v>
      </c>
      <c r="E2083" s="2">
        <f t="shared" ca="1" si="230"/>
        <v>8357</v>
      </c>
      <c r="F2083" s="2">
        <f t="shared" ca="1" si="231"/>
        <v>20953</v>
      </c>
      <c r="G2083" s="2">
        <f t="shared" ca="1" si="232"/>
        <v>758</v>
      </c>
    </row>
    <row r="2084" spans="1:7" x14ac:dyDescent="0.3">
      <c r="A2084" s="5" t="str">
        <f t="shared" si="226"/>
        <v>New Balance</v>
      </c>
      <c r="B2084" s="5" t="str">
        <f t="shared" si="228"/>
        <v>990v6</v>
      </c>
      <c r="C2084" s="3">
        <f t="shared" si="227"/>
        <v>45796</v>
      </c>
      <c r="D2084" s="4">
        <f t="shared" ca="1" si="229"/>
        <v>223</v>
      </c>
      <c r="E2084" s="2">
        <f t="shared" ca="1" si="230"/>
        <v>9186</v>
      </c>
      <c r="F2084" s="2">
        <f t="shared" ca="1" si="231"/>
        <v>8349</v>
      </c>
      <c r="G2084" s="2">
        <f t="shared" ca="1" si="232"/>
        <v>319</v>
      </c>
    </row>
    <row r="2085" spans="1:7" x14ac:dyDescent="0.3">
      <c r="A2085" s="5" t="str">
        <f t="shared" si="226"/>
        <v>Reebok</v>
      </c>
      <c r="B2085" s="5" t="str">
        <f t="shared" si="228"/>
        <v>Nano X3</v>
      </c>
      <c r="C2085" s="3">
        <f t="shared" si="227"/>
        <v>45796</v>
      </c>
      <c r="D2085" s="4">
        <f t="shared" ca="1" si="229"/>
        <v>237</v>
      </c>
      <c r="E2085" s="2">
        <f t="shared" ca="1" si="230"/>
        <v>10236</v>
      </c>
      <c r="F2085" s="2">
        <f t="shared" ca="1" si="231"/>
        <v>11436</v>
      </c>
      <c r="G2085" s="2">
        <f t="shared" ca="1" si="232"/>
        <v>324</v>
      </c>
    </row>
    <row r="2086" spans="1:7" x14ac:dyDescent="0.3">
      <c r="A2086" s="5" t="str">
        <f t="shared" si="226"/>
        <v>Nike</v>
      </c>
      <c r="B2086" s="5" t="str">
        <f t="shared" si="228"/>
        <v>Vaporfly 3</v>
      </c>
      <c r="C2086" s="3">
        <f t="shared" si="227"/>
        <v>45796</v>
      </c>
      <c r="D2086" s="4">
        <f t="shared" ca="1" si="229"/>
        <v>218</v>
      </c>
      <c r="E2086" s="2">
        <f t="shared" ca="1" si="230"/>
        <v>2762</v>
      </c>
      <c r="F2086" s="2">
        <f t="shared" ca="1" si="231"/>
        <v>34898</v>
      </c>
      <c r="G2086" s="2">
        <f t="shared" ca="1" si="232"/>
        <v>2371</v>
      </c>
    </row>
    <row r="2087" spans="1:7" x14ac:dyDescent="0.3">
      <c r="A2087" s="5" t="str">
        <f t="shared" si="226"/>
        <v>Adidas</v>
      </c>
      <c r="B2087" s="5" t="str">
        <f t="shared" si="228"/>
        <v>Samba</v>
      </c>
      <c r="C2087" s="3">
        <f t="shared" si="227"/>
        <v>45797</v>
      </c>
      <c r="D2087" s="4">
        <f t="shared" ca="1" si="229"/>
        <v>118</v>
      </c>
      <c r="E2087" s="2">
        <f t="shared" ca="1" si="230"/>
        <v>6404</v>
      </c>
      <c r="F2087" s="2">
        <f t="shared" ca="1" si="231"/>
        <v>26183</v>
      </c>
      <c r="G2087" s="2">
        <f t="shared" ca="1" si="232"/>
        <v>1382</v>
      </c>
    </row>
    <row r="2088" spans="1:7" x14ac:dyDescent="0.3">
      <c r="A2088" s="5" t="str">
        <f t="shared" si="226"/>
        <v>Puma</v>
      </c>
      <c r="B2088" s="5" t="str">
        <f t="shared" si="228"/>
        <v>Mayze</v>
      </c>
      <c r="C2088" s="3">
        <f t="shared" si="227"/>
        <v>45797</v>
      </c>
      <c r="D2088" s="4">
        <f t="shared" ca="1" si="229"/>
        <v>77</v>
      </c>
      <c r="E2088" s="2">
        <f t="shared" ca="1" si="230"/>
        <v>5486</v>
      </c>
      <c r="F2088" s="2">
        <f t="shared" ca="1" si="231"/>
        <v>26819</v>
      </c>
      <c r="G2088" s="2">
        <f t="shared" ca="1" si="232"/>
        <v>2049</v>
      </c>
    </row>
    <row r="2089" spans="1:7" x14ac:dyDescent="0.3">
      <c r="A2089" s="5" t="str">
        <f t="shared" si="226"/>
        <v>New Balance</v>
      </c>
      <c r="B2089" s="5" t="str">
        <f t="shared" si="228"/>
        <v>574 Core</v>
      </c>
      <c r="C2089" s="3">
        <f t="shared" si="227"/>
        <v>45797</v>
      </c>
      <c r="D2089" s="4">
        <f t="shared" ca="1" si="229"/>
        <v>214</v>
      </c>
      <c r="E2089" s="2">
        <f t="shared" ca="1" si="230"/>
        <v>6140</v>
      </c>
      <c r="F2089" s="2">
        <f t="shared" ca="1" si="231"/>
        <v>10748</v>
      </c>
      <c r="G2089" s="2">
        <f t="shared" ca="1" si="232"/>
        <v>466</v>
      </c>
    </row>
    <row r="2090" spans="1:7" x14ac:dyDescent="0.3">
      <c r="A2090" s="5" t="str">
        <f t="shared" si="226"/>
        <v>Reebok</v>
      </c>
      <c r="B2090" s="5" t="str">
        <f t="shared" si="228"/>
        <v>Club C 85</v>
      </c>
      <c r="C2090" s="3">
        <f t="shared" si="227"/>
        <v>45797</v>
      </c>
      <c r="D2090" s="4">
        <f t="shared" ca="1" si="229"/>
        <v>114</v>
      </c>
      <c r="E2090" s="2">
        <f t="shared" ca="1" si="230"/>
        <v>4854</v>
      </c>
      <c r="F2090" s="2">
        <f t="shared" ca="1" si="231"/>
        <v>25826</v>
      </c>
      <c r="G2090" s="2">
        <f t="shared" ca="1" si="232"/>
        <v>1916</v>
      </c>
    </row>
    <row r="2091" spans="1:7" x14ac:dyDescent="0.3">
      <c r="A2091" s="5" t="str">
        <f t="shared" ref="A2091:A2154" si="233">CHOOSE(MOD(ROW(A2090),5)+1,"Nike","Adidas","Puma","New Balance","Reebok")</f>
        <v>Nike</v>
      </c>
      <c r="B2091" s="5" t="str">
        <f t="shared" si="228"/>
        <v>Pegasus 40</v>
      </c>
      <c r="C2091" s="3">
        <f t="shared" ref="C2091:C2154" si="234">DATE(2025,1,1)+INT((ROW(A2091)-2)/15)</f>
        <v>45797</v>
      </c>
      <c r="D2091" s="4">
        <f t="shared" ca="1" si="229"/>
        <v>28</v>
      </c>
      <c r="E2091" s="2">
        <f t="shared" ca="1" si="230"/>
        <v>4301</v>
      </c>
      <c r="F2091" s="2">
        <f t="shared" ca="1" si="231"/>
        <v>20186</v>
      </c>
      <c r="G2091" s="2">
        <f t="shared" ca="1" si="232"/>
        <v>1188</v>
      </c>
    </row>
    <row r="2092" spans="1:7" x14ac:dyDescent="0.3">
      <c r="A2092" s="5" t="str">
        <f t="shared" si="233"/>
        <v>Adidas</v>
      </c>
      <c r="B2092" s="5" t="str">
        <f t="shared" si="228"/>
        <v>Gazelle</v>
      </c>
      <c r="C2092" s="3">
        <f t="shared" si="234"/>
        <v>45797</v>
      </c>
      <c r="D2092" s="4">
        <f t="shared" ca="1" si="229"/>
        <v>26</v>
      </c>
      <c r="E2092" s="2">
        <f t="shared" ca="1" si="230"/>
        <v>4446</v>
      </c>
      <c r="F2092" s="2">
        <f t="shared" ca="1" si="231"/>
        <v>9768</v>
      </c>
      <c r="G2092" s="2">
        <f t="shared" ca="1" si="232"/>
        <v>519</v>
      </c>
    </row>
    <row r="2093" spans="1:7" x14ac:dyDescent="0.3">
      <c r="A2093" s="5" t="str">
        <f t="shared" si="233"/>
        <v>Puma</v>
      </c>
      <c r="B2093" s="5" t="str">
        <f t="shared" si="228"/>
        <v>Slipstream</v>
      </c>
      <c r="C2093" s="3">
        <f t="shared" si="234"/>
        <v>45797</v>
      </c>
      <c r="D2093" s="4">
        <f t="shared" ca="1" si="229"/>
        <v>212</v>
      </c>
      <c r="E2093" s="2">
        <f t="shared" ca="1" si="230"/>
        <v>9871</v>
      </c>
      <c r="F2093" s="2">
        <f t="shared" ca="1" si="231"/>
        <v>24243</v>
      </c>
      <c r="G2093" s="2">
        <f t="shared" ca="1" si="232"/>
        <v>552</v>
      </c>
    </row>
    <row r="2094" spans="1:7" x14ac:dyDescent="0.3">
      <c r="A2094" s="5" t="str">
        <f t="shared" si="233"/>
        <v>New Balance</v>
      </c>
      <c r="B2094" s="5" t="str">
        <f t="shared" si="228"/>
        <v>550</v>
      </c>
      <c r="C2094" s="3">
        <f t="shared" si="234"/>
        <v>45797</v>
      </c>
      <c r="D2094" s="4">
        <f t="shared" ca="1" si="229"/>
        <v>203</v>
      </c>
      <c r="E2094" s="2">
        <f t="shared" ca="1" si="230"/>
        <v>4975</v>
      </c>
      <c r="F2094" s="2">
        <f t="shared" ca="1" si="231"/>
        <v>31918</v>
      </c>
      <c r="G2094" s="2">
        <f t="shared" ca="1" si="232"/>
        <v>2520</v>
      </c>
    </row>
    <row r="2095" spans="1:7" x14ac:dyDescent="0.3">
      <c r="A2095" s="5" t="str">
        <f t="shared" si="233"/>
        <v>Reebok</v>
      </c>
      <c r="B2095" s="5" t="str">
        <f t="shared" si="228"/>
        <v>Classic Leather</v>
      </c>
      <c r="C2095" s="3">
        <f t="shared" si="234"/>
        <v>45797</v>
      </c>
      <c r="D2095" s="4">
        <f t="shared" ca="1" si="229"/>
        <v>66</v>
      </c>
      <c r="E2095" s="2">
        <f t="shared" ca="1" si="230"/>
        <v>9515</v>
      </c>
      <c r="F2095" s="2">
        <f t="shared" ca="1" si="231"/>
        <v>28705</v>
      </c>
      <c r="G2095" s="2">
        <f t="shared" ca="1" si="232"/>
        <v>2008</v>
      </c>
    </row>
    <row r="2096" spans="1:7" x14ac:dyDescent="0.3">
      <c r="A2096" s="5" t="str">
        <f t="shared" si="233"/>
        <v>Nike</v>
      </c>
      <c r="B2096" s="5" t="str">
        <f t="shared" si="228"/>
        <v>Air Force 1</v>
      </c>
      <c r="C2096" s="3">
        <f t="shared" si="234"/>
        <v>45797</v>
      </c>
      <c r="D2096" s="4">
        <f t="shared" ca="1" si="229"/>
        <v>62</v>
      </c>
      <c r="E2096" s="2">
        <f t="shared" ca="1" si="230"/>
        <v>9073</v>
      </c>
      <c r="F2096" s="2">
        <f t="shared" ca="1" si="231"/>
        <v>22486</v>
      </c>
      <c r="G2096" s="2">
        <f t="shared" ca="1" si="232"/>
        <v>720</v>
      </c>
    </row>
    <row r="2097" spans="1:7" x14ac:dyDescent="0.3">
      <c r="A2097" s="5" t="str">
        <f t="shared" si="233"/>
        <v>Adidas</v>
      </c>
      <c r="B2097" s="5" t="str">
        <f t="shared" si="228"/>
        <v>Superstar</v>
      </c>
      <c r="C2097" s="3">
        <f t="shared" si="234"/>
        <v>45797</v>
      </c>
      <c r="D2097" s="4">
        <f t="shared" ca="1" si="229"/>
        <v>29</v>
      </c>
      <c r="E2097" s="2">
        <f t="shared" ca="1" si="230"/>
        <v>4897</v>
      </c>
      <c r="F2097" s="2">
        <f t="shared" ca="1" si="231"/>
        <v>7809</v>
      </c>
      <c r="G2097" s="2">
        <f t="shared" ca="1" si="232"/>
        <v>491</v>
      </c>
    </row>
    <row r="2098" spans="1:7" x14ac:dyDescent="0.3">
      <c r="A2098" s="5" t="str">
        <f t="shared" si="233"/>
        <v>Puma</v>
      </c>
      <c r="B2098" s="5" t="str">
        <f t="shared" si="228"/>
        <v>Rider Vintage</v>
      </c>
      <c r="C2098" s="3">
        <f t="shared" si="234"/>
        <v>45797</v>
      </c>
      <c r="D2098" s="4">
        <f t="shared" ca="1" si="229"/>
        <v>163</v>
      </c>
      <c r="E2098" s="2">
        <f t="shared" ca="1" si="230"/>
        <v>7432</v>
      </c>
      <c r="F2098" s="2">
        <f t="shared" ca="1" si="231"/>
        <v>6306</v>
      </c>
      <c r="G2098" s="2">
        <f t="shared" ca="1" si="232"/>
        <v>406</v>
      </c>
    </row>
    <row r="2099" spans="1:7" x14ac:dyDescent="0.3">
      <c r="A2099" s="5" t="str">
        <f t="shared" si="233"/>
        <v>New Balance</v>
      </c>
      <c r="B2099" s="5" t="str">
        <f t="shared" si="228"/>
        <v>327</v>
      </c>
      <c r="C2099" s="3">
        <f t="shared" si="234"/>
        <v>45797</v>
      </c>
      <c r="D2099" s="4">
        <f t="shared" ca="1" si="229"/>
        <v>203</v>
      </c>
      <c r="E2099" s="2">
        <f t="shared" ca="1" si="230"/>
        <v>11456</v>
      </c>
      <c r="F2099" s="2">
        <f t="shared" ca="1" si="231"/>
        <v>22404</v>
      </c>
      <c r="G2099" s="2">
        <f t="shared" ca="1" si="232"/>
        <v>1322</v>
      </c>
    </row>
    <row r="2100" spans="1:7" x14ac:dyDescent="0.3">
      <c r="A2100" s="5" t="str">
        <f t="shared" si="233"/>
        <v>Reebok</v>
      </c>
      <c r="B2100" s="5" t="str">
        <f t="shared" si="228"/>
        <v>Question Mid</v>
      </c>
      <c r="C2100" s="3">
        <f t="shared" si="234"/>
        <v>45797</v>
      </c>
      <c r="D2100" s="4">
        <f t="shared" ca="1" si="229"/>
        <v>250</v>
      </c>
      <c r="E2100" s="2">
        <f t="shared" ca="1" si="230"/>
        <v>5975</v>
      </c>
      <c r="F2100" s="2">
        <f t="shared" ca="1" si="231"/>
        <v>25438</v>
      </c>
      <c r="G2100" s="2">
        <f t="shared" ca="1" si="232"/>
        <v>1612</v>
      </c>
    </row>
    <row r="2101" spans="1:7" x14ac:dyDescent="0.3">
      <c r="A2101" s="5" t="str">
        <f t="shared" si="233"/>
        <v>Nike</v>
      </c>
      <c r="B2101" s="5" t="str">
        <f t="shared" si="228"/>
        <v>Air Max 270</v>
      </c>
      <c r="C2101" s="3">
        <f t="shared" si="234"/>
        <v>45797</v>
      </c>
      <c r="D2101" s="4">
        <f t="shared" ca="1" si="229"/>
        <v>216</v>
      </c>
      <c r="E2101" s="2">
        <f t="shared" ca="1" si="230"/>
        <v>1728</v>
      </c>
      <c r="F2101" s="2">
        <f t="shared" ca="1" si="231"/>
        <v>12779</v>
      </c>
      <c r="G2101" s="2">
        <f t="shared" ca="1" si="232"/>
        <v>479</v>
      </c>
    </row>
    <row r="2102" spans="1:7" x14ac:dyDescent="0.3">
      <c r="A2102" s="5" t="str">
        <f t="shared" si="233"/>
        <v>Adidas</v>
      </c>
      <c r="B2102" s="5" t="str">
        <f t="shared" si="228"/>
        <v>Stan Smith</v>
      </c>
      <c r="C2102" s="3">
        <f t="shared" si="234"/>
        <v>45798</v>
      </c>
      <c r="D2102" s="4">
        <f t="shared" ca="1" si="229"/>
        <v>231</v>
      </c>
      <c r="E2102" s="2">
        <f t="shared" ca="1" si="230"/>
        <v>8349</v>
      </c>
      <c r="F2102" s="2">
        <f t="shared" ca="1" si="231"/>
        <v>20198</v>
      </c>
      <c r="G2102" s="2">
        <f t="shared" ca="1" si="232"/>
        <v>765</v>
      </c>
    </row>
    <row r="2103" spans="1:7" x14ac:dyDescent="0.3">
      <c r="A2103" s="5" t="str">
        <f t="shared" si="233"/>
        <v>Puma</v>
      </c>
      <c r="B2103" s="5" t="str">
        <f t="shared" si="228"/>
        <v>Cali Dream</v>
      </c>
      <c r="C2103" s="3">
        <f t="shared" si="234"/>
        <v>45798</v>
      </c>
      <c r="D2103" s="4">
        <f t="shared" ca="1" si="229"/>
        <v>91</v>
      </c>
      <c r="E2103" s="2">
        <f t="shared" ca="1" si="230"/>
        <v>4600</v>
      </c>
      <c r="F2103" s="2">
        <f t="shared" ca="1" si="231"/>
        <v>11683</v>
      </c>
      <c r="G2103" s="2">
        <f t="shared" ca="1" si="232"/>
        <v>828</v>
      </c>
    </row>
    <row r="2104" spans="1:7" x14ac:dyDescent="0.3">
      <c r="A2104" s="5" t="str">
        <f t="shared" si="233"/>
        <v>New Balance</v>
      </c>
      <c r="B2104" s="5" t="str">
        <f t="shared" si="228"/>
        <v>9060</v>
      </c>
      <c r="C2104" s="3">
        <f t="shared" si="234"/>
        <v>45798</v>
      </c>
      <c r="D2104" s="4">
        <f t="shared" ca="1" si="229"/>
        <v>26</v>
      </c>
      <c r="E2104" s="2">
        <f t="shared" ca="1" si="230"/>
        <v>11052</v>
      </c>
      <c r="F2104" s="2">
        <f t="shared" ca="1" si="231"/>
        <v>34622</v>
      </c>
      <c r="G2104" s="2">
        <f t="shared" ca="1" si="232"/>
        <v>2262</v>
      </c>
    </row>
    <row r="2105" spans="1:7" x14ac:dyDescent="0.3">
      <c r="A2105" s="5" t="str">
        <f t="shared" si="233"/>
        <v>Reebok</v>
      </c>
      <c r="B2105" s="5" t="str">
        <f t="shared" si="228"/>
        <v>Zig Kinetica</v>
      </c>
      <c r="C2105" s="3">
        <f t="shared" si="234"/>
        <v>45798</v>
      </c>
      <c r="D2105" s="4">
        <f t="shared" ca="1" si="229"/>
        <v>51</v>
      </c>
      <c r="E2105" s="2">
        <f t="shared" ca="1" si="230"/>
        <v>2693</v>
      </c>
      <c r="F2105" s="2">
        <f t="shared" ca="1" si="231"/>
        <v>8335</v>
      </c>
      <c r="G2105" s="2">
        <f t="shared" ca="1" si="232"/>
        <v>299</v>
      </c>
    </row>
    <row r="2106" spans="1:7" x14ac:dyDescent="0.3">
      <c r="A2106" s="5" t="str">
        <f t="shared" si="233"/>
        <v>Nike</v>
      </c>
      <c r="B2106" s="5" t="str">
        <f t="shared" si="228"/>
        <v>Jordan 1</v>
      </c>
      <c r="C2106" s="3">
        <f t="shared" si="234"/>
        <v>45798</v>
      </c>
      <c r="D2106" s="4">
        <f t="shared" ca="1" si="229"/>
        <v>76</v>
      </c>
      <c r="E2106" s="2">
        <f t="shared" ca="1" si="230"/>
        <v>10142</v>
      </c>
      <c r="F2106" s="2">
        <f t="shared" ca="1" si="231"/>
        <v>27103</v>
      </c>
      <c r="G2106" s="2">
        <f t="shared" ca="1" si="232"/>
        <v>2044</v>
      </c>
    </row>
    <row r="2107" spans="1:7" x14ac:dyDescent="0.3">
      <c r="A2107" s="5" t="str">
        <f t="shared" si="233"/>
        <v>Adidas</v>
      </c>
      <c r="B2107" s="5" t="str">
        <f t="shared" si="228"/>
        <v>Ultraboost 23</v>
      </c>
      <c r="C2107" s="3">
        <f t="shared" si="234"/>
        <v>45798</v>
      </c>
      <c r="D2107" s="4">
        <f t="shared" ca="1" si="229"/>
        <v>174</v>
      </c>
      <c r="E2107" s="2">
        <f t="shared" ca="1" si="230"/>
        <v>2114</v>
      </c>
      <c r="F2107" s="2">
        <f t="shared" ca="1" si="231"/>
        <v>14597</v>
      </c>
      <c r="G2107" s="2">
        <f t="shared" ca="1" si="232"/>
        <v>422</v>
      </c>
    </row>
    <row r="2108" spans="1:7" x14ac:dyDescent="0.3">
      <c r="A2108" s="5" t="str">
        <f t="shared" si="233"/>
        <v>Puma</v>
      </c>
      <c r="B2108" s="5" t="str">
        <f t="shared" si="228"/>
        <v>RS-X</v>
      </c>
      <c r="C2108" s="3">
        <f t="shared" si="234"/>
        <v>45798</v>
      </c>
      <c r="D2108" s="4">
        <f t="shared" ca="1" si="229"/>
        <v>149</v>
      </c>
      <c r="E2108" s="2">
        <f t="shared" ca="1" si="230"/>
        <v>3458</v>
      </c>
      <c r="F2108" s="2">
        <f t="shared" ca="1" si="231"/>
        <v>24305</v>
      </c>
      <c r="G2108" s="2">
        <f t="shared" ca="1" si="232"/>
        <v>717</v>
      </c>
    </row>
    <row r="2109" spans="1:7" x14ac:dyDescent="0.3">
      <c r="A2109" s="5" t="str">
        <f t="shared" si="233"/>
        <v>New Balance</v>
      </c>
      <c r="B2109" s="5" t="str">
        <f t="shared" si="228"/>
        <v>2002R</v>
      </c>
      <c r="C2109" s="3">
        <f t="shared" si="234"/>
        <v>45798</v>
      </c>
      <c r="D2109" s="4">
        <f t="shared" ca="1" si="229"/>
        <v>96</v>
      </c>
      <c r="E2109" s="2">
        <f t="shared" ca="1" si="230"/>
        <v>10230</v>
      </c>
      <c r="F2109" s="2">
        <f t="shared" ca="1" si="231"/>
        <v>16708</v>
      </c>
      <c r="G2109" s="2">
        <f t="shared" ca="1" si="232"/>
        <v>1239</v>
      </c>
    </row>
    <row r="2110" spans="1:7" x14ac:dyDescent="0.3">
      <c r="A2110" s="5" t="str">
        <f t="shared" si="233"/>
        <v>Reebok</v>
      </c>
      <c r="B2110" s="5" t="str">
        <f t="shared" si="228"/>
        <v>Instapump Fury</v>
      </c>
      <c r="C2110" s="3">
        <f t="shared" si="234"/>
        <v>45798</v>
      </c>
      <c r="D2110" s="4">
        <f t="shared" ca="1" si="229"/>
        <v>211</v>
      </c>
      <c r="E2110" s="2">
        <f t="shared" ca="1" si="230"/>
        <v>7478</v>
      </c>
      <c r="F2110" s="2">
        <f t="shared" ca="1" si="231"/>
        <v>8313</v>
      </c>
      <c r="G2110" s="2">
        <f t="shared" ca="1" si="232"/>
        <v>535</v>
      </c>
    </row>
    <row r="2111" spans="1:7" x14ac:dyDescent="0.3">
      <c r="A2111" s="5" t="str">
        <f t="shared" si="233"/>
        <v>Nike</v>
      </c>
      <c r="B2111" s="5" t="str">
        <f t="shared" si="228"/>
        <v>Cortez</v>
      </c>
      <c r="C2111" s="3">
        <f t="shared" si="234"/>
        <v>45798</v>
      </c>
      <c r="D2111" s="4">
        <f t="shared" ca="1" si="229"/>
        <v>34</v>
      </c>
      <c r="E2111" s="2">
        <f t="shared" ca="1" si="230"/>
        <v>2087</v>
      </c>
      <c r="F2111" s="2">
        <f t="shared" ca="1" si="231"/>
        <v>18088</v>
      </c>
      <c r="G2111" s="2">
        <f t="shared" ca="1" si="232"/>
        <v>437</v>
      </c>
    </row>
    <row r="2112" spans="1:7" x14ac:dyDescent="0.3">
      <c r="A2112" s="5" t="str">
        <f t="shared" si="233"/>
        <v>Adidas</v>
      </c>
      <c r="B2112" s="5" t="str">
        <f t="shared" si="228"/>
        <v>NMD S1</v>
      </c>
      <c r="C2112" s="3">
        <f t="shared" si="234"/>
        <v>45798</v>
      </c>
      <c r="D2112" s="4">
        <f t="shared" ca="1" si="229"/>
        <v>233</v>
      </c>
      <c r="E2112" s="2">
        <f t="shared" ca="1" si="230"/>
        <v>4841</v>
      </c>
      <c r="F2112" s="2">
        <f t="shared" ca="1" si="231"/>
        <v>12332</v>
      </c>
      <c r="G2112" s="2">
        <f t="shared" ca="1" si="232"/>
        <v>869</v>
      </c>
    </row>
    <row r="2113" spans="1:7" x14ac:dyDescent="0.3">
      <c r="A2113" s="5" t="str">
        <f t="shared" si="233"/>
        <v>Puma</v>
      </c>
      <c r="B2113" s="5" t="str">
        <f t="shared" si="228"/>
        <v>Suede Classic</v>
      </c>
      <c r="C2113" s="3">
        <f t="shared" si="234"/>
        <v>45798</v>
      </c>
      <c r="D2113" s="4">
        <f t="shared" ca="1" si="229"/>
        <v>174</v>
      </c>
      <c r="E2113" s="2">
        <f t="shared" ca="1" si="230"/>
        <v>5244</v>
      </c>
      <c r="F2113" s="2">
        <f t="shared" ca="1" si="231"/>
        <v>19528</v>
      </c>
      <c r="G2113" s="2">
        <f t="shared" ca="1" si="232"/>
        <v>1390</v>
      </c>
    </row>
    <row r="2114" spans="1:7" x14ac:dyDescent="0.3">
      <c r="A2114" s="5" t="str">
        <f t="shared" si="233"/>
        <v>New Balance</v>
      </c>
      <c r="B2114" s="5" t="str">
        <f t="shared" si="228"/>
        <v>990v6</v>
      </c>
      <c r="C2114" s="3">
        <f t="shared" si="234"/>
        <v>45798</v>
      </c>
      <c r="D2114" s="4">
        <f t="shared" ca="1" si="229"/>
        <v>45</v>
      </c>
      <c r="E2114" s="2">
        <f t="shared" ca="1" si="230"/>
        <v>11168</v>
      </c>
      <c r="F2114" s="2">
        <f t="shared" ca="1" si="231"/>
        <v>21197</v>
      </c>
      <c r="G2114" s="2">
        <f t="shared" ca="1" si="232"/>
        <v>1506</v>
      </c>
    </row>
    <row r="2115" spans="1:7" x14ac:dyDescent="0.3">
      <c r="A2115" s="5" t="str">
        <f t="shared" si="233"/>
        <v>Reebok</v>
      </c>
      <c r="B2115" s="5" t="str">
        <f t="shared" ref="B2115:B2178" si="235">IF(A2115="Nike",CHOOSE(MOD(ROW(A2114),6)+1,"Air Max 270","Air Force 1","Pegasus 40","Vaporfly 3","Cortez","Jordan 1"),
 IF(A2115="Adidas",CHOOSE(MOD(ROW(A2114),6)+1,"Ultraboost 23","Stan Smith","Superstar","Gazelle","Samba","NMD S1"),
 IF(A2115="Puma",CHOOSE(MOD(ROW(A2114),6)+1,"Suede Classic","RS-X","Cali Dream","Rider Vintage","Slipstream","Mayze"),
 IF(A2115="New Balance",CHOOSE(MOD(ROW(A2114),6)+1,"574 Core","990v6","2002R","9060","327","550"),
 IF(A2115="Reebok",CHOOSE(MOD(ROW(A2114),6)+1,"Classic Leather","Club C 85","Nano X3","Instapump Fury","Zig Kinetica","Question Mid"),"")))))</f>
        <v>Nano X3</v>
      </c>
      <c r="C2115" s="3">
        <f t="shared" si="234"/>
        <v>45798</v>
      </c>
      <c r="D2115" s="4">
        <f t="shared" ref="D2115:D2178" ca="1" si="236">RANDBETWEEN(20,250)</f>
        <v>179</v>
      </c>
      <c r="E2115" s="2">
        <f t="shared" ref="E2115:E2178" ca="1" si="237">ROUND(RANDBETWEEN(1500,12000)+(RANDBETWEEN(-200,200)),2)</f>
        <v>4905</v>
      </c>
      <c r="F2115" s="2">
        <f t="shared" ref="F2115:F2178" ca="1" si="238">RANDBETWEEN(5000,35000)</f>
        <v>16969</v>
      </c>
      <c r="G2115" s="2">
        <f t="shared" ref="G2115:G2178" ca="1" si="239">RANDBETWEEN(ROUND(F2115*0.02,0),ROUND(F2115*0.08,0))</f>
        <v>1007</v>
      </c>
    </row>
    <row r="2116" spans="1:7" x14ac:dyDescent="0.3">
      <c r="A2116" s="5" t="str">
        <f t="shared" si="233"/>
        <v>Nike</v>
      </c>
      <c r="B2116" s="5" t="str">
        <f t="shared" si="235"/>
        <v>Vaporfly 3</v>
      </c>
      <c r="C2116" s="3">
        <f t="shared" si="234"/>
        <v>45798</v>
      </c>
      <c r="D2116" s="4">
        <f t="shared" ca="1" si="236"/>
        <v>179</v>
      </c>
      <c r="E2116" s="2">
        <f t="shared" ca="1" si="237"/>
        <v>6891</v>
      </c>
      <c r="F2116" s="2">
        <f t="shared" ca="1" si="238"/>
        <v>11255</v>
      </c>
      <c r="G2116" s="2">
        <f t="shared" ca="1" si="239"/>
        <v>853</v>
      </c>
    </row>
    <row r="2117" spans="1:7" x14ac:dyDescent="0.3">
      <c r="A2117" s="5" t="str">
        <f t="shared" si="233"/>
        <v>Adidas</v>
      </c>
      <c r="B2117" s="5" t="str">
        <f t="shared" si="235"/>
        <v>Samba</v>
      </c>
      <c r="C2117" s="3">
        <f t="shared" si="234"/>
        <v>45799</v>
      </c>
      <c r="D2117" s="4">
        <f t="shared" ca="1" si="236"/>
        <v>123</v>
      </c>
      <c r="E2117" s="2">
        <f t="shared" ca="1" si="237"/>
        <v>9493</v>
      </c>
      <c r="F2117" s="2">
        <f t="shared" ca="1" si="238"/>
        <v>26556</v>
      </c>
      <c r="G2117" s="2">
        <f t="shared" ca="1" si="239"/>
        <v>774</v>
      </c>
    </row>
    <row r="2118" spans="1:7" x14ac:dyDescent="0.3">
      <c r="A2118" s="5" t="str">
        <f t="shared" si="233"/>
        <v>Puma</v>
      </c>
      <c r="B2118" s="5" t="str">
        <f t="shared" si="235"/>
        <v>Mayze</v>
      </c>
      <c r="C2118" s="3">
        <f t="shared" si="234"/>
        <v>45799</v>
      </c>
      <c r="D2118" s="4">
        <f t="shared" ca="1" si="236"/>
        <v>248</v>
      </c>
      <c r="E2118" s="2">
        <f t="shared" ca="1" si="237"/>
        <v>8434</v>
      </c>
      <c r="F2118" s="2">
        <f t="shared" ca="1" si="238"/>
        <v>13546</v>
      </c>
      <c r="G2118" s="2">
        <f t="shared" ca="1" si="239"/>
        <v>673</v>
      </c>
    </row>
    <row r="2119" spans="1:7" x14ac:dyDescent="0.3">
      <c r="A2119" s="5" t="str">
        <f t="shared" si="233"/>
        <v>New Balance</v>
      </c>
      <c r="B2119" s="5" t="str">
        <f t="shared" si="235"/>
        <v>574 Core</v>
      </c>
      <c r="C2119" s="3">
        <f t="shared" si="234"/>
        <v>45799</v>
      </c>
      <c r="D2119" s="4">
        <f t="shared" ca="1" si="236"/>
        <v>174</v>
      </c>
      <c r="E2119" s="2">
        <f t="shared" ca="1" si="237"/>
        <v>3138</v>
      </c>
      <c r="F2119" s="2">
        <f t="shared" ca="1" si="238"/>
        <v>12279</v>
      </c>
      <c r="G2119" s="2">
        <f t="shared" ca="1" si="239"/>
        <v>910</v>
      </c>
    </row>
    <row r="2120" spans="1:7" x14ac:dyDescent="0.3">
      <c r="A2120" s="5" t="str">
        <f t="shared" si="233"/>
        <v>Reebok</v>
      </c>
      <c r="B2120" s="5" t="str">
        <f t="shared" si="235"/>
        <v>Club C 85</v>
      </c>
      <c r="C2120" s="3">
        <f t="shared" si="234"/>
        <v>45799</v>
      </c>
      <c r="D2120" s="4">
        <f t="shared" ca="1" si="236"/>
        <v>61</v>
      </c>
      <c r="E2120" s="2">
        <f t="shared" ca="1" si="237"/>
        <v>11262</v>
      </c>
      <c r="F2120" s="2">
        <f t="shared" ca="1" si="238"/>
        <v>23818</v>
      </c>
      <c r="G2120" s="2">
        <f t="shared" ca="1" si="239"/>
        <v>1538</v>
      </c>
    </row>
    <row r="2121" spans="1:7" x14ac:dyDescent="0.3">
      <c r="A2121" s="5" t="str">
        <f t="shared" si="233"/>
        <v>Nike</v>
      </c>
      <c r="B2121" s="5" t="str">
        <f t="shared" si="235"/>
        <v>Pegasus 40</v>
      </c>
      <c r="C2121" s="3">
        <f t="shared" si="234"/>
        <v>45799</v>
      </c>
      <c r="D2121" s="4">
        <f t="shared" ca="1" si="236"/>
        <v>226</v>
      </c>
      <c r="E2121" s="2">
        <f t="shared" ca="1" si="237"/>
        <v>2388</v>
      </c>
      <c r="F2121" s="2">
        <f t="shared" ca="1" si="238"/>
        <v>9677</v>
      </c>
      <c r="G2121" s="2">
        <f t="shared" ca="1" si="239"/>
        <v>309</v>
      </c>
    </row>
    <row r="2122" spans="1:7" x14ac:dyDescent="0.3">
      <c r="A2122" s="5" t="str">
        <f t="shared" si="233"/>
        <v>Adidas</v>
      </c>
      <c r="B2122" s="5" t="str">
        <f t="shared" si="235"/>
        <v>Gazelle</v>
      </c>
      <c r="C2122" s="3">
        <f t="shared" si="234"/>
        <v>45799</v>
      </c>
      <c r="D2122" s="4">
        <f t="shared" ca="1" si="236"/>
        <v>66</v>
      </c>
      <c r="E2122" s="2">
        <f t="shared" ca="1" si="237"/>
        <v>11219</v>
      </c>
      <c r="F2122" s="2">
        <f t="shared" ca="1" si="238"/>
        <v>15153</v>
      </c>
      <c r="G2122" s="2">
        <f t="shared" ca="1" si="239"/>
        <v>1121</v>
      </c>
    </row>
    <row r="2123" spans="1:7" x14ac:dyDescent="0.3">
      <c r="A2123" s="5" t="str">
        <f t="shared" si="233"/>
        <v>Puma</v>
      </c>
      <c r="B2123" s="5" t="str">
        <f t="shared" si="235"/>
        <v>Slipstream</v>
      </c>
      <c r="C2123" s="3">
        <f t="shared" si="234"/>
        <v>45799</v>
      </c>
      <c r="D2123" s="4">
        <f t="shared" ca="1" si="236"/>
        <v>219</v>
      </c>
      <c r="E2123" s="2">
        <f t="shared" ca="1" si="237"/>
        <v>10621</v>
      </c>
      <c r="F2123" s="2">
        <f t="shared" ca="1" si="238"/>
        <v>17585</v>
      </c>
      <c r="G2123" s="2">
        <f t="shared" ca="1" si="239"/>
        <v>1366</v>
      </c>
    </row>
    <row r="2124" spans="1:7" x14ac:dyDescent="0.3">
      <c r="A2124" s="5" t="str">
        <f t="shared" si="233"/>
        <v>New Balance</v>
      </c>
      <c r="B2124" s="5" t="str">
        <f t="shared" si="235"/>
        <v>550</v>
      </c>
      <c r="C2124" s="3">
        <f t="shared" si="234"/>
        <v>45799</v>
      </c>
      <c r="D2124" s="4">
        <f t="shared" ca="1" si="236"/>
        <v>40</v>
      </c>
      <c r="E2124" s="2">
        <f t="shared" ca="1" si="237"/>
        <v>4599</v>
      </c>
      <c r="F2124" s="2">
        <f t="shared" ca="1" si="238"/>
        <v>11513</v>
      </c>
      <c r="G2124" s="2">
        <f t="shared" ca="1" si="239"/>
        <v>405</v>
      </c>
    </row>
    <row r="2125" spans="1:7" x14ac:dyDescent="0.3">
      <c r="A2125" s="5" t="str">
        <f t="shared" si="233"/>
        <v>Reebok</v>
      </c>
      <c r="B2125" s="5" t="str">
        <f t="shared" si="235"/>
        <v>Classic Leather</v>
      </c>
      <c r="C2125" s="3">
        <f t="shared" si="234"/>
        <v>45799</v>
      </c>
      <c r="D2125" s="4">
        <f t="shared" ca="1" si="236"/>
        <v>152</v>
      </c>
      <c r="E2125" s="2">
        <f t="shared" ca="1" si="237"/>
        <v>8239</v>
      </c>
      <c r="F2125" s="2">
        <f t="shared" ca="1" si="238"/>
        <v>10356</v>
      </c>
      <c r="G2125" s="2">
        <f t="shared" ca="1" si="239"/>
        <v>567</v>
      </c>
    </row>
    <row r="2126" spans="1:7" x14ac:dyDescent="0.3">
      <c r="A2126" s="5" t="str">
        <f t="shared" si="233"/>
        <v>Nike</v>
      </c>
      <c r="B2126" s="5" t="str">
        <f t="shared" si="235"/>
        <v>Air Force 1</v>
      </c>
      <c r="C2126" s="3">
        <f t="shared" si="234"/>
        <v>45799</v>
      </c>
      <c r="D2126" s="4">
        <f t="shared" ca="1" si="236"/>
        <v>133</v>
      </c>
      <c r="E2126" s="2">
        <f t="shared" ca="1" si="237"/>
        <v>12075</v>
      </c>
      <c r="F2126" s="2">
        <f t="shared" ca="1" si="238"/>
        <v>32896</v>
      </c>
      <c r="G2126" s="2">
        <f t="shared" ca="1" si="239"/>
        <v>1705</v>
      </c>
    </row>
    <row r="2127" spans="1:7" x14ac:dyDescent="0.3">
      <c r="A2127" s="5" t="str">
        <f t="shared" si="233"/>
        <v>Adidas</v>
      </c>
      <c r="B2127" s="5" t="str">
        <f t="shared" si="235"/>
        <v>Superstar</v>
      </c>
      <c r="C2127" s="3">
        <f t="shared" si="234"/>
        <v>45799</v>
      </c>
      <c r="D2127" s="4">
        <f t="shared" ca="1" si="236"/>
        <v>43</v>
      </c>
      <c r="E2127" s="2">
        <f t="shared" ca="1" si="237"/>
        <v>2456</v>
      </c>
      <c r="F2127" s="2">
        <f t="shared" ca="1" si="238"/>
        <v>13012</v>
      </c>
      <c r="G2127" s="2">
        <f t="shared" ca="1" si="239"/>
        <v>667</v>
      </c>
    </row>
    <row r="2128" spans="1:7" x14ac:dyDescent="0.3">
      <c r="A2128" s="5" t="str">
        <f t="shared" si="233"/>
        <v>Puma</v>
      </c>
      <c r="B2128" s="5" t="str">
        <f t="shared" si="235"/>
        <v>Rider Vintage</v>
      </c>
      <c r="C2128" s="3">
        <f t="shared" si="234"/>
        <v>45799</v>
      </c>
      <c r="D2128" s="4">
        <f t="shared" ca="1" si="236"/>
        <v>228</v>
      </c>
      <c r="E2128" s="2">
        <f t="shared" ca="1" si="237"/>
        <v>5613</v>
      </c>
      <c r="F2128" s="2">
        <f t="shared" ca="1" si="238"/>
        <v>28750</v>
      </c>
      <c r="G2128" s="2">
        <f t="shared" ca="1" si="239"/>
        <v>1954</v>
      </c>
    </row>
    <row r="2129" spans="1:7" x14ac:dyDescent="0.3">
      <c r="A2129" s="5" t="str">
        <f t="shared" si="233"/>
        <v>New Balance</v>
      </c>
      <c r="B2129" s="5" t="str">
        <f t="shared" si="235"/>
        <v>327</v>
      </c>
      <c r="C2129" s="3">
        <f t="shared" si="234"/>
        <v>45799</v>
      </c>
      <c r="D2129" s="4">
        <f t="shared" ca="1" si="236"/>
        <v>212</v>
      </c>
      <c r="E2129" s="2">
        <f t="shared" ca="1" si="237"/>
        <v>7179</v>
      </c>
      <c r="F2129" s="2">
        <f t="shared" ca="1" si="238"/>
        <v>6002</v>
      </c>
      <c r="G2129" s="2">
        <f t="shared" ca="1" si="239"/>
        <v>220</v>
      </c>
    </row>
    <row r="2130" spans="1:7" x14ac:dyDescent="0.3">
      <c r="A2130" s="5" t="str">
        <f t="shared" si="233"/>
        <v>Reebok</v>
      </c>
      <c r="B2130" s="5" t="str">
        <f t="shared" si="235"/>
        <v>Question Mid</v>
      </c>
      <c r="C2130" s="3">
        <f t="shared" si="234"/>
        <v>45799</v>
      </c>
      <c r="D2130" s="4">
        <f t="shared" ca="1" si="236"/>
        <v>186</v>
      </c>
      <c r="E2130" s="2">
        <f t="shared" ca="1" si="237"/>
        <v>1592</v>
      </c>
      <c r="F2130" s="2">
        <f t="shared" ca="1" si="238"/>
        <v>13087</v>
      </c>
      <c r="G2130" s="2">
        <f t="shared" ca="1" si="239"/>
        <v>923</v>
      </c>
    </row>
    <row r="2131" spans="1:7" x14ac:dyDescent="0.3">
      <c r="A2131" s="5" t="str">
        <f t="shared" si="233"/>
        <v>Nike</v>
      </c>
      <c r="B2131" s="5" t="str">
        <f t="shared" si="235"/>
        <v>Air Max 270</v>
      </c>
      <c r="C2131" s="3">
        <f t="shared" si="234"/>
        <v>45799</v>
      </c>
      <c r="D2131" s="4">
        <f t="shared" ca="1" si="236"/>
        <v>154</v>
      </c>
      <c r="E2131" s="2">
        <f t="shared" ca="1" si="237"/>
        <v>5776</v>
      </c>
      <c r="F2131" s="2">
        <f t="shared" ca="1" si="238"/>
        <v>29604</v>
      </c>
      <c r="G2131" s="2">
        <f t="shared" ca="1" si="239"/>
        <v>1646</v>
      </c>
    </row>
    <row r="2132" spans="1:7" x14ac:dyDescent="0.3">
      <c r="A2132" s="5" t="str">
        <f t="shared" si="233"/>
        <v>Adidas</v>
      </c>
      <c r="B2132" s="5" t="str">
        <f t="shared" si="235"/>
        <v>Stan Smith</v>
      </c>
      <c r="C2132" s="3">
        <f t="shared" si="234"/>
        <v>45800</v>
      </c>
      <c r="D2132" s="4">
        <f t="shared" ca="1" si="236"/>
        <v>30</v>
      </c>
      <c r="E2132" s="2">
        <f t="shared" ca="1" si="237"/>
        <v>5243</v>
      </c>
      <c r="F2132" s="2">
        <f t="shared" ca="1" si="238"/>
        <v>34000</v>
      </c>
      <c r="G2132" s="2">
        <f t="shared" ca="1" si="239"/>
        <v>1018</v>
      </c>
    </row>
    <row r="2133" spans="1:7" x14ac:dyDescent="0.3">
      <c r="A2133" s="5" t="str">
        <f t="shared" si="233"/>
        <v>Puma</v>
      </c>
      <c r="B2133" s="5" t="str">
        <f t="shared" si="235"/>
        <v>Cali Dream</v>
      </c>
      <c r="C2133" s="3">
        <f t="shared" si="234"/>
        <v>45800</v>
      </c>
      <c r="D2133" s="4">
        <f t="shared" ca="1" si="236"/>
        <v>90</v>
      </c>
      <c r="E2133" s="2">
        <f t="shared" ca="1" si="237"/>
        <v>5844</v>
      </c>
      <c r="F2133" s="2">
        <f t="shared" ca="1" si="238"/>
        <v>10196</v>
      </c>
      <c r="G2133" s="2">
        <f t="shared" ca="1" si="239"/>
        <v>320</v>
      </c>
    </row>
    <row r="2134" spans="1:7" x14ac:dyDescent="0.3">
      <c r="A2134" s="5" t="str">
        <f t="shared" si="233"/>
        <v>New Balance</v>
      </c>
      <c r="B2134" s="5" t="str">
        <f t="shared" si="235"/>
        <v>9060</v>
      </c>
      <c r="C2134" s="3">
        <f t="shared" si="234"/>
        <v>45800</v>
      </c>
      <c r="D2134" s="4">
        <f t="shared" ca="1" si="236"/>
        <v>82</v>
      </c>
      <c r="E2134" s="2">
        <f t="shared" ca="1" si="237"/>
        <v>7196</v>
      </c>
      <c r="F2134" s="2">
        <f t="shared" ca="1" si="238"/>
        <v>14186</v>
      </c>
      <c r="G2134" s="2">
        <f t="shared" ca="1" si="239"/>
        <v>381</v>
      </c>
    </row>
    <row r="2135" spans="1:7" x14ac:dyDescent="0.3">
      <c r="A2135" s="5" t="str">
        <f t="shared" si="233"/>
        <v>Reebok</v>
      </c>
      <c r="B2135" s="5" t="str">
        <f t="shared" si="235"/>
        <v>Zig Kinetica</v>
      </c>
      <c r="C2135" s="3">
        <f t="shared" si="234"/>
        <v>45800</v>
      </c>
      <c r="D2135" s="4">
        <f t="shared" ca="1" si="236"/>
        <v>208</v>
      </c>
      <c r="E2135" s="2">
        <f t="shared" ca="1" si="237"/>
        <v>9572</v>
      </c>
      <c r="F2135" s="2">
        <f t="shared" ca="1" si="238"/>
        <v>16334</v>
      </c>
      <c r="G2135" s="2">
        <f t="shared" ca="1" si="239"/>
        <v>329</v>
      </c>
    </row>
    <row r="2136" spans="1:7" x14ac:dyDescent="0.3">
      <c r="A2136" s="5" t="str">
        <f t="shared" si="233"/>
        <v>Nike</v>
      </c>
      <c r="B2136" s="5" t="str">
        <f t="shared" si="235"/>
        <v>Jordan 1</v>
      </c>
      <c r="C2136" s="3">
        <f t="shared" si="234"/>
        <v>45800</v>
      </c>
      <c r="D2136" s="4">
        <f t="shared" ca="1" si="236"/>
        <v>132</v>
      </c>
      <c r="E2136" s="2">
        <f t="shared" ca="1" si="237"/>
        <v>2803</v>
      </c>
      <c r="F2136" s="2">
        <f t="shared" ca="1" si="238"/>
        <v>30111</v>
      </c>
      <c r="G2136" s="2">
        <f t="shared" ca="1" si="239"/>
        <v>1412</v>
      </c>
    </row>
    <row r="2137" spans="1:7" x14ac:dyDescent="0.3">
      <c r="A2137" s="5" t="str">
        <f t="shared" si="233"/>
        <v>Adidas</v>
      </c>
      <c r="B2137" s="5" t="str">
        <f t="shared" si="235"/>
        <v>Ultraboost 23</v>
      </c>
      <c r="C2137" s="3">
        <f t="shared" si="234"/>
        <v>45800</v>
      </c>
      <c r="D2137" s="4">
        <f t="shared" ca="1" si="236"/>
        <v>182</v>
      </c>
      <c r="E2137" s="2">
        <f t="shared" ca="1" si="237"/>
        <v>7391</v>
      </c>
      <c r="F2137" s="2">
        <f t="shared" ca="1" si="238"/>
        <v>14366</v>
      </c>
      <c r="G2137" s="2">
        <f t="shared" ca="1" si="239"/>
        <v>1042</v>
      </c>
    </row>
    <row r="2138" spans="1:7" x14ac:dyDescent="0.3">
      <c r="A2138" s="5" t="str">
        <f t="shared" si="233"/>
        <v>Puma</v>
      </c>
      <c r="B2138" s="5" t="str">
        <f t="shared" si="235"/>
        <v>RS-X</v>
      </c>
      <c r="C2138" s="3">
        <f t="shared" si="234"/>
        <v>45800</v>
      </c>
      <c r="D2138" s="4">
        <f t="shared" ca="1" si="236"/>
        <v>46</v>
      </c>
      <c r="E2138" s="2">
        <f t="shared" ca="1" si="237"/>
        <v>5804</v>
      </c>
      <c r="F2138" s="2">
        <f t="shared" ca="1" si="238"/>
        <v>6074</v>
      </c>
      <c r="G2138" s="2">
        <f t="shared" ca="1" si="239"/>
        <v>257</v>
      </c>
    </row>
    <row r="2139" spans="1:7" x14ac:dyDescent="0.3">
      <c r="A2139" s="5" t="str">
        <f t="shared" si="233"/>
        <v>New Balance</v>
      </c>
      <c r="B2139" s="5" t="str">
        <f t="shared" si="235"/>
        <v>2002R</v>
      </c>
      <c r="C2139" s="3">
        <f t="shared" si="234"/>
        <v>45800</v>
      </c>
      <c r="D2139" s="4">
        <f t="shared" ca="1" si="236"/>
        <v>38</v>
      </c>
      <c r="E2139" s="2">
        <f t="shared" ca="1" si="237"/>
        <v>5432</v>
      </c>
      <c r="F2139" s="2">
        <f t="shared" ca="1" si="238"/>
        <v>6908</v>
      </c>
      <c r="G2139" s="2">
        <f t="shared" ca="1" si="239"/>
        <v>307</v>
      </c>
    </row>
    <row r="2140" spans="1:7" x14ac:dyDescent="0.3">
      <c r="A2140" s="5" t="str">
        <f t="shared" si="233"/>
        <v>Reebok</v>
      </c>
      <c r="B2140" s="5" t="str">
        <f t="shared" si="235"/>
        <v>Instapump Fury</v>
      </c>
      <c r="C2140" s="3">
        <f t="shared" si="234"/>
        <v>45800</v>
      </c>
      <c r="D2140" s="4">
        <f t="shared" ca="1" si="236"/>
        <v>49</v>
      </c>
      <c r="E2140" s="2">
        <f t="shared" ca="1" si="237"/>
        <v>5197</v>
      </c>
      <c r="F2140" s="2">
        <f t="shared" ca="1" si="238"/>
        <v>20472</v>
      </c>
      <c r="G2140" s="2">
        <f t="shared" ca="1" si="239"/>
        <v>1040</v>
      </c>
    </row>
    <row r="2141" spans="1:7" x14ac:dyDescent="0.3">
      <c r="A2141" s="5" t="str">
        <f t="shared" si="233"/>
        <v>Nike</v>
      </c>
      <c r="B2141" s="5" t="str">
        <f t="shared" si="235"/>
        <v>Cortez</v>
      </c>
      <c r="C2141" s="3">
        <f t="shared" si="234"/>
        <v>45800</v>
      </c>
      <c r="D2141" s="4">
        <f t="shared" ca="1" si="236"/>
        <v>238</v>
      </c>
      <c r="E2141" s="2">
        <f t="shared" ca="1" si="237"/>
        <v>2077</v>
      </c>
      <c r="F2141" s="2">
        <f t="shared" ca="1" si="238"/>
        <v>20673</v>
      </c>
      <c r="G2141" s="2">
        <f t="shared" ca="1" si="239"/>
        <v>545</v>
      </c>
    </row>
    <row r="2142" spans="1:7" x14ac:dyDescent="0.3">
      <c r="A2142" s="5" t="str">
        <f t="shared" si="233"/>
        <v>Adidas</v>
      </c>
      <c r="B2142" s="5" t="str">
        <f t="shared" si="235"/>
        <v>NMD S1</v>
      </c>
      <c r="C2142" s="3">
        <f t="shared" si="234"/>
        <v>45800</v>
      </c>
      <c r="D2142" s="4">
        <f t="shared" ca="1" si="236"/>
        <v>158</v>
      </c>
      <c r="E2142" s="2">
        <f t="shared" ca="1" si="237"/>
        <v>7586</v>
      </c>
      <c r="F2142" s="2">
        <f t="shared" ca="1" si="238"/>
        <v>23486</v>
      </c>
      <c r="G2142" s="2">
        <f t="shared" ca="1" si="239"/>
        <v>535</v>
      </c>
    </row>
    <row r="2143" spans="1:7" x14ac:dyDescent="0.3">
      <c r="A2143" s="5" t="str">
        <f t="shared" si="233"/>
        <v>Puma</v>
      </c>
      <c r="B2143" s="5" t="str">
        <f t="shared" si="235"/>
        <v>Suede Classic</v>
      </c>
      <c r="C2143" s="3">
        <f t="shared" si="234"/>
        <v>45800</v>
      </c>
      <c r="D2143" s="4">
        <f t="shared" ca="1" si="236"/>
        <v>214</v>
      </c>
      <c r="E2143" s="2">
        <f t="shared" ca="1" si="237"/>
        <v>2749</v>
      </c>
      <c r="F2143" s="2">
        <f t="shared" ca="1" si="238"/>
        <v>7167</v>
      </c>
      <c r="G2143" s="2">
        <f t="shared" ca="1" si="239"/>
        <v>163</v>
      </c>
    </row>
    <row r="2144" spans="1:7" x14ac:dyDescent="0.3">
      <c r="A2144" s="5" t="str">
        <f t="shared" si="233"/>
        <v>New Balance</v>
      </c>
      <c r="B2144" s="5" t="str">
        <f t="shared" si="235"/>
        <v>990v6</v>
      </c>
      <c r="C2144" s="3">
        <f t="shared" si="234"/>
        <v>45800</v>
      </c>
      <c r="D2144" s="4">
        <f t="shared" ca="1" si="236"/>
        <v>211</v>
      </c>
      <c r="E2144" s="2">
        <f t="shared" ca="1" si="237"/>
        <v>8117</v>
      </c>
      <c r="F2144" s="2">
        <f t="shared" ca="1" si="238"/>
        <v>7008</v>
      </c>
      <c r="G2144" s="2">
        <f t="shared" ca="1" si="239"/>
        <v>444</v>
      </c>
    </row>
    <row r="2145" spans="1:7" x14ac:dyDescent="0.3">
      <c r="A2145" s="5" t="str">
        <f t="shared" si="233"/>
        <v>Reebok</v>
      </c>
      <c r="B2145" s="5" t="str">
        <f t="shared" si="235"/>
        <v>Nano X3</v>
      </c>
      <c r="C2145" s="3">
        <f t="shared" si="234"/>
        <v>45800</v>
      </c>
      <c r="D2145" s="4">
        <f t="shared" ca="1" si="236"/>
        <v>142</v>
      </c>
      <c r="E2145" s="2">
        <f t="shared" ca="1" si="237"/>
        <v>3633</v>
      </c>
      <c r="F2145" s="2">
        <f t="shared" ca="1" si="238"/>
        <v>34687</v>
      </c>
      <c r="G2145" s="2">
        <f t="shared" ca="1" si="239"/>
        <v>2034</v>
      </c>
    </row>
    <row r="2146" spans="1:7" x14ac:dyDescent="0.3">
      <c r="A2146" s="5" t="str">
        <f t="shared" si="233"/>
        <v>Nike</v>
      </c>
      <c r="B2146" s="5" t="str">
        <f t="shared" si="235"/>
        <v>Vaporfly 3</v>
      </c>
      <c r="C2146" s="3">
        <f t="shared" si="234"/>
        <v>45800</v>
      </c>
      <c r="D2146" s="4">
        <f t="shared" ca="1" si="236"/>
        <v>95</v>
      </c>
      <c r="E2146" s="2">
        <f t="shared" ca="1" si="237"/>
        <v>7192</v>
      </c>
      <c r="F2146" s="2">
        <f t="shared" ca="1" si="238"/>
        <v>13357</v>
      </c>
      <c r="G2146" s="2">
        <f t="shared" ca="1" si="239"/>
        <v>625</v>
      </c>
    </row>
    <row r="2147" spans="1:7" x14ac:dyDescent="0.3">
      <c r="A2147" s="5" t="str">
        <f t="shared" si="233"/>
        <v>Adidas</v>
      </c>
      <c r="B2147" s="5" t="str">
        <f t="shared" si="235"/>
        <v>Samba</v>
      </c>
      <c r="C2147" s="3">
        <f t="shared" si="234"/>
        <v>45801</v>
      </c>
      <c r="D2147" s="4">
        <f t="shared" ca="1" si="236"/>
        <v>179</v>
      </c>
      <c r="E2147" s="2">
        <f t="shared" ca="1" si="237"/>
        <v>3501</v>
      </c>
      <c r="F2147" s="2">
        <f t="shared" ca="1" si="238"/>
        <v>26023</v>
      </c>
      <c r="G2147" s="2">
        <f t="shared" ca="1" si="239"/>
        <v>1285</v>
      </c>
    </row>
    <row r="2148" spans="1:7" x14ac:dyDescent="0.3">
      <c r="A2148" s="5" t="str">
        <f t="shared" si="233"/>
        <v>Puma</v>
      </c>
      <c r="B2148" s="5" t="str">
        <f t="shared" si="235"/>
        <v>Mayze</v>
      </c>
      <c r="C2148" s="3">
        <f t="shared" si="234"/>
        <v>45801</v>
      </c>
      <c r="D2148" s="4">
        <f t="shared" ca="1" si="236"/>
        <v>167</v>
      </c>
      <c r="E2148" s="2">
        <f t="shared" ca="1" si="237"/>
        <v>6508</v>
      </c>
      <c r="F2148" s="2">
        <f t="shared" ca="1" si="238"/>
        <v>16845</v>
      </c>
      <c r="G2148" s="2">
        <f t="shared" ca="1" si="239"/>
        <v>1180</v>
      </c>
    </row>
    <row r="2149" spans="1:7" x14ac:dyDescent="0.3">
      <c r="A2149" s="5" t="str">
        <f t="shared" si="233"/>
        <v>New Balance</v>
      </c>
      <c r="B2149" s="5" t="str">
        <f t="shared" si="235"/>
        <v>574 Core</v>
      </c>
      <c r="C2149" s="3">
        <f t="shared" si="234"/>
        <v>45801</v>
      </c>
      <c r="D2149" s="4">
        <f t="shared" ca="1" si="236"/>
        <v>161</v>
      </c>
      <c r="E2149" s="2">
        <f t="shared" ca="1" si="237"/>
        <v>11831</v>
      </c>
      <c r="F2149" s="2">
        <f t="shared" ca="1" si="238"/>
        <v>7201</v>
      </c>
      <c r="G2149" s="2">
        <f t="shared" ca="1" si="239"/>
        <v>233</v>
      </c>
    </row>
    <row r="2150" spans="1:7" x14ac:dyDescent="0.3">
      <c r="A2150" s="5" t="str">
        <f t="shared" si="233"/>
        <v>Reebok</v>
      </c>
      <c r="B2150" s="5" t="str">
        <f t="shared" si="235"/>
        <v>Club C 85</v>
      </c>
      <c r="C2150" s="3">
        <f t="shared" si="234"/>
        <v>45801</v>
      </c>
      <c r="D2150" s="4">
        <f t="shared" ca="1" si="236"/>
        <v>87</v>
      </c>
      <c r="E2150" s="2">
        <f t="shared" ca="1" si="237"/>
        <v>5929</v>
      </c>
      <c r="F2150" s="2">
        <f t="shared" ca="1" si="238"/>
        <v>18704</v>
      </c>
      <c r="G2150" s="2">
        <f t="shared" ca="1" si="239"/>
        <v>393</v>
      </c>
    </row>
    <row r="2151" spans="1:7" x14ac:dyDescent="0.3">
      <c r="A2151" s="5" t="str">
        <f t="shared" si="233"/>
        <v>Nike</v>
      </c>
      <c r="B2151" s="5" t="str">
        <f t="shared" si="235"/>
        <v>Pegasus 40</v>
      </c>
      <c r="C2151" s="3">
        <f t="shared" si="234"/>
        <v>45801</v>
      </c>
      <c r="D2151" s="4">
        <f t="shared" ca="1" si="236"/>
        <v>53</v>
      </c>
      <c r="E2151" s="2">
        <f t="shared" ca="1" si="237"/>
        <v>4283</v>
      </c>
      <c r="F2151" s="2">
        <f t="shared" ca="1" si="238"/>
        <v>7933</v>
      </c>
      <c r="G2151" s="2">
        <f t="shared" ca="1" si="239"/>
        <v>416</v>
      </c>
    </row>
    <row r="2152" spans="1:7" x14ac:dyDescent="0.3">
      <c r="A2152" s="5" t="str">
        <f t="shared" si="233"/>
        <v>Adidas</v>
      </c>
      <c r="B2152" s="5" t="str">
        <f t="shared" si="235"/>
        <v>Gazelle</v>
      </c>
      <c r="C2152" s="3">
        <f t="shared" si="234"/>
        <v>45801</v>
      </c>
      <c r="D2152" s="4">
        <f t="shared" ca="1" si="236"/>
        <v>120</v>
      </c>
      <c r="E2152" s="2">
        <f t="shared" ca="1" si="237"/>
        <v>11801</v>
      </c>
      <c r="F2152" s="2">
        <f t="shared" ca="1" si="238"/>
        <v>27317</v>
      </c>
      <c r="G2152" s="2">
        <f t="shared" ca="1" si="239"/>
        <v>1307</v>
      </c>
    </row>
    <row r="2153" spans="1:7" x14ac:dyDescent="0.3">
      <c r="A2153" s="5" t="str">
        <f t="shared" si="233"/>
        <v>Puma</v>
      </c>
      <c r="B2153" s="5" t="str">
        <f t="shared" si="235"/>
        <v>Slipstream</v>
      </c>
      <c r="C2153" s="3">
        <f t="shared" si="234"/>
        <v>45801</v>
      </c>
      <c r="D2153" s="4">
        <f t="shared" ca="1" si="236"/>
        <v>87</v>
      </c>
      <c r="E2153" s="2">
        <f t="shared" ca="1" si="237"/>
        <v>2556</v>
      </c>
      <c r="F2153" s="2">
        <f t="shared" ca="1" si="238"/>
        <v>7061</v>
      </c>
      <c r="G2153" s="2">
        <f t="shared" ca="1" si="239"/>
        <v>450</v>
      </c>
    </row>
    <row r="2154" spans="1:7" x14ac:dyDescent="0.3">
      <c r="A2154" s="5" t="str">
        <f t="shared" si="233"/>
        <v>New Balance</v>
      </c>
      <c r="B2154" s="5" t="str">
        <f t="shared" si="235"/>
        <v>550</v>
      </c>
      <c r="C2154" s="3">
        <f t="shared" si="234"/>
        <v>45801</v>
      </c>
      <c r="D2154" s="4">
        <f t="shared" ca="1" si="236"/>
        <v>232</v>
      </c>
      <c r="E2154" s="2">
        <f t="shared" ca="1" si="237"/>
        <v>2267</v>
      </c>
      <c r="F2154" s="2">
        <f t="shared" ca="1" si="238"/>
        <v>31527</v>
      </c>
      <c r="G2154" s="2">
        <f t="shared" ca="1" si="239"/>
        <v>2164</v>
      </c>
    </row>
    <row r="2155" spans="1:7" x14ac:dyDescent="0.3">
      <c r="A2155" s="5" t="str">
        <f t="shared" ref="A2155:A2218" si="240">CHOOSE(MOD(ROW(A2154),5)+1,"Nike","Adidas","Puma","New Balance","Reebok")</f>
        <v>Reebok</v>
      </c>
      <c r="B2155" s="5" t="str">
        <f t="shared" si="235"/>
        <v>Classic Leather</v>
      </c>
      <c r="C2155" s="3">
        <f t="shared" ref="C2155:C2218" si="241">DATE(2025,1,1)+INT((ROW(A2155)-2)/15)</f>
        <v>45801</v>
      </c>
      <c r="D2155" s="4">
        <f t="shared" ca="1" si="236"/>
        <v>115</v>
      </c>
      <c r="E2155" s="2">
        <f t="shared" ca="1" si="237"/>
        <v>5849</v>
      </c>
      <c r="F2155" s="2">
        <f t="shared" ca="1" si="238"/>
        <v>19908</v>
      </c>
      <c r="G2155" s="2">
        <f t="shared" ca="1" si="239"/>
        <v>857</v>
      </c>
    </row>
    <row r="2156" spans="1:7" x14ac:dyDescent="0.3">
      <c r="A2156" s="5" t="str">
        <f t="shared" si="240"/>
        <v>Nike</v>
      </c>
      <c r="B2156" s="5" t="str">
        <f t="shared" si="235"/>
        <v>Air Force 1</v>
      </c>
      <c r="C2156" s="3">
        <f t="shared" si="241"/>
        <v>45801</v>
      </c>
      <c r="D2156" s="4">
        <f t="shared" ca="1" si="236"/>
        <v>31</v>
      </c>
      <c r="E2156" s="2">
        <f t="shared" ca="1" si="237"/>
        <v>6768</v>
      </c>
      <c r="F2156" s="2">
        <f t="shared" ca="1" si="238"/>
        <v>12613</v>
      </c>
      <c r="G2156" s="2">
        <f t="shared" ca="1" si="239"/>
        <v>369</v>
      </c>
    </row>
    <row r="2157" spans="1:7" x14ac:dyDescent="0.3">
      <c r="A2157" s="5" t="str">
        <f t="shared" si="240"/>
        <v>Adidas</v>
      </c>
      <c r="B2157" s="5" t="str">
        <f t="shared" si="235"/>
        <v>Superstar</v>
      </c>
      <c r="C2157" s="3">
        <f t="shared" si="241"/>
        <v>45801</v>
      </c>
      <c r="D2157" s="4">
        <f t="shared" ca="1" si="236"/>
        <v>195</v>
      </c>
      <c r="E2157" s="2">
        <f t="shared" ca="1" si="237"/>
        <v>5486</v>
      </c>
      <c r="F2157" s="2">
        <f t="shared" ca="1" si="238"/>
        <v>13008</v>
      </c>
      <c r="G2157" s="2">
        <f t="shared" ca="1" si="239"/>
        <v>665</v>
      </c>
    </row>
    <row r="2158" spans="1:7" x14ac:dyDescent="0.3">
      <c r="A2158" s="5" t="str">
        <f t="shared" si="240"/>
        <v>Puma</v>
      </c>
      <c r="B2158" s="5" t="str">
        <f t="shared" si="235"/>
        <v>Rider Vintage</v>
      </c>
      <c r="C2158" s="3">
        <f t="shared" si="241"/>
        <v>45801</v>
      </c>
      <c r="D2158" s="4">
        <f t="shared" ca="1" si="236"/>
        <v>193</v>
      </c>
      <c r="E2158" s="2">
        <f t="shared" ca="1" si="237"/>
        <v>2259</v>
      </c>
      <c r="F2158" s="2">
        <f t="shared" ca="1" si="238"/>
        <v>29212</v>
      </c>
      <c r="G2158" s="2">
        <f t="shared" ca="1" si="239"/>
        <v>1070</v>
      </c>
    </row>
    <row r="2159" spans="1:7" x14ac:dyDescent="0.3">
      <c r="A2159" s="5" t="str">
        <f t="shared" si="240"/>
        <v>New Balance</v>
      </c>
      <c r="B2159" s="5" t="str">
        <f t="shared" si="235"/>
        <v>327</v>
      </c>
      <c r="C2159" s="3">
        <f t="shared" si="241"/>
        <v>45801</v>
      </c>
      <c r="D2159" s="4">
        <f t="shared" ca="1" si="236"/>
        <v>221</v>
      </c>
      <c r="E2159" s="2">
        <f t="shared" ca="1" si="237"/>
        <v>8737</v>
      </c>
      <c r="F2159" s="2">
        <f t="shared" ca="1" si="238"/>
        <v>12689</v>
      </c>
      <c r="G2159" s="2">
        <f t="shared" ca="1" si="239"/>
        <v>794</v>
      </c>
    </row>
    <row r="2160" spans="1:7" x14ac:dyDescent="0.3">
      <c r="A2160" s="5" t="str">
        <f t="shared" si="240"/>
        <v>Reebok</v>
      </c>
      <c r="B2160" s="5" t="str">
        <f t="shared" si="235"/>
        <v>Question Mid</v>
      </c>
      <c r="C2160" s="3">
        <f t="shared" si="241"/>
        <v>45801</v>
      </c>
      <c r="D2160" s="4">
        <f t="shared" ca="1" si="236"/>
        <v>43</v>
      </c>
      <c r="E2160" s="2">
        <f t="shared" ca="1" si="237"/>
        <v>9394</v>
      </c>
      <c r="F2160" s="2">
        <f t="shared" ca="1" si="238"/>
        <v>6003</v>
      </c>
      <c r="G2160" s="2">
        <f t="shared" ca="1" si="239"/>
        <v>227</v>
      </c>
    </row>
    <row r="2161" spans="1:7" x14ac:dyDescent="0.3">
      <c r="A2161" s="5" t="str">
        <f t="shared" si="240"/>
        <v>Nike</v>
      </c>
      <c r="B2161" s="5" t="str">
        <f t="shared" si="235"/>
        <v>Air Max 270</v>
      </c>
      <c r="C2161" s="3">
        <f t="shared" si="241"/>
        <v>45801</v>
      </c>
      <c r="D2161" s="4">
        <f t="shared" ca="1" si="236"/>
        <v>92</v>
      </c>
      <c r="E2161" s="2">
        <f t="shared" ca="1" si="237"/>
        <v>6189</v>
      </c>
      <c r="F2161" s="2">
        <f t="shared" ca="1" si="238"/>
        <v>14810</v>
      </c>
      <c r="G2161" s="2">
        <f t="shared" ca="1" si="239"/>
        <v>947</v>
      </c>
    </row>
    <row r="2162" spans="1:7" x14ac:dyDescent="0.3">
      <c r="A2162" s="5" t="str">
        <f t="shared" si="240"/>
        <v>Adidas</v>
      </c>
      <c r="B2162" s="5" t="str">
        <f t="shared" si="235"/>
        <v>Stan Smith</v>
      </c>
      <c r="C2162" s="3">
        <f t="shared" si="241"/>
        <v>45802</v>
      </c>
      <c r="D2162" s="4">
        <f t="shared" ca="1" si="236"/>
        <v>94</v>
      </c>
      <c r="E2162" s="2">
        <f t="shared" ca="1" si="237"/>
        <v>8531</v>
      </c>
      <c r="F2162" s="2">
        <f t="shared" ca="1" si="238"/>
        <v>5851</v>
      </c>
      <c r="G2162" s="2">
        <f t="shared" ca="1" si="239"/>
        <v>322</v>
      </c>
    </row>
    <row r="2163" spans="1:7" x14ac:dyDescent="0.3">
      <c r="A2163" s="5" t="str">
        <f t="shared" si="240"/>
        <v>Puma</v>
      </c>
      <c r="B2163" s="5" t="str">
        <f t="shared" si="235"/>
        <v>Cali Dream</v>
      </c>
      <c r="C2163" s="3">
        <f t="shared" si="241"/>
        <v>45802</v>
      </c>
      <c r="D2163" s="4">
        <f t="shared" ca="1" si="236"/>
        <v>50</v>
      </c>
      <c r="E2163" s="2">
        <f t="shared" ca="1" si="237"/>
        <v>4376</v>
      </c>
      <c r="F2163" s="2">
        <f t="shared" ca="1" si="238"/>
        <v>6226</v>
      </c>
      <c r="G2163" s="2">
        <f t="shared" ca="1" si="239"/>
        <v>142</v>
      </c>
    </row>
    <row r="2164" spans="1:7" x14ac:dyDescent="0.3">
      <c r="A2164" s="5" t="str">
        <f t="shared" si="240"/>
        <v>New Balance</v>
      </c>
      <c r="B2164" s="5" t="str">
        <f t="shared" si="235"/>
        <v>9060</v>
      </c>
      <c r="C2164" s="3">
        <f t="shared" si="241"/>
        <v>45802</v>
      </c>
      <c r="D2164" s="4">
        <f t="shared" ca="1" si="236"/>
        <v>190</v>
      </c>
      <c r="E2164" s="2">
        <f t="shared" ca="1" si="237"/>
        <v>11168</v>
      </c>
      <c r="F2164" s="2">
        <f t="shared" ca="1" si="238"/>
        <v>13450</v>
      </c>
      <c r="G2164" s="2">
        <f t="shared" ca="1" si="239"/>
        <v>271</v>
      </c>
    </row>
    <row r="2165" spans="1:7" x14ac:dyDescent="0.3">
      <c r="A2165" s="5" t="str">
        <f t="shared" si="240"/>
        <v>Reebok</v>
      </c>
      <c r="B2165" s="5" t="str">
        <f t="shared" si="235"/>
        <v>Zig Kinetica</v>
      </c>
      <c r="C2165" s="3">
        <f t="shared" si="241"/>
        <v>45802</v>
      </c>
      <c r="D2165" s="4">
        <f t="shared" ca="1" si="236"/>
        <v>144</v>
      </c>
      <c r="E2165" s="2">
        <f t="shared" ca="1" si="237"/>
        <v>9968</v>
      </c>
      <c r="F2165" s="2">
        <f t="shared" ca="1" si="238"/>
        <v>24652</v>
      </c>
      <c r="G2165" s="2">
        <f t="shared" ca="1" si="239"/>
        <v>1062</v>
      </c>
    </row>
    <row r="2166" spans="1:7" x14ac:dyDescent="0.3">
      <c r="A2166" s="5" t="str">
        <f t="shared" si="240"/>
        <v>Nike</v>
      </c>
      <c r="B2166" s="5" t="str">
        <f t="shared" si="235"/>
        <v>Jordan 1</v>
      </c>
      <c r="C2166" s="3">
        <f t="shared" si="241"/>
        <v>45802</v>
      </c>
      <c r="D2166" s="4">
        <f t="shared" ca="1" si="236"/>
        <v>46</v>
      </c>
      <c r="E2166" s="2">
        <f t="shared" ca="1" si="237"/>
        <v>1877</v>
      </c>
      <c r="F2166" s="2">
        <f t="shared" ca="1" si="238"/>
        <v>16205</v>
      </c>
      <c r="G2166" s="2">
        <f t="shared" ca="1" si="239"/>
        <v>1239</v>
      </c>
    </row>
    <row r="2167" spans="1:7" x14ac:dyDescent="0.3">
      <c r="A2167" s="5" t="str">
        <f t="shared" si="240"/>
        <v>Adidas</v>
      </c>
      <c r="B2167" s="5" t="str">
        <f t="shared" si="235"/>
        <v>Ultraboost 23</v>
      </c>
      <c r="C2167" s="3">
        <f t="shared" si="241"/>
        <v>45802</v>
      </c>
      <c r="D2167" s="4">
        <f t="shared" ca="1" si="236"/>
        <v>86</v>
      </c>
      <c r="E2167" s="2">
        <f t="shared" ca="1" si="237"/>
        <v>9016</v>
      </c>
      <c r="F2167" s="2">
        <f t="shared" ca="1" si="238"/>
        <v>10391</v>
      </c>
      <c r="G2167" s="2">
        <f t="shared" ca="1" si="239"/>
        <v>385</v>
      </c>
    </row>
    <row r="2168" spans="1:7" x14ac:dyDescent="0.3">
      <c r="A2168" s="5" t="str">
        <f t="shared" si="240"/>
        <v>Puma</v>
      </c>
      <c r="B2168" s="5" t="str">
        <f t="shared" si="235"/>
        <v>RS-X</v>
      </c>
      <c r="C2168" s="3">
        <f t="shared" si="241"/>
        <v>45802</v>
      </c>
      <c r="D2168" s="4">
        <f t="shared" ca="1" si="236"/>
        <v>135</v>
      </c>
      <c r="E2168" s="2">
        <f t="shared" ca="1" si="237"/>
        <v>11661</v>
      </c>
      <c r="F2168" s="2">
        <f t="shared" ca="1" si="238"/>
        <v>34853</v>
      </c>
      <c r="G2168" s="2">
        <f t="shared" ca="1" si="239"/>
        <v>1127</v>
      </c>
    </row>
    <row r="2169" spans="1:7" x14ac:dyDescent="0.3">
      <c r="A2169" s="5" t="str">
        <f t="shared" si="240"/>
        <v>New Balance</v>
      </c>
      <c r="B2169" s="5" t="str">
        <f t="shared" si="235"/>
        <v>2002R</v>
      </c>
      <c r="C2169" s="3">
        <f t="shared" si="241"/>
        <v>45802</v>
      </c>
      <c r="D2169" s="4">
        <f t="shared" ca="1" si="236"/>
        <v>239</v>
      </c>
      <c r="E2169" s="2">
        <f t="shared" ca="1" si="237"/>
        <v>6025</v>
      </c>
      <c r="F2169" s="2">
        <f t="shared" ca="1" si="238"/>
        <v>9889</v>
      </c>
      <c r="G2169" s="2">
        <f t="shared" ca="1" si="239"/>
        <v>231</v>
      </c>
    </row>
    <row r="2170" spans="1:7" x14ac:dyDescent="0.3">
      <c r="A2170" s="5" t="str">
        <f t="shared" si="240"/>
        <v>Reebok</v>
      </c>
      <c r="B2170" s="5" t="str">
        <f t="shared" si="235"/>
        <v>Instapump Fury</v>
      </c>
      <c r="C2170" s="3">
        <f t="shared" si="241"/>
        <v>45802</v>
      </c>
      <c r="D2170" s="4">
        <f t="shared" ca="1" si="236"/>
        <v>199</v>
      </c>
      <c r="E2170" s="2">
        <f t="shared" ca="1" si="237"/>
        <v>11205</v>
      </c>
      <c r="F2170" s="2">
        <f t="shared" ca="1" si="238"/>
        <v>5155</v>
      </c>
      <c r="G2170" s="2">
        <f t="shared" ca="1" si="239"/>
        <v>120</v>
      </c>
    </row>
    <row r="2171" spans="1:7" x14ac:dyDescent="0.3">
      <c r="A2171" s="5" t="str">
        <f t="shared" si="240"/>
        <v>Nike</v>
      </c>
      <c r="B2171" s="5" t="str">
        <f t="shared" si="235"/>
        <v>Cortez</v>
      </c>
      <c r="C2171" s="3">
        <f t="shared" si="241"/>
        <v>45802</v>
      </c>
      <c r="D2171" s="4">
        <f t="shared" ca="1" si="236"/>
        <v>216</v>
      </c>
      <c r="E2171" s="2">
        <f t="shared" ca="1" si="237"/>
        <v>8843</v>
      </c>
      <c r="F2171" s="2">
        <f t="shared" ca="1" si="238"/>
        <v>20069</v>
      </c>
      <c r="G2171" s="2">
        <f t="shared" ca="1" si="239"/>
        <v>1311</v>
      </c>
    </row>
    <row r="2172" spans="1:7" x14ac:dyDescent="0.3">
      <c r="A2172" s="5" t="str">
        <f t="shared" si="240"/>
        <v>Adidas</v>
      </c>
      <c r="B2172" s="5" t="str">
        <f t="shared" si="235"/>
        <v>NMD S1</v>
      </c>
      <c r="C2172" s="3">
        <f t="shared" si="241"/>
        <v>45802</v>
      </c>
      <c r="D2172" s="4">
        <f t="shared" ca="1" si="236"/>
        <v>206</v>
      </c>
      <c r="E2172" s="2">
        <f t="shared" ca="1" si="237"/>
        <v>9276</v>
      </c>
      <c r="F2172" s="2">
        <f t="shared" ca="1" si="238"/>
        <v>10948</v>
      </c>
      <c r="G2172" s="2">
        <f t="shared" ca="1" si="239"/>
        <v>435</v>
      </c>
    </row>
    <row r="2173" spans="1:7" x14ac:dyDescent="0.3">
      <c r="A2173" s="5" t="str">
        <f t="shared" si="240"/>
        <v>Puma</v>
      </c>
      <c r="B2173" s="5" t="str">
        <f t="shared" si="235"/>
        <v>Suede Classic</v>
      </c>
      <c r="C2173" s="3">
        <f t="shared" si="241"/>
        <v>45802</v>
      </c>
      <c r="D2173" s="4">
        <f t="shared" ca="1" si="236"/>
        <v>157</v>
      </c>
      <c r="E2173" s="2">
        <f t="shared" ca="1" si="237"/>
        <v>5719</v>
      </c>
      <c r="F2173" s="2">
        <f t="shared" ca="1" si="238"/>
        <v>15653</v>
      </c>
      <c r="G2173" s="2">
        <f t="shared" ca="1" si="239"/>
        <v>978</v>
      </c>
    </row>
    <row r="2174" spans="1:7" x14ac:dyDescent="0.3">
      <c r="A2174" s="5" t="str">
        <f t="shared" si="240"/>
        <v>New Balance</v>
      </c>
      <c r="B2174" s="5" t="str">
        <f t="shared" si="235"/>
        <v>990v6</v>
      </c>
      <c r="C2174" s="3">
        <f t="shared" si="241"/>
        <v>45802</v>
      </c>
      <c r="D2174" s="4">
        <f t="shared" ca="1" si="236"/>
        <v>169</v>
      </c>
      <c r="E2174" s="2">
        <f t="shared" ca="1" si="237"/>
        <v>4552</v>
      </c>
      <c r="F2174" s="2">
        <f t="shared" ca="1" si="238"/>
        <v>27233</v>
      </c>
      <c r="G2174" s="2">
        <f t="shared" ca="1" si="239"/>
        <v>1283</v>
      </c>
    </row>
    <row r="2175" spans="1:7" x14ac:dyDescent="0.3">
      <c r="A2175" s="5" t="str">
        <f t="shared" si="240"/>
        <v>Reebok</v>
      </c>
      <c r="B2175" s="5" t="str">
        <f t="shared" si="235"/>
        <v>Nano X3</v>
      </c>
      <c r="C2175" s="3">
        <f t="shared" si="241"/>
        <v>45802</v>
      </c>
      <c r="D2175" s="4">
        <f t="shared" ca="1" si="236"/>
        <v>145</v>
      </c>
      <c r="E2175" s="2">
        <f t="shared" ca="1" si="237"/>
        <v>8215</v>
      </c>
      <c r="F2175" s="2">
        <f t="shared" ca="1" si="238"/>
        <v>13646</v>
      </c>
      <c r="G2175" s="2">
        <f t="shared" ca="1" si="239"/>
        <v>889</v>
      </c>
    </row>
    <row r="2176" spans="1:7" x14ac:dyDescent="0.3">
      <c r="A2176" s="5" t="str">
        <f t="shared" si="240"/>
        <v>Nike</v>
      </c>
      <c r="B2176" s="5" t="str">
        <f t="shared" si="235"/>
        <v>Vaporfly 3</v>
      </c>
      <c r="C2176" s="3">
        <f t="shared" si="241"/>
        <v>45802</v>
      </c>
      <c r="D2176" s="4">
        <f t="shared" ca="1" si="236"/>
        <v>239</v>
      </c>
      <c r="E2176" s="2">
        <f t="shared" ca="1" si="237"/>
        <v>5822</v>
      </c>
      <c r="F2176" s="2">
        <f t="shared" ca="1" si="238"/>
        <v>9573</v>
      </c>
      <c r="G2176" s="2">
        <f t="shared" ca="1" si="239"/>
        <v>736</v>
      </c>
    </row>
    <row r="2177" spans="1:7" x14ac:dyDescent="0.3">
      <c r="A2177" s="5" t="str">
        <f t="shared" si="240"/>
        <v>Adidas</v>
      </c>
      <c r="B2177" s="5" t="str">
        <f t="shared" si="235"/>
        <v>Samba</v>
      </c>
      <c r="C2177" s="3">
        <f t="shared" si="241"/>
        <v>45803</v>
      </c>
      <c r="D2177" s="4">
        <f t="shared" ca="1" si="236"/>
        <v>230</v>
      </c>
      <c r="E2177" s="2">
        <f t="shared" ca="1" si="237"/>
        <v>10970</v>
      </c>
      <c r="F2177" s="2">
        <f t="shared" ca="1" si="238"/>
        <v>28664</v>
      </c>
      <c r="G2177" s="2">
        <f t="shared" ca="1" si="239"/>
        <v>2080</v>
      </c>
    </row>
    <row r="2178" spans="1:7" x14ac:dyDescent="0.3">
      <c r="A2178" s="5" t="str">
        <f t="shared" si="240"/>
        <v>Puma</v>
      </c>
      <c r="B2178" s="5" t="str">
        <f t="shared" si="235"/>
        <v>Mayze</v>
      </c>
      <c r="C2178" s="3">
        <f t="shared" si="241"/>
        <v>45803</v>
      </c>
      <c r="D2178" s="4">
        <f t="shared" ca="1" si="236"/>
        <v>95</v>
      </c>
      <c r="E2178" s="2">
        <f t="shared" ca="1" si="237"/>
        <v>4190</v>
      </c>
      <c r="F2178" s="2">
        <f t="shared" ca="1" si="238"/>
        <v>20328</v>
      </c>
      <c r="G2178" s="2">
        <f t="shared" ca="1" si="239"/>
        <v>1297</v>
      </c>
    </row>
    <row r="2179" spans="1:7" x14ac:dyDescent="0.3">
      <c r="A2179" s="5" t="str">
        <f t="shared" si="240"/>
        <v>New Balance</v>
      </c>
      <c r="B2179" s="5" t="str">
        <f t="shared" ref="B2179:B2242" si="242">IF(A2179="Nike",CHOOSE(MOD(ROW(A2178),6)+1,"Air Max 270","Air Force 1","Pegasus 40","Vaporfly 3","Cortez","Jordan 1"),
 IF(A2179="Adidas",CHOOSE(MOD(ROW(A2178),6)+1,"Ultraboost 23","Stan Smith","Superstar","Gazelle","Samba","NMD S1"),
 IF(A2179="Puma",CHOOSE(MOD(ROW(A2178),6)+1,"Suede Classic","RS-X","Cali Dream","Rider Vintage","Slipstream","Mayze"),
 IF(A2179="New Balance",CHOOSE(MOD(ROW(A2178),6)+1,"574 Core","990v6","2002R","9060","327","550"),
 IF(A2179="Reebok",CHOOSE(MOD(ROW(A2178),6)+1,"Classic Leather","Club C 85","Nano X3","Instapump Fury","Zig Kinetica","Question Mid"),"")))))</f>
        <v>574 Core</v>
      </c>
      <c r="C2179" s="3">
        <f t="shared" si="241"/>
        <v>45803</v>
      </c>
      <c r="D2179" s="4">
        <f t="shared" ref="D2179:D2242" ca="1" si="243">RANDBETWEEN(20,250)</f>
        <v>166</v>
      </c>
      <c r="E2179" s="2">
        <f t="shared" ref="E2179:E2242" ca="1" si="244">ROUND(RANDBETWEEN(1500,12000)+(RANDBETWEEN(-200,200)),2)</f>
        <v>6925</v>
      </c>
      <c r="F2179" s="2">
        <f t="shared" ref="F2179:F2242" ca="1" si="245">RANDBETWEEN(5000,35000)</f>
        <v>12414</v>
      </c>
      <c r="G2179" s="2">
        <f t="shared" ref="G2179:G2242" ca="1" si="246">RANDBETWEEN(ROUND(F2179*0.02,0),ROUND(F2179*0.08,0))</f>
        <v>356</v>
      </c>
    </row>
    <row r="2180" spans="1:7" x14ac:dyDescent="0.3">
      <c r="A2180" s="5" t="str">
        <f t="shared" si="240"/>
        <v>Reebok</v>
      </c>
      <c r="B2180" s="5" t="str">
        <f t="shared" si="242"/>
        <v>Club C 85</v>
      </c>
      <c r="C2180" s="3">
        <f t="shared" si="241"/>
        <v>45803</v>
      </c>
      <c r="D2180" s="4">
        <f t="shared" ca="1" si="243"/>
        <v>194</v>
      </c>
      <c r="E2180" s="2">
        <f t="shared" ca="1" si="244"/>
        <v>11004</v>
      </c>
      <c r="F2180" s="2">
        <f t="shared" ca="1" si="245"/>
        <v>18197</v>
      </c>
      <c r="G2180" s="2">
        <f t="shared" ca="1" si="246"/>
        <v>741</v>
      </c>
    </row>
    <row r="2181" spans="1:7" x14ac:dyDescent="0.3">
      <c r="A2181" s="5" t="str">
        <f t="shared" si="240"/>
        <v>Nike</v>
      </c>
      <c r="B2181" s="5" t="str">
        <f t="shared" si="242"/>
        <v>Pegasus 40</v>
      </c>
      <c r="C2181" s="3">
        <f t="shared" si="241"/>
        <v>45803</v>
      </c>
      <c r="D2181" s="4">
        <f t="shared" ca="1" si="243"/>
        <v>159</v>
      </c>
      <c r="E2181" s="2">
        <f t="shared" ca="1" si="244"/>
        <v>10649</v>
      </c>
      <c r="F2181" s="2">
        <f t="shared" ca="1" si="245"/>
        <v>9818</v>
      </c>
      <c r="G2181" s="2">
        <f t="shared" ca="1" si="246"/>
        <v>525</v>
      </c>
    </row>
    <row r="2182" spans="1:7" x14ac:dyDescent="0.3">
      <c r="A2182" s="5" t="str">
        <f t="shared" si="240"/>
        <v>Adidas</v>
      </c>
      <c r="B2182" s="5" t="str">
        <f t="shared" si="242"/>
        <v>Gazelle</v>
      </c>
      <c r="C2182" s="3">
        <f t="shared" si="241"/>
        <v>45803</v>
      </c>
      <c r="D2182" s="4">
        <f t="shared" ca="1" si="243"/>
        <v>200</v>
      </c>
      <c r="E2182" s="2">
        <f t="shared" ca="1" si="244"/>
        <v>6577</v>
      </c>
      <c r="F2182" s="2">
        <f t="shared" ca="1" si="245"/>
        <v>18973</v>
      </c>
      <c r="G2182" s="2">
        <f t="shared" ca="1" si="246"/>
        <v>1029</v>
      </c>
    </row>
    <row r="2183" spans="1:7" x14ac:dyDescent="0.3">
      <c r="A2183" s="5" t="str">
        <f t="shared" si="240"/>
        <v>Puma</v>
      </c>
      <c r="B2183" s="5" t="str">
        <f t="shared" si="242"/>
        <v>Slipstream</v>
      </c>
      <c r="C2183" s="3">
        <f t="shared" si="241"/>
        <v>45803</v>
      </c>
      <c r="D2183" s="4">
        <f t="shared" ca="1" si="243"/>
        <v>54</v>
      </c>
      <c r="E2183" s="2">
        <f t="shared" ca="1" si="244"/>
        <v>5046</v>
      </c>
      <c r="F2183" s="2">
        <f t="shared" ca="1" si="245"/>
        <v>31159</v>
      </c>
      <c r="G2183" s="2">
        <f t="shared" ca="1" si="246"/>
        <v>2362</v>
      </c>
    </row>
    <row r="2184" spans="1:7" x14ac:dyDescent="0.3">
      <c r="A2184" s="5" t="str">
        <f t="shared" si="240"/>
        <v>New Balance</v>
      </c>
      <c r="B2184" s="5" t="str">
        <f t="shared" si="242"/>
        <v>550</v>
      </c>
      <c r="C2184" s="3">
        <f t="shared" si="241"/>
        <v>45803</v>
      </c>
      <c r="D2184" s="4">
        <f t="shared" ca="1" si="243"/>
        <v>124</v>
      </c>
      <c r="E2184" s="2">
        <f t="shared" ca="1" si="244"/>
        <v>7134</v>
      </c>
      <c r="F2184" s="2">
        <f t="shared" ca="1" si="245"/>
        <v>17545</v>
      </c>
      <c r="G2184" s="2">
        <f t="shared" ca="1" si="246"/>
        <v>1046</v>
      </c>
    </row>
    <row r="2185" spans="1:7" x14ac:dyDescent="0.3">
      <c r="A2185" s="5" t="str">
        <f t="shared" si="240"/>
        <v>Reebok</v>
      </c>
      <c r="B2185" s="5" t="str">
        <f t="shared" si="242"/>
        <v>Classic Leather</v>
      </c>
      <c r="C2185" s="3">
        <f t="shared" si="241"/>
        <v>45803</v>
      </c>
      <c r="D2185" s="4">
        <f t="shared" ca="1" si="243"/>
        <v>108</v>
      </c>
      <c r="E2185" s="2">
        <f t="shared" ca="1" si="244"/>
        <v>5538</v>
      </c>
      <c r="F2185" s="2">
        <f t="shared" ca="1" si="245"/>
        <v>30394</v>
      </c>
      <c r="G2185" s="2">
        <f t="shared" ca="1" si="246"/>
        <v>1882</v>
      </c>
    </row>
    <row r="2186" spans="1:7" x14ac:dyDescent="0.3">
      <c r="A2186" s="5" t="str">
        <f t="shared" si="240"/>
        <v>Nike</v>
      </c>
      <c r="B2186" s="5" t="str">
        <f t="shared" si="242"/>
        <v>Air Force 1</v>
      </c>
      <c r="C2186" s="3">
        <f t="shared" si="241"/>
        <v>45803</v>
      </c>
      <c r="D2186" s="4">
        <f t="shared" ca="1" si="243"/>
        <v>132</v>
      </c>
      <c r="E2186" s="2">
        <f t="shared" ca="1" si="244"/>
        <v>3463</v>
      </c>
      <c r="F2186" s="2">
        <f t="shared" ca="1" si="245"/>
        <v>19779</v>
      </c>
      <c r="G2186" s="2">
        <f t="shared" ca="1" si="246"/>
        <v>1524</v>
      </c>
    </row>
    <row r="2187" spans="1:7" x14ac:dyDescent="0.3">
      <c r="A2187" s="5" t="str">
        <f t="shared" si="240"/>
        <v>Adidas</v>
      </c>
      <c r="B2187" s="5" t="str">
        <f t="shared" si="242"/>
        <v>Superstar</v>
      </c>
      <c r="C2187" s="3">
        <f t="shared" si="241"/>
        <v>45803</v>
      </c>
      <c r="D2187" s="4">
        <f t="shared" ca="1" si="243"/>
        <v>63</v>
      </c>
      <c r="E2187" s="2">
        <f t="shared" ca="1" si="244"/>
        <v>2498</v>
      </c>
      <c r="F2187" s="2">
        <f t="shared" ca="1" si="245"/>
        <v>30057</v>
      </c>
      <c r="G2187" s="2">
        <f t="shared" ca="1" si="246"/>
        <v>1469</v>
      </c>
    </row>
    <row r="2188" spans="1:7" x14ac:dyDescent="0.3">
      <c r="A2188" s="5" t="str">
        <f t="shared" si="240"/>
        <v>Puma</v>
      </c>
      <c r="B2188" s="5" t="str">
        <f t="shared" si="242"/>
        <v>Rider Vintage</v>
      </c>
      <c r="C2188" s="3">
        <f t="shared" si="241"/>
        <v>45803</v>
      </c>
      <c r="D2188" s="4">
        <f t="shared" ca="1" si="243"/>
        <v>111</v>
      </c>
      <c r="E2188" s="2">
        <f t="shared" ca="1" si="244"/>
        <v>5370</v>
      </c>
      <c r="F2188" s="2">
        <f t="shared" ca="1" si="245"/>
        <v>33817</v>
      </c>
      <c r="G2188" s="2">
        <f t="shared" ca="1" si="246"/>
        <v>2644</v>
      </c>
    </row>
    <row r="2189" spans="1:7" x14ac:dyDescent="0.3">
      <c r="A2189" s="5" t="str">
        <f t="shared" si="240"/>
        <v>New Balance</v>
      </c>
      <c r="B2189" s="5" t="str">
        <f t="shared" si="242"/>
        <v>327</v>
      </c>
      <c r="C2189" s="3">
        <f t="shared" si="241"/>
        <v>45803</v>
      </c>
      <c r="D2189" s="4">
        <f t="shared" ca="1" si="243"/>
        <v>147</v>
      </c>
      <c r="E2189" s="2">
        <f t="shared" ca="1" si="244"/>
        <v>9302</v>
      </c>
      <c r="F2189" s="2">
        <f t="shared" ca="1" si="245"/>
        <v>12828</v>
      </c>
      <c r="G2189" s="2">
        <f t="shared" ca="1" si="246"/>
        <v>978</v>
      </c>
    </row>
    <row r="2190" spans="1:7" x14ac:dyDescent="0.3">
      <c r="A2190" s="5" t="str">
        <f t="shared" si="240"/>
        <v>Reebok</v>
      </c>
      <c r="B2190" s="5" t="str">
        <f t="shared" si="242"/>
        <v>Question Mid</v>
      </c>
      <c r="C2190" s="3">
        <f t="shared" si="241"/>
        <v>45803</v>
      </c>
      <c r="D2190" s="4">
        <f t="shared" ca="1" si="243"/>
        <v>245</v>
      </c>
      <c r="E2190" s="2">
        <f t="shared" ca="1" si="244"/>
        <v>11416</v>
      </c>
      <c r="F2190" s="2">
        <f t="shared" ca="1" si="245"/>
        <v>15410</v>
      </c>
      <c r="G2190" s="2">
        <f t="shared" ca="1" si="246"/>
        <v>487</v>
      </c>
    </row>
    <row r="2191" spans="1:7" x14ac:dyDescent="0.3">
      <c r="A2191" s="5" t="str">
        <f t="shared" si="240"/>
        <v>Nike</v>
      </c>
      <c r="B2191" s="5" t="str">
        <f t="shared" si="242"/>
        <v>Air Max 270</v>
      </c>
      <c r="C2191" s="3">
        <f t="shared" si="241"/>
        <v>45803</v>
      </c>
      <c r="D2191" s="4">
        <f t="shared" ca="1" si="243"/>
        <v>242</v>
      </c>
      <c r="E2191" s="2">
        <f t="shared" ca="1" si="244"/>
        <v>12054</v>
      </c>
      <c r="F2191" s="2">
        <f t="shared" ca="1" si="245"/>
        <v>26252</v>
      </c>
      <c r="G2191" s="2">
        <f t="shared" ca="1" si="246"/>
        <v>1698</v>
      </c>
    </row>
    <row r="2192" spans="1:7" x14ac:dyDescent="0.3">
      <c r="A2192" s="5" t="str">
        <f t="shared" si="240"/>
        <v>Adidas</v>
      </c>
      <c r="B2192" s="5" t="str">
        <f t="shared" si="242"/>
        <v>Stan Smith</v>
      </c>
      <c r="C2192" s="3">
        <f t="shared" si="241"/>
        <v>45804</v>
      </c>
      <c r="D2192" s="4">
        <f t="shared" ca="1" si="243"/>
        <v>83</v>
      </c>
      <c r="E2192" s="2">
        <f t="shared" ca="1" si="244"/>
        <v>9136</v>
      </c>
      <c r="F2192" s="2">
        <f t="shared" ca="1" si="245"/>
        <v>25257</v>
      </c>
      <c r="G2192" s="2">
        <f t="shared" ca="1" si="246"/>
        <v>1976</v>
      </c>
    </row>
    <row r="2193" spans="1:7" x14ac:dyDescent="0.3">
      <c r="A2193" s="5" t="str">
        <f t="shared" si="240"/>
        <v>Puma</v>
      </c>
      <c r="B2193" s="5" t="str">
        <f t="shared" si="242"/>
        <v>Cali Dream</v>
      </c>
      <c r="C2193" s="3">
        <f t="shared" si="241"/>
        <v>45804</v>
      </c>
      <c r="D2193" s="4">
        <f t="shared" ca="1" si="243"/>
        <v>142</v>
      </c>
      <c r="E2193" s="2">
        <f t="shared" ca="1" si="244"/>
        <v>8659</v>
      </c>
      <c r="F2193" s="2">
        <f t="shared" ca="1" si="245"/>
        <v>6193</v>
      </c>
      <c r="G2193" s="2">
        <f t="shared" ca="1" si="246"/>
        <v>183</v>
      </c>
    </row>
    <row r="2194" spans="1:7" x14ac:dyDescent="0.3">
      <c r="A2194" s="5" t="str">
        <f t="shared" si="240"/>
        <v>New Balance</v>
      </c>
      <c r="B2194" s="5" t="str">
        <f t="shared" si="242"/>
        <v>9060</v>
      </c>
      <c r="C2194" s="3">
        <f t="shared" si="241"/>
        <v>45804</v>
      </c>
      <c r="D2194" s="4">
        <f t="shared" ca="1" si="243"/>
        <v>234</v>
      </c>
      <c r="E2194" s="2">
        <f t="shared" ca="1" si="244"/>
        <v>8175</v>
      </c>
      <c r="F2194" s="2">
        <f t="shared" ca="1" si="245"/>
        <v>31706</v>
      </c>
      <c r="G2194" s="2">
        <f t="shared" ca="1" si="246"/>
        <v>2234</v>
      </c>
    </row>
    <row r="2195" spans="1:7" x14ac:dyDescent="0.3">
      <c r="A2195" s="5" t="str">
        <f t="shared" si="240"/>
        <v>Reebok</v>
      </c>
      <c r="B2195" s="5" t="str">
        <f t="shared" si="242"/>
        <v>Zig Kinetica</v>
      </c>
      <c r="C2195" s="3">
        <f t="shared" si="241"/>
        <v>45804</v>
      </c>
      <c r="D2195" s="4">
        <f t="shared" ca="1" si="243"/>
        <v>110</v>
      </c>
      <c r="E2195" s="2">
        <f t="shared" ca="1" si="244"/>
        <v>5511</v>
      </c>
      <c r="F2195" s="2">
        <f t="shared" ca="1" si="245"/>
        <v>28015</v>
      </c>
      <c r="G2195" s="2">
        <f t="shared" ca="1" si="246"/>
        <v>1502</v>
      </c>
    </row>
    <row r="2196" spans="1:7" x14ac:dyDescent="0.3">
      <c r="A2196" s="5" t="str">
        <f t="shared" si="240"/>
        <v>Nike</v>
      </c>
      <c r="B2196" s="5" t="str">
        <f t="shared" si="242"/>
        <v>Jordan 1</v>
      </c>
      <c r="C2196" s="3">
        <f t="shared" si="241"/>
        <v>45804</v>
      </c>
      <c r="D2196" s="4">
        <f t="shared" ca="1" si="243"/>
        <v>112</v>
      </c>
      <c r="E2196" s="2">
        <f t="shared" ca="1" si="244"/>
        <v>8458</v>
      </c>
      <c r="F2196" s="2">
        <f t="shared" ca="1" si="245"/>
        <v>34318</v>
      </c>
      <c r="G2196" s="2">
        <f t="shared" ca="1" si="246"/>
        <v>1555</v>
      </c>
    </row>
    <row r="2197" spans="1:7" x14ac:dyDescent="0.3">
      <c r="A2197" s="5" t="str">
        <f t="shared" si="240"/>
        <v>Adidas</v>
      </c>
      <c r="B2197" s="5" t="str">
        <f t="shared" si="242"/>
        <v>Ultraboost 23</v>
      </c>
      <c r="C2197" s="3">
        <f t="shared" si="241"/>
        <v>45804</v>
      </c>
      <c r="D2197" s="4">
        <f t="shared" ca="1" si="243"/>
        <v>210</v>
      </c>
      <c r="E2197" s="2">
        <f t="shared" ca="1" si="244"/>
        <v>2907</v>
      </c>
      <c r="F2197" s="2">
        <f t="shared" ca="1" si="245"/>
        <v>28239</v>
      </c>
      <c r="G2197" s="2">
        <f t="shared" ca="1" si="246"/>
        <v>1741</v>
      </c>
    </row>
    <row r="2198" spans="1:7" x14ac:dyDescent="0.3">
      <c r="A2198" s="5" t="str">
        <f t="shared" si="240"/>
        <v>Puma</v>
      </c>
      <c r="B2198" s="5" t="str">
        <f t="shared" si="242"/>
        <v>RS-X</v>
      </c>
      <c r="C2198" s="3">
        <f t="shared" si="241"/>
        <v>45804</v>
      </c>
      <c r="D2198" s="4">
        <f t="shared" ca="1" si="243"/>
        <v>52</v>
      </c>
      <c r="E2198" s="2">
        <f t="shared" ca="1" si="244"/>
        <v>10241</v>
      </c>
      <c r="F2198" s="2">
        <f t="shared" ca="1" si="245"/>
        <v>26724</v>
      </c>
      <c r="G2198" s="2">
        <f t="shared" ca="1" si="246"/>
        <v>982</v>
      </c>
    </row>
    <row r="2199" spans="1:7" x14ac:dyDescent="0.3">
      <c r="A2199" s="5" t="str">
        <f t="shared" si="240"/>
        <v>New Balance</v>
      </c>
      <c r="B2199" s="5" t="str">
        <f t="shared" si="242"/>
        <v>2002R</v>
      </c>
      <c r="C2199" s="3">
        <f t="shared" si="241"/>
        <v>45804</v>
      </c>
      <c r="D2199" s="4">
        <f t="shared" ca="1" si="243"/>
        <v>184</v>
      </c>
      <c r="E2199" s="2">
        <f t="shared" ca="1" si="244"/>
        <v>9620</v>
      </c>
      <c r="F2199" s="2">
        <f t="shared" ca="1" si="245"/>
        <v>25913</v>
      </c>
      <c r="G2199" s="2">
        <f t="shared" ca="1" si="246"/>
        <v>1566</v>
      </c>
    </row>
    <row r="2200" spans="1:7" x14ac:dyDescent="0.3">
      <c r="A2200" s="5" t="str">
        <f t="shared" si="240"/>
        <v>Reebok</v>
      </c>
      <c r="B2200" s="5" t="str">
        <f t="shared" si="242"/>
        <v>Instapump Fury</v>
      </c>
      <c r="C2200" s="3">
        <f t="shared" si="241"/>
        <v>45804</v>
      </c>
      <c r="D2200" s="4">
        <f t="shared" ca="1" si="243"/>
        <v>115</v>
      </c>
      <c r="E2200" s="2">
        <f t="shared" ca="1" si="244"/>
        <v>8830</v>
      </c>
      <c r="F2200" s="2">
        <f t="shared" ca="1" si="245"/>
        <v>6418</v>
      </c>
      <c r="G2200" s="2">
        <f t="shared" ca="1" si="246"/>
        <v>343</v>
      </c>
    </row>
    <row r="2201" spans="1:7" x14ac:dyDescent="0.3">
      <c r="A2201" s="5" t="str">
        <f t="shared" si="240"/>
        <v>Nike</v>
      </c>
      <c r="B2201" s="5" t="str">
        <f t="shared" si="242"/>
        <v>Cortez</v>
      </c>
      <c r="C2201" s="3">
        <f t="shared" si="241"/>
        <v>45804</v>
      </c>
      <c r="D2201" s="4">
        <f t="shared" ca="1" si="243"/>
        <v>162</v>
      </c>
      <c r="E2201" s="2">
        <f t="shared" ca="1" si="244"/>
        <v>4080</v>
      </c>
      <c r="F2201" s="2">
        <f t="shared" ca="1" si="245"/>
        <v>11306</v>
      </c>
      <c r="G2201" s="2">
        <f t="shared" ca="1" si="246"/>
        <v>397</v>
      </c>
    </row>
    <row r="2202" spans="1:7" x14ac:dyDescent="0.3">
      <c r="A2202" s="5" t="str">
        <f t="shared" si="240"/>
        <v>Adidas</v>
      </c>
      <c r="B2202" s="5" t="str">
        <f t="shared" si="242"/>
        <v>NMD S1</v>
      </c>
      <c r="C2202" s="3">
        <f t="shared" si="241"/>
        <v>45804</v>
      </c>
      <c r="D2202" s="4">
        <f t="shared" ca="1" si="243"/>
        <v>42</v>
      </c>
      <c r="E2202" s="2">
        <f t="shared" ca="1" si="244"/>
        <v>2443</v>
      </c>
      <c r="F2202" s="2">
        <f t="shared" ca="1" si="245"/>
        <v>9313</v>
      </c>
      <c r="G2202" s="2">
        <f t="shared" ca="1" si="246"/>
        <v>602</v>
      </c>
    </row>
    <row r="2203" spans="1:7" x14ac:dyDescent="0.3">
      <c r="A2203" s="5" t="str">
        <f t="shared" si="240"/>
        <v>Puma</v>
      </c>
      <c r="B2203" s="5" t="str">
        <f t="shared" si="242"/>
        <v>Suede Classic</v>
      </c>
      <c r="C2203" s="3">
        <f t="shared" si="241"/>
        <v>45804</v>
      </c>
      <c r="D2203" s="4">
        <f t="shared" ca="1" si="243"/>
        <v>84</v>
      </c>
      <c r="E2203" s="2">
        <f t="shared" ca="1" si="244"/>
        <v>4404</v>
      </c>
      <c r="F2203" s="2">
        <f t="shared" ca="1" si="245"/>
        <v>28114</v>
      </c>
      <c r="G2203" s="2">
        <f t="shared" ca="1" si="246"/>
        <v>860</v>
      </c>
    </row>
    <row r="2204" spans="1:7" x14ac:dyDescent="0.3">
      <c r="A2204" s="5" t="str">
        <f t="shared" si="240"/>
        <v>New Balance</v>
      </c>
      <c r="B2204" s="5" t="str">
        <f t="shared" si="242"/>
        <v>990v6</v>
      </c>
      <c r="C2204" s="3">
        <f t="shared" si="241"/>
        <v>45804</v>
      </c>
      <c r="D2204" s="4">
        <f t="shared" ca="1" si="243"/>
        <v>48</v>
      </c>
      <c r="E2204" s="2">
        <f t="shared" ca="1" si="244"/>
        <v>2833</v>
      </c>
      <c r="F2204" s="2">
        <f t="shared" ca="1" si="245"/>
        <v>33351</v>
      </c>
      <c r="G2204" s="2">
        <f t="shared" ca="1" si="246"/>
        <v>1923</v>
      </c>
    </row>
    <row r="2205" spans="1:7" x14ac:dyDescent="0.3">
      <c r="A2205" s="5" t="str">
        <f t="shared" si="240"/>
        <v>Reebok</v>
      </c>
      <c r="B2205" s="5" t="str">
        <f t="shared" si="242"/>
        <v>Nano X3</v>
      </c>
      <c r="C2205" s="3">
        <f t="shared" si="241"/>
        <v>45804</v>
      </c>
      <c r="D2205" s="4">
        <f t="shared" ca="1" si="243"/>
        <v>191</v>
      </c>
      <c r="E2205" s="2">
        <f t="shared" ca="1" si="244"/>
        <v>6301</v>
      </c>
      <c r="F2205" s="2">
        <f t="shared" ca="1" si="245"/>
        <v>26016</v>
      </c>
      <c r="G2205" s="2">
        <f t="shared" ca="1" si="246"/>
        <v>1181</v>
      </c>
    </row>
    <row r="2206" spans="1:7" x14ac:dyDescent="0.3">
      <c r="A2206" s="5" t="str">
        <f t="shared" si="240"/>
        <v>Nike</v>
      </c>
      <c r="B2206" s="5" t="str">
        <f t="shared" si="242"/>
        <v>Vaporfly 3</v>
      </c>
      <c r="C2206" s="3">
        <f t="shared" si="241"/>
        <v>45804</v>
      </c>
      <c r="D2206" s="4">
        <f t="shared" ca="1" si="243"/>
        <v>166</v>
      </c>
      <c r="E2206" s="2">
        <f t="shared" ca="1" si="244"/>
        <v>8906</v>
      </c>
      <c r="F2206" s="2">
        <f t="shared" ca="1" si="245"/>
        <v>19033</v>
      </c>
      <c r="G2206" s="2">
        <f t="shared" ca="1" si="246"/>
        <v>1222</v>
      </c>
    </row>
    <row r="2207" spans="1:7" x14ac:dyDescent="0.3">
      <c r="A2207" s="5" t="str">
        <f t="shared" si="240"/>
        <v>Adidas</v>
      </c>
      <c r="B2207" s="5" t="str">
        <f t="shared" si="242"/>
        <v>Samba</v>
      </c>
      <c r="C2207" s="3">
        <f t="shared" si="241"/>
        <v>45805</v>
      </c>
      <c r="D2207" s="4">
        <f t="shared" ca="1" si="243"/>
        <v>85</v>
      </c>
      <c r="E2207" s="2">
        <f t="shared" ca="1" si="244"/>
        <v>9912</v>
      </c>
      <c r="F2207" s="2">
        <f t="shared" ca="1" si="245"/>
        <v>28496</v>
      </c>
      <c r="G2207" s="2">
        <f t="shared" ca="1" si="246"/>
        <v>1467</v>
      </c>
    </row>
    <row r="2208" spans="1:7" x14ac:dyDescent="0.3">
      <c r="A2208" s="5" t="str">
        <f t="shared" si="240"/>
        <v>Puma</v>
      </c>
      <c r="B2208" s="5" t="str">
        <f t="shared" si="242"/>
        <v>Mayze</v>
      </c>
      <c r="C2208" s="3">
        <f t="shared" si="241"/>
        <v>45805</v>
      </c>
      <c r="D2208" s="4">
        <f t="shared" ca="1" si="243"/>
        <v>115</v>
      </c>
      <c r="E2208" s="2">
        <f t="shared" ca="1" si="244"/>
        <v>5819</v>
      </c>
      <c r="F2208" s="2">
        <f t="shared" ca="1" si="245"/>
        <v>34606</v>
      </c>
      <c r="G2208" s="2">
        <f t="shared" ca="1" si="246"/>
        <v>1770</v>
      </c>
    </row>
    <row r="2209" spans="1:7" x14ac:dyDescent="0.3">
      <c r="A2209" s="5" t="str">
        <f t="shared" si="240"/>
        <v>New Balance</v>
      </c>
      <c r="B2209" s="5" t="str">
        <f t="shared" si="242"/>
        <v>574 Core</v>
      </c>
      <c r="C2209" s="3">
        <f t="shared" si="241"/>
        <v>45805</v>
      </c>
      <c r="D2209" s="4">
        <f t="shared" ca="1" si="243"/>
        <v>117</v>
      </c>
      <c r="E2209" s="2">
        <f t="shared" ca="1" si="244"/>
        <v>1737</v>
      </c>
      <c r="F2209" s="2">
        <f t="shared" ca="1" si="245"/>
        <v>18453</v>
      </c>
      <c r="G2209" s="2">
        <f t="shared" ca="1" si="246"/>
        <v>742</v>
      </c>
    </row>
    <row r="2210" spans="1:7" x14ac:dyDescent="0.3">
      <c r="A2210" s="5" t="str">
        <f t="shared" si="240"/>
        <v>Reebok</v>
      </c>
      <c r="B2210" s="5" t="str">
        <f t="shared" si="242"/>
        <v>Club C 85</v>
      </c>
      <c r="C2210" s="3">
        <f t="shared" si="241"/>
        <v>45805</v>
      </c>
      <c r="D2210" s="4">
        <f t="shared" ca="1" si="243"/>
        <v>67</v>
      </c>
      <c r="E2210" s="2">
        <f t="shared" ca="1" si="244"/>
        <v>9990</v>
      </c>
      <c r="F2210" s="2">
        <f t="shared" ca="1" si="245"/>
        <v>6649</v>
      </c>
      <c r="G2210" s="2">
        <f t="shared" ca="1" si="246"/>
        <v>245</v>
      </c>
    </row>
    <row r="2211" spans="1:7" x14ac:dyDescent="0.3">
      <c r="A2211" s="5" t="str">
        <f t="shared" si="240"/>
        <v>Nike</v>
      </c>
      <c r="B2211" s="5" t="str">
        <f t="shared" si="242"/>
        <v>Pegasus 40</v>
      </c>
      <c r="C2211" s="3">
        <f t="shared" si="241"/>
        <v>45805</v>
      </c>
      <c r="D2211" s="4">
        <f t="shared" ca="1" si="243"/>
        <v>172</v>
      </c>
      <c r="E2211" s="2">
        <f t="shared" ca="1" si="244"/>
        <v>10287</v>
      </c>
      <c r="F2211" s="2">
        <f t="shared" ca="1" si="245"/>
        <v>24264</v>
      </c>
      <c r="G2211" s="2">
        <f t="shared" ca="1" si="246"/>
        <v>1770</v>
      </c>
    </row>
    <row r="2212" spans="1:7" x14ac:dyDescent="0.3">
      <c r="A2212" s="5" t="str">
        <f t="shared" si="240"/>
        <v>Adidas</v>
      </c>
      <c r="B2212" s="5" t="str">
        <f t="shared" si="242"/>
        <v>Gazelle</v>
      </c>
      <c r="C2212" s="3">
        <f t="shared" si="241"/>
        <v>45805</v>
      </c>
      <c r="D2212" s="4">
        <f t="shared" ca="1" si="243"/>
        <v>63</v>
      </c>
      <c r="E2212" s="2">
        <f t="shared" ca="1" si="244"/>
        <v>8075</v>
      </c>
      <c r="F2212" s="2">
        <f t="shared" ca="1" si="245"/>
        <v>9767</v>
      </c>
      <c r="G2212" s="2">
        <f t="shared" ca="1" si="246"/>
        <v>608</v>
      </c>
    </row>
    <row r="2213" spans="1:7" x14ac:dyDescent="0.3">
      <c r="A2213" s="5" t="str">
        <f t="shared" si="240"/>
        <v>Puma</v>
      </c>
      <c r="B2213" s="5" t="str">
        <f t="shared" si="242"/>
        <v>Slipstream</v>
      </c>
      <c r="C2213" s="3">
        <f t="shared" si="241"/>
        <v>45805</v>
      </c>
      <c r="D2213" s="4">
        <f t="shared" ca="1" si="243"/>
        <v>65</v>
      </c>
      <c r="E2213" s="2">
        <f t="shared" ca="1" si="244"/>
        <v>11010</v>
      </c>
      <c r="F2213" s="2">
        <f t="shared" ca="1" si="245"/>
        <v>7573</v>
      </c>
      <c r="G2213" s="2">
        <f t="shared" ca="1" si="246"/>
        <v>470</v>
      </c>
    </row>
    <row r="2214" spans="1:7" x14ac:dyDescent="0.3">
      <c r="A2214" s="5" t="str">
        <f t="shared" si="240"/>
        <v>New Balance</v>
      </c>
      <c r="B2214" s="5" t="str">
        <f t="shared" si="242"/>
        <v>550</v>
      </c>
      <c r="C2214" s="3">
        <f t="shared" si="241"/>
        <v>45805</v>
      </c>
      <c r="D2214" s="4">
        <f t="shared" ca="1" si="243"/>
        <v>115</v>
      </c>
      <c r="E2214" s="2">
        <f t="shared" ca="1" si="244"/>
        <v>9853</v>
      </c>
      <c r="F2214" s="2">
        <f t="shared" ca="1" si="245"/>
        <v>17479</v>
      </c>
      <c r="G2214" s="2">
        <f t="shared" ca="1" si="246"/>
        <v>452</v>
      </c>
    </row>
    <row r="2215" spans="1:7" x14ac:dyDescent="0.3">
      <c r="A2215" s="5" t="str">
        <f t="shared" si="240"/>
        <v>Reebok</v>
      </c>
      <c r="B2215" s="5" t="str">
        <f t="shared" si="242"/>
        <v>Classic Leather</v>
      </c>
      <c r="C2215" s="3">
        <f t="shared" si="241"/>
        <v>45805</v>
      </c>
      <c r="D2215" s="4">
        <f t="shared" ca="1" si="243"/>
        <v>222</v>
      </c>
      <c r="E2215" s="2">
        <f t="shared" ca="1" si="244"/>
        <v>9708</v>
      </c>
      <c r="F2215" s="2">
        <f t="shared" ca="1" si="245"/>
        <v>24391</v>
      </c>
      <c r="G2215" s="2">
        <f t="shared" ca="1" si="246"/>
        <v>872</v>
      </c>
    </row>
    <row r="2216" spans="1:7" x14ac:dyDescent="0.3">
      <c r="A2216" s="5" t="str">
        <f t="shared" si="240"/>
        <v>Nike</v>
      </c>
      <c r="B2216" s="5" t="str">
        <f t="shared" si="242"/>
        <v>Air Force 1</v>
      </c>
      <c r="C2216" s="3">
        <f t="shared" si="241"/>
        <v>45805</v>
      </c>
      <c r="D2216" s="4">
        <f t="shared" ca="1" si="243"/>
        <v>227</v>
      </c>
      <c r="E2216" s="2">
        <f t="shared" ca="1" si="244"/>
        <v>2172</v>
      </c>
      <c r="F2216" s="2">
        <f t="shared" ca="1" si="245"/>
        <v>20902</v>
      </c>
      <c r="G2216" s="2">
        <f t="shared" ca="1" si="246"/>
        <v>853</v>
      </c>
    </row>
    <row r="2217" spans="1:7" x14ac:dyDescent="0.3">
      <c r="A2217" s="5" t="str">
        <f t="shared" si="240"/>
        <v>Adidas</v>
      </c>
      <c r="B2217" s="5" t="str">
        <f t="shared" si="242"/>
        <v>Superstar</v>
      </c>
      <c r="C2217" s="3">
        <f t="shared" si="241"/>
        <v>45805</v>
      </c>
      <c r="D2217" s="4">
        <f t="shared" ca="1" si="243"/>
        <v>245</v>
      </c>
      <c r="E2217" s="2">
        <f t="shared" ca="1" si="244"/>
        <v>9877</v>
      </c>
      <c r="F2217" s="2">
        <f t="shared" ca="1" si="245"/>
        <v>14445</v>
      </c>
      <c r="G2217" s="2">
        <f t="shared" ca="1" si="246"/>
        <v>773</v>
      </c>
    </row>
    <row r="2218" spans="1:7" x14ac:dyDescent="0.3">
      <c r="A2218" s="5" t="str">
        <f t="shared" si="240"/>
        <v>Puma</v>
      </c>
      <c r="B2218" s="5" t="str">
        <f t="shared" si="242"/>
        <v>Rider Vintage</v>
      </c>
      <c r="C2218" s="3">
        <f t="shared" si="241"/>
        <v>45805</v>
      </c>
      <c r="D2218" s="4">
        <f t="shared" ca="1" si="243"/>
        <v>81</v>
      </c>
      <c r="E2218" s="2">
        <f t="shared" ca="1" si="244"/>
        <v>9791</v>
      </c>
      <c r="F2218" s="2">
        <f t="shared" ca="1" si="245"/>
        <v>26027</v>
      </c>
      <c r="G2218" s="2">
        <f t="shared" ca="1" si="246"/>
        <v>1537</v>
      </c>
    </row>
    <row r="2219" spans="1:7" x14ac:dyDescent="0.3">
      <c r="A2219" s="5" t="str">
        <f t="shared" ref="A2219:A2282" si="247">CHOOSE(MOD(ROW(A2218),5)+1,"Nike","Adidas","Puma","New Balance","Reebok")</f>
        <v>New Balance</v>
      </c>
      <c r="B2219" s="5" t="str">
        <f t="shared" si="242"/>
        <v>327</v>
      </c>
      <c r="C2219" s="3">
        <f t="shared" ref="C2219:C2282" si="248">DATE(2025,1,1)+INT((ROW(A2219)-2)/15)</f>
        <v>45805</v>
      </c>
      <c r="D2219" s="4">
        <f t="shared" ca="1" si="243"/>
        <v>22</v>
      </c>
      <c r="E2219" s="2">
        <f t="shared" ca="1" si="244"/>
        <v>3236</v>
      </c>
      <c r="F2219" s="2">
        <f t="shared" ca="1" si="245"/>
        <v>13451</v>
      </c>
      <c r="G2219" s="2">
        <f t="shared" ca="1" si="246"/>
        <v>793</v>
      </c>
    </row>
    <row r="2220" spans="1:7" x14ac:dyDescent="0.3">
      <c r="A2220" s="5" t="str">
        <f t="shared" si="247"/>
        <v>Reebok</v>
      </c>
      <c r="B2220" s="5" t="str">
        <f t="shared" si="242"/>
        <v>Question Mid</v>
      </c>
      <c r="C2220" s="3">
        <f t="shared" si="248"/>
        <v>45805</v>
      </c>
      <c r="D2220" s="4">
        <f t="shared" ca="1" si="243"/>
        <v>192</v>
      </c>
      <c r="E2220" s="2">
        <f t="shared" ca="1" si="244"/>
        <v>4298</v>
      </c>
      <c r="F2220" s="2">
        <f t="shared" ca="1" si="245"/>
        <v>22468</v>
      </c>
      <c r="G2220" s="2">
        <f t="shared" ca="1" si="246"/>
        <v>1797</v>
      </c>
    </row>
    <row r="2221" spans="1:7" x14ac:dyDescent="0.3">
      <c r="A2221" s="5" t="str">
        <f t="shared" si="247"/>
        <v>Nike</v>
      </c>
      <c r="B2221" s="5" t="str">
        <f t="shared" si="242"/>
        <v>Air Max 270</v>
      </c>
      <c r="C2221" s="3">
        <f t="shared" si="248"/>
        <v>45805</v>
      </c>
      <c r="D2221" s="4">
        <f t="shared" ca="1" si="243"/>
        <v>40</v>
      </c>
      <c r="E2221" s="2">
        <f t="shared" ca="1" si="244"/>
        <v>4921</v>
      </c>
      <c r="F2221" s="2">
        <f t="shared" ca="1" si="245"/>
        <v>31475</v>
      </c>
      <c r="G2221" s="2">
        <f t="shared" ca="1" si="246"/>
        <v>2162</v>
      </c>
    </row>
    <row r="2222" spans="1:7" x14ac:dyDescent="0.3">
      <c r="A2222" s="5" t="str">
        <f t="shared" si="247"/>
        <v>Adidas</v>
      </c>
      <c r="B2222" s="5" t="str">
        <f t="shared" si="242"/>
        <v>Stan Smith</v>
      </c>
      <c r="C2222" s="3">
        <f t="shared" si="248"/>
        <v>45806</v>
      </c>
      <c r="D2222" s="4">
        <f t="shared" ca="1" si="243"/>
        <v>157</v>
      </c>
      <c r="E2222" s="2">
        <f t="shared" ca="1" si="244"/>
        <v>9211</v>
      </c>
      <c r="F2222" s="2">
        <f t="shared" ca="1" si="245"/>
        <v>9742</v>
      </c>
      <c r="G2222" s="2">
        <f t="shared" ca="1" si="246"/>
        <v>520</v>
      </c>
    </row>
    <row r="2223" spans="1:7" x14ac:dyDescent="0.3">
      <c r="A2223" s="5" t="str">
        <f t="shared" si="247"/>
        <v>Puma</v>
      </c>
      <c r="B2223" s="5" t="str">
        <f t="shared" si="242"/>
        <v>Cali Dream</v>
      </c>
      <c r="C2223" s="3">
        <f t="shared" si="248"/>
        <v>45806</v>
      </c>
      <c r="D2223" s="4">
        <f t="shared" ca="1" si="243"/>
        <v>137</v>
      </c>
      <c r="E2223" s="2">
        <f t="shared" ca="1" si="244"/>
        <v>10950</v>
      </c>
      <c r="F2223" s="2">
        <f t="shared" ca="1" si="245"/>
        <v>30764</v>
      </c>
      <c r="G2223" s="2">
        <f t="shared" ca="1" si="246"/>
        <v>758</v>
      </c>
    </row>
    <row r="2224" spans="1:7" x14ac:dyDescent="0.3">
      <c r="A2224" s="5" t="str">
        <f t="shared" si="247"/>
        <v>New Balance</v>
      </c>
      <c r="B2224" s="5" t="str">
        <f t="shared" si="242"/>
        <v>9060</v>
      </c>
      <c r="C2224" s="3">
        <f t="shared" si="248"/>
        <v>45806</v>
      </c>
      <c r="D2224" s="4">
        <f t="shared" ca="1" si="243"/>
        <v>106</v>
      </c>
      <c r="E2224" s="2">
        <f t="shared" ca="1" si="244"/>
        <v>2119</v>
      </c>
      <c r="F2224" s="2">
        <f t="shared" ca="1" si="245"/>
        <v>22512</v>
      </c>
      <c r="G2224" s="2">
        <f t="shared" ca="1" si="246"/>
        <v>1515</v>
      </c>
    </row>
    <row r="2225" spans="1:7" x14ac:dyDescent="0.3">
      <c r="A2225" s="5" t="str">
        <f t="shared" si="247"/>
        <v>Reebok</v>
      </c>
      <c r="B2225" s="5" t="str">
        <f t="shared" si="242"/>
        <v>Zig Kinetica</v>
      </c>
      <c r="C2225" s="3">
        <f t="shared" si="248"/>
        <v>45806</v>
      </c>
      <c r="D2225" s="4">
        <f t="shared" ca="1" si="243"/>
        <v>104</v>
      </c>
      <c r="E2225" s="2">
        <f t="shared" ca="1" si="244"/>
        <v>4772</v>
      </c>
      <c r="F2225" s="2">
        <f t="shared" ca="1" si="245"/>
        <v>17084</v>
      </c>
      <c r="G2225" s="2">
        <f t="shared" ca="1" si="246"/>
        <v>645</v>
      </c>
    </row>
    <row r="2226" spans="1:7" x14ac:dyDescent="0.3">
      <c r="A2226" s="5" t="str">
        <f t="shared" si="247"/>
        <v>Nike</v>
      </c>
      <c r="B2226" s="5" t="str">
        <f t="shared" si="242"/>
        <v>Jordan 1</v>
      </c>
      <c r="C2226" s="3">
        <f t="shared" si="248"/>
        <v>45806</v>
      </c>
      <c r="D2226" s="4">
        <f t="shared" ca="1" si="243"/>
        <v>223</v>
      </c>
      <c r="E2226" s="2">
        <f t="shared" ca="1" si="244"/>
        <v>3124</v>
      </c>
      <c r="F2226" s="2">
        <f t="shared" ca="1" si="245"/>
        <v>26335</v>
      </c>
      <c r="G2226" s="2">
        <f t="shared" ca="1" si="246"/>
        <v>1635</v>
      </c>
    </row>
    <row r="2227" spans="1:7" x14ac:dyDescent="0.3">
      <c r="A2227" s="5" t="str">
        <f t="shared" si="247"/>
        <v>Adidas</v>
      </c>
      <c r="B2227" s="5" t="str">
        <f t="shared" si="242"/>
        <v>Ultraboost 23</v>
      </c>
      <c r="C2227" s="3">
        <f t="shared" si="248"/>
        <v>45806</v>
      </c>
      <c r="D2227" s="4">
        <f t="shared" ca="1" si="243"/>
        <v>146</v>
      </c>
      <c r="E2227" s="2">
        <f t="shared" ca="1" si="244"/>
        <v>7262</v>
      </c>
      <c r="F2227" s="2">
        <f t="shared" ca="1" si="245"/>
        <v>22781</v>
      </c>
      <c r="G2227" s="2">
        <f t="shared" ca="1" si="246"/>
        <v>1784</v>
      </c>
    </row>
    <row r="2228" spans="1:7" x14ac:dyDescent="0.3">
      <c r="A2228" s="5" t="str">
        <f t="shared" si="247"/>
        <v>Puma</v>
      </c>
      <c r="B2228" s="5" t="str">
        <f t="shared" si="242"/>
        <v>RS-X</v>
      </c>
      <c r="C2228" s="3">
        <f t="shared" si="248"/>
        <v>45806</v>
      </c>
      <c r="D2228" s="4">
        <f t="shared" ca="1" si="243"/>
        <v>139</v>
      </c>
      <c r="E2228" s="2">
        <f t="shared" ca="1" si="244"/>
        <v>3667</v>
      </c>
      <c r="F2228" s="2">
        <f t="shared" ca="1" si="245"/>
        <v>24611</v>
      </c>
      <c r="G2228" s="2">
        <f t="shared" ca="1" si="246"/>
        <v>1739</v>
      </c>
    </row>
    <row r="2229" spans="1:7" x14ac:dyDescent="0.3">
      <c r="A2229" s="5" t="str">
        <f t="shared" si="247"/>
        <v>New Balance</v>
      </c>
      <c r="B2229" s="5" t="str">
        <f t="shared" si="242"/>
        <v>2002R</v>
      </c>
      <c r="C2229" s="3">
        <f t="shared" si="248"/>
        <v>45806</v>
      </c>
      <c r="D2229" s="4">
        <f t="shared" ca="1" si="243"/>
        <v>182</v>
      </c>
      <c r="E2229" s="2">
        <f t="shared" ca="1" si="244"/>
        <v>8795</v>
      </c>
      <c r="F2229" s="2">
        <f t="shared" ca="1" si="245"/>
        <v>14560</v>
      </c>
      <c r="G2229" s="2">
        <f t="shared" ca="1" si="246"/>
        <v>315</v>
      </c>
    </row>
    <row r="2230" spans="1:7" x14ac:dyDescent="0.3">
      <c r="A2230" s="5" t="str">
        <f t="shared" si="247"/>
        <v>Reebok</v>
      </c>
      <c r="B2230" s="5" t="str">
        <f t="shared" si="242"/>
        <v>Instapump Fury</v>
      </c>
      <c r="C2230" s="3">
        <f t="shared" si="248"/>
        <v>45806</v>
      </c>
      <c r="D2230" s="4">
        <f t="shared" ca="1" si="243"/>
        <v>181</v>
      </c>
      <c r="E2230" s="2">
        <f t="shared" ca="1" si="244"/>
        <v>7002</v>
      </c>
      <c r="F2230" s="2">
        <f t="shared" ca="1" si="245"/>
        <v>13721</v>
      </c>
      <c r="G2230" s="2">
        <f t="shared" ca="1" si="246"/>
        <v>625</v>
      </c>
    </row>
    <row r="2231" spans="1:7" x14ac:dyDescent="0.3">
      <c r="A2231" s="5" t="str">
        <f t="shared" si="247"/>
        <v>Nike</v>
      </c>
      <c r="B2231" s="5" t="str">
        <f t="shared" si="242"/>
        <v>Cortez</v>
      </c>
      <c r="C2231" s="3">
        <f t="shared" si="248"/>
        <v>45806</v>
      </c>
      <c r="D2231" s="4">
        <f t="shared" ca="1" si="243"/>
        <v>163</v>
      </c>
      <c r="E2231" s="2">
        <f t="shared" ca="1" si="244"/>
        <v>1366</v>
      </c>
      <c r="F2231" s="2">
        <f t="shared" ca="1" si="245"/>
        <v>15743</v>
      </c>
      <c r="G2231" s="2">
        <f t="shared" ca="1" si="246"/>
        <v>775</v>
      </c>
    </row>
    <row r="2232" spans="1:7" x14ac:dyDescent="0.3">
      <c r="A2232" s="5" t="str">
        <f t="shared" si="247"/>
        <v>Adidas</v>
      </c>
      <c r="B2232" s="5" t="str">
        <f t="shared" si="242"/>
        <v>NMD S1</v>
      </c>
      <c r="C2232" s="3">
        <f t="shared" si="248"/>
        <v>45806</v>
      </c>
      <c r="D2232" s="4">
        <f t="shared" ca="1" si="243"/>
        <v>97</v>
      </c>
      <c r="E2232" s="2">
        <f t="shared" ca="1" si="244"/>
        <v>11944</v>
      </c>
      <c r="F2232" s="2">
        <f t="shared" ca="1" si="245"/>
        <v>7131</v>
      </c>
      <c r="G2232" s="2">
        <f t="shared" ca="1" si="246"/>
        <v>348</v>
      </c>
    </row>
    <row r="2233" spans="1:7" x14ac:dyDescent="0.3">
      <c r="A2233" s="5" t="str">
        <f t="shared" si="247"/>
        <v>Puma</v>
      </c>
      <c r="B2233" s="5" t="str">
        <f t="shared" si="242"/>
        <v>Suede Classic</v>
      </c>
      <c r="C2233" s="3">
        <f t="shared" si="248"/>
        <v>45806</v>
      </c>
      <c r="D2233" s="4">
        <f t="shared" ca="1" si="243"/>
        <v>107</v>
      </c>
      <c r="E2233" s="2">
        <f t="shared" ca="1" si="244"/>
        <v>8809</v>
      </c>
      <c r="F2233" s="2">
        <f t="shared" ca="1" si="245"/>
        <v>25399</v>
      </c>
      <c r="G2233" s="2">
        <f t="shared" ca="1" si="246"/>
        <v>1328</v>
      </c>
    </row>
    <row r="2234" spans="1:7" x14ac:dyDescent="0.3">
      <c r="A2234" s="5" t="str">
        <f t="shared" si="247"/>
        <v>New Balance</v>
      </c>
      <c r="B2234" s="5" t="str">
        <f t="shared" si="242"/>
        <v>990v6</v>
      </c>
      <c r="C2234" s="3">
        <f t="shared" si="248"/>
        <v>45806</v>
      </c>
      <c r="D2234" s="4">
        <f t="shared" ca="1" si="243"/>
        <v>90</v>
      </c>
      <c r="E2234" s="2">
        <f t="shared" ca="1" si="244"/>
        <v>6486</v>
      </c>
      <c r="F2234" s="2">
        <f t="shared" ca="1" si="245"/>
        <v>32082</v>
      </c>
      <c r="G2234" s="2">
        <f t="shared" ca="1" si="246"/>
        <v>1539</v>
      </c>
    </row>
    <row r="2235" spans="1:7" x14ac:dyDescent="0.3">
      <c r="A2235" s="5" t="str">
        <f t="shared" si="247"/>
        <v>Reebok</v>
      </c>
      <c r="B2235" s="5" t="str">
        <f t="shared" si="242"/>
        <v>Nano X3</v>
      </c>
      <c r="C2235" s="3">
        <f t="shared" si="248"/>
        <v>45806</v>
      </c>
      <c r="D2235" s="4">
        <f t="shared" ca="1" si="243"/>
        <v>236</v>
      </c>
      <c r="E2235" s="2">
        <f t="shared" ca="1" si="244"/>
        <v>2987</v>
      </c>
      <c r="F2235" s="2">
        <f t="shared" ca="1" si="245"/>
        <v>23521</v>
      </c>
      <c r="G2235" s="2">
        <f t="shared" ca="1" si="246"/>
        <v>1416</v>
      </c>
    </row>
    <row r="2236" spans="1:7" x14ac:dyDescent="0.3">
      <c r="A2236" s="5" t="str">
        <f t="shared" si="247"/>
        <v>Nike</v>
      </c>
      <c r="B2236" s="5" t="str">
        <f t="shared" si="242"/>
        <v>Vaporfly 3</v>
      </c>
      <c r="C2236" s="3">
        <f t="shared" si="248"/>
        <v>45806</v>
      </c>
      <c r="D2236" s="4">
        <f t="shared" ca="1" si="243"/>
        <v>39</v>
      </c>
      <c r="E2236" s="2">
        <f t="shared" ca="1" si="244"/>
        <v>5426</v>
      </c>
      <c r="F2236" s="2">
        <f t="shared" ca="1" si="245"/>
        <v>15684</v>
      </c>
      <c r="G2236" s="2">
        <f t="shared" ca="1" si="246"/>
        <v>965</v>
      </c>
    </row>
    <row r="2237" spans="1:7" x14ac:dyDescent="0.3">
      <c r="A2237" s="5" t="str">
        <f t="shared" si="247"/>
        <v>Adidas</v>
      </c>
      <c r="B2237" s="5" t="str">
        <f t="shared" si="242"/>
        <v>Samba</v>
      </c>
      <c r="C2237" s="3">
        <f t="shared" si="248"/>
        <v>45807</v>
      </c>
      <c r="D2237" s="4">
        <f t="shared" ca="1" si="243"/>
        <v>237</v>
      </c>
      <c r="E2237" s="2">
        <f t="shared" ca="1" si="244"/>
        <v>7202</v>
      </c>
      <c r="F2237" s="2">
        <f t="shared" ca="1" si="245"/>
        <v>18987</v>
      </c>
      <c r="G2237" s="2">
        <f t="shared" ca="1" si="246"/>
        <v>1173</v>
      </c>
    </row>
    <row r="2238" spans="1:7" x14ac:dyDescent="0.3">
      <c r="A2238" s="5" t="str">
        <f t="shared" si="247"/>
        <v>Puma</v>
      </c>
      <c r="B2238" s="5" t="str">
        <f t="shared" si="242"/>
        <v>Mayze</v>
      </c>
      <c r="C2238" s="3">
        <f t="shared" si="248"/>
        <v>45807</v>
      </c>
      <c r="D2238" s="4">
        <f t="shared" ca="1" si="243"/>
        <v>40</v>
      </c>
      <c r="E2238" s="2">
        <f t="shared" ca="1" si="244"/>
        <v>9649</v>
      </c>
      <c r="F2238" s="2">
        <f t="shared" ca="1" si="245"/>
        <v>31503</v>
      </c>
      <c r="G2238" s="2">
        <f t="shared" ca="1" si="246"/>
        <v>1952</v>
      </c>
    </row>
    <row r="2239" spans="1:7" x14ac:dyDescent="0.3">
      <c r="A2239" s="5" t="str">
        <f t="shared" si="247"/>
        <v>New Balance</v>
      </c>
      <c r="B2239" s="5" t="str">
        <f t="shared" si="242"/>
        <v>574 Core</v>
      </c>
      <c r="C2239" s="3">
        <f t="shared" si="248"/>
        <v>45807</v>
      </c>
      <c r="D2239" s="4">
        <f t="shared" ca="1" si="243"/>
        <v>50</v>
      </c>
      <c r="E2239" s="2">
        <f t="shared" ca="1" si="244"/>
        <v>7968</v>
      </c>
      <c r="F2239" s="2">
        <f t="shared" ca="1" si="245"/>
        <v>32918</v>
      </c>
      <c r="G2239" s="2">
        <f t="shared" ca="1" si="246"/>
        <v>1324</v>
      </c>
    </row>
    <row r="2240" spans="1:7" x14ac:dyDescent="0.3">
      <c r="A2240" s="5" t="str">
        <f t="shared" si="247"/>
        <v>Reebok</v>
      </c>
      <c r="B2240" s="5" t="str">
        <f t="shared" si="242"/>
        <v>Club C 85</v>
      </c>
      <c r="C2240" s="3">
        <f t="shared" si="248"/>
        <v>45807</v>
      </c>
      <c r="D2240" s="4">
        <f t="shared" ca="1" si="243"/>
        <v>139</v>
      </c>
      <c r="E2240" s="2">
        <f t="shared" ca="1" si="244"/>
        <v>10239</v>
      </c>
      <c r="F2240" s="2">
        <f t="shared" ca="1" si="245"/>
        <v>7978</v>
      </c>
      <c r="G2240" s="2">
        <f t="shared" ca="1" si="246"/>
        <v>537</v>
      </c>
    </row>
    <row r="2241" spans="1:7" x14ac:dyDescent="0.3">
      <c r="A2241" s="5" t="str">
        <f t="shared" si="247"/>
        <v>Nike</v>
      </c>
      <c r="B2241" s="5" t="str">
        <f t="shared" si="242"/>
        <v>Pegasus 40</v>
      </c>
      <c r="C2241" s="3">
        <f t="shared" si="248"/>
        <v>45807</v>
      </c>
      <c r="D2241" s="4">
        <f t="shared" ca="1" si="243"/>
        <v>208</v>
      </c>
      <c r="E2241" s="2">
        <f t="shared" ca="1" si="244"/>
        <v>1872</v>
      </c>
      <c r="F2241" s="2">
        <f t="shared" ca="1" si="245"/>
        <v>12314</v>
      </c>
      <c r="G2241" s="2">
        <f t="shared" ca="1" si="246"/>
        <v>442</v>
      </c>
    </row>
    <row r="2242" spans="1:7" x14ac:dyDescent="0.3">
      <c r="A2242" s="5" t="str">
        <f t="shared" si="247"/>
        <v>Adidas</v>
      </c>
      <c r="B2242" s="5" t="str">
        <f t="shared" si="242"/>
        <v>Gazelle</v>
      </c>
      <c r="C2242" s="3">
        <f t="shared" si="248"/>
        <v>45807</v>
      </c>
      <c r="D2242" s="4">
        <f t="shared" ca="1" si="243"/>
        <v>115</v>
      </c>
      <c r="E2242" s="2">
        <f t="shared" ca="1" si="244"/>
        <v>7238</v>
      </c>
      <c r="F2242" s="2">
        <f t="shared" ca="1" si="245"/>
        <v>34149</v>
      </c>
      <c r="G2242" s="2">
        <f t="shared" ca="1" si="246"/>
        <v>1863</v>
      </c>
    </row>
    <row r="2243" spans="1:7" x14ac:dyDescent="0.3">
      <c r="A2243" s="5" t="str">
        <f t="shared" si="247"/>
        <v>Puma</v>
      </c>
      <c r="B2243" s="5" t="str">
        <f t="shared" ref="B2243:B2306" si="249">IF(A2243="Nike",CHOOSE(MOD(ROW(A2242),6)+1,"Air Max 270","Air Force 1","Pegasus 40","Vaporfly 3","Cortez","Jordan 1"),
 IF(A2243="Adidas",CHOOSE(MOD(ROW(A2242),6)+1,"Ultraboost 23","Stan Smith","Superstar","Gazelle","Samba","NMD S1"),
 IF(A2243="Puma",CHOOSE(MOD(ROW(A2242),6)+1,"Suede Classic","RS-X","Cali Dream","Rider Vintage","Slipstream","Mayze"),
 IF(A2243="New Balance",CHOOSE(MOD(ROW(A2242),6)+1,"574 Core","990v6","2002R","9060","327","550"),
 IF(A2243="Reebok",CHOOSE(MOD(ROW(A2242),6)+1,"Classic Leather","Club C 85","Nano X3","Instapump Fury","Zig Kinetica","Question Mid"),"")))))</f>
        <v>Slipstream</v>
      </c>
      <c r="C2243" s="3">
        <f t="shared" si="248"/>
        <v>45807</v>
      </c>
      <c r="D2243" s="4">
        <f t="shared" ref="D2243:D2306" ca="1" si="250">RANDBETWEEN(20,250)</f>
        <v>144</v>
      </c>
      <c r="E2243" s="2">
        <f t="shared" ref="E2243:E2306" ca="1" si="251">ROUND(RANDBETWEEN(1500,12000)+(RANDBETWEEN(-200,200)),2)</f>
        <v>7665</v>
      </c>
      <c r="F2243" s="2">
        <f t="shared" ref="F2243:F2306" ca="1" si="252">RANDBETWEEN(5000,35000)</f>
        <v>20356</v>
      </c>
      <c r="G2243" s="2">
        <f t="shared" ref="G2243:G2306" ca="1" si="253">RANDBETWEEN(ROUND(F2243*0.02,0),ROUND(F2243*0.08,0))</f>
        <v>1117</v>
      </c>
    </row>
    <row r="2244" spans="1:7" x14ac:dyDescent="0.3">
      <c r="A2244" s="5" t="str">
        <f t="shared" si="247"/>
        <v>New Balance</v>
      </c>
      <c r="B2244" s="5" t="str">
        <f t="shared" si="249"/>
        <v>550</v>
      </c>
      <c r="C2244" s="3">
        <f t="shared" si="248"/>
        <v>45807</v>
      </c>
      <c r="D2244" s="4">
        <f t="shared" ca="1" si="250"/>
        <v>74</v>
      </c>
      <c r="E2244" s="2">
        <f t="shared" ca="1" si="251"/>
        <v>1877</v>
      </c>
      <c r="F2244" s="2">
        <f t="shared" ca="1" si="252"/>
        <v>6585</v>
      </c>
      <c r="G2244" s="2">
        <f t="shared" ca="1" si="253"/>
        <v>209</v>
      </c>
    </row>
    <row r="2245" spans="1:7" x14ac:dyDescent="0.3">
      <c r="A2245" s="5" t="str">
        <f t="shared" si="247"/>
        <v>Reebok</v>
      </c>
      <c r="B2245" s="5" t="str">
        <f t="shared" si="249"/>
        <v>Classic Leather</v>
      </c>
      <c r="C2245" s="3">
        <f t="shared" si="248"/>
        <v>45807</v>
      </c>
      <c r="D2245" s="4">
        <f t="shared" ca="1" si="250"/>
        <v>126</v>
      </c>
      <c r="E2245" s="2">
        <f t="shared" ca="1" si="251"/>
        <v>9586</v>
      </c>
      <c r="F2245" s="2">
        <f t="shared" ca="1" si="252"/>
        <v>25916</v>
      </c>
      <c r="G2245" s="2">
        <f t="shared" ca="1" si="253"/>
        <v>1629</v>
      </c>
    </row>
    <row r="2246" spans="1:7" x14ac:dyDescent="0.3">
      <c r="A2246" s="5" t="str">
        <f t="shared" si="247"/>
        <v>Nike</v>
      </c>
      <c r="B2246" s="5" t="str">
        <f t="shared" si="249"/>
        <v>Air Force 1</v>
      </c>
      <c r="C2246" s="3">
        <f t="shared" si="248"/>
        <v>45807</v>
      </c>
      <c r="D2246" s="4">
        <f t="shared" ca="1" si="250"/>
        <v>47</v>
      </c>
      <c r="E2246" s="2">
        <f t="shared" ca="1" si="251"/>
        <v>1830</v>
      </c>
      <c r="F2246" s="2">
        <f t="shared" ca="1" si="252"/>
        <v>27464</v>
      </c>
      <c r="G2246" s="2">
        <f t="shared" ca="1" si="253"/>
        <v>1948</v>
      </c>
    </row>
    <row r="2247" spans="1:7" x14ac:dyDescent="0.3">
      <c r="A2247" s="5" t="str">
        <f t="shared" si="247"/>
        <v>Adidas</v>
      </c>
      <c r="B2247" s="5" t="str">
        <f t="shared" si="249"/>
        <v>Superstar</v>
      </c>
      <c r="C2247" s="3">
        <f t="shared" si="248"/>
        <v>45807</v>
      </c>
      <c r="D2247" s="4">
        <f t="shared" ca="1" si="250"/>
        <v>122</v>
      </c>
      <c r="E2247" s="2">
        <f t="shared" ca="1" si="251"/>
        <v>2255</v>
      </c>
      <c r="F2247" s="2">
        <f t="shared" ca="1" si="252"/>
        <v>28019</v>
      </c>
      <c r="G2247" s="2">
        <f t="shared" ca="1" si="253"/>
        <v>1743</v>
      </c>
    </row>
    <row r="2248" spans="1:7" x14ac:dyDescent="0.3">
      <c r="A2248" s="5" t="str">
        <f t="shared" si="247"/>
        <v>Puma</v>
      </c>
      <c r="B2248" s="5" t="str">
        <f t="shared" si="249"/>
        <v>Rider Vintage</v>
      </c>
      <c r="C2248" s="3">
        <f t="shared" si="248"/>
        <v>45807</v>
      </c>
      <c r="D2248" s="4">
        <f t="shared" ca="1" si="250"/>
        <v>172</v>
      </c>
      <c r="E2248" s="2">
        <f t="shared" ca="1" si="251"/>
        <v>6315</v>
      </c>
      <c r="F2248" s="2">
        <f t="shared" ca="1" si="252"/>
        <v>33124</v>
      </c>
      <c r="G2248" s="2">
        <f t="shared" ca="1" si="253"/>
        <v>2258</v>
      </c>
    </row>
    <row r="2249" spans="1:7" x14ac:dyDescent="0.3">
      <c r="A2249" s="5" t="str">
        <f t="shared" si="247"/>
        <v>New Balance</v>
      </c>
      <c r="B2249" s="5" t="str">
        <f t="shared" si="249"/>
        <v>327</v>
      </c>
      <c r="C2249" s="3">
        <f t="shared" si="248"/>
        <v>45807</v>
      </c>
      <c r="D2249" s="4">
        <f t="shared" ca="1" si="250"/>
        <v>24</v>
      </c>
      <c r="E2249" s="2">
        <f t="shared" ca="1" si="251"/>
        <v>4255</v>
      </c>
      <c r="F2249" s="2">
        <f t="shared" ca="1" si="252"/>
        <v>14514</v>
      </c>
      <c r="G2249" s="2">
        <f t="shared" ca="1" si="253"/>
        <v>673</v>
      </c>
    </row>
    <row r="2250" spans="1:7" x14ac:dyDescent="0.3">
      <c r="A2250" s="5" t="str">
        <f t="shared" si="247"/>
        <v>Reebok</v>
      </c>
      <c r="B2250" s="5" t="str">
        <f t="shared" si="249"/>
        <v>Question Mid</v>
      </c>
      <c r="C2250" s="3">
        <f t="shared" si="248"/>
        <v>45807</v>
      </c>
      <c r="D2250" s="4">
        <f t="shared" ca="1" si="250"/>
        <v>158</v>
      </c>
      <c r="E2250" s="2">
        <f t="shared" ca="1" si="251"/>
        <v>7298</v>
      </c>
      <c r="F2250" s="2">
        <f t="shared" ca="1" si="252"/>
        <v>10848</v>
      </c>
      <c r="G2250" s="2">
        <f t="shared" ca="1" si="253"/>
        <v>408</v>
      </c>
    </row>
    <row r="2251" spans="1:7" x14ac:dyDescent="0.3">
      <c r="A2251" s="5" t="str">
        <f t="shared" si="247"/>
        <v>Nike</v>
      </c>
      <c r="B2251" s="5" t="str">
        <f t="shared" si="249"/>
        <v>Air Max 270</v>
      </c>
      <c r="C2251" s="3">
        <f t="shared" si="248"/>
        <v>45807</v>
      </c>
      <c r="D2251" s="4">
        <f t="shared" ca="1" si="250"/>
        <v>214</v>
      </c>
      <c r="E2251" s="2">
        <f t="shared" ca="1" si="251"/>
        <v>3865</v>
      </c>
      <c r="F2251" s="2">
        <f t="shared" ca="1" si="252"/>
        <v>10007</v>
      </c>
      <c r="G2251" s="2">
        <f t="shared" ca="1" si="253"/>
        <v>625</v>
      </c>
    </row>
    <row r="2252" spans="1:7" x14ac:dyDescent="0.3">
      <c r="A2252" s="5" t="str">
        <f t="shared" si="247"/>
        <v>Adidas</v>
      </c>
      <c r="B2252" s="5" t="str">
        <f t="shared" si="249"/>
        <v>Stan Smith</v>
      </c>
      <c r="C2252" s="3">
        <f t="shared" si="248"/>
        <v>45808</v>
      </c>
      <c r="D2252" s="4">
        <f t="shared" ca="1" si="250"/>
        <v>161</v>
      </c>
      <c r="E2252" s="2">
        <f t="shared" ca="1" si="251"/>
        <v>5218</v>
      </c>
      <c r="F2252" s="2">
        <f t="shared" ca="1" si="252"/>
        <v>6231</v>
      </c>
      <c r="G2252" s="2">
        <f t="shared" ca="1" si="253"/>
        <v>476</v>
      </c>
    </row>
    <row r="2253" spans="1:7" x14ac:dyDescent="0.3">
      <c r="A2253" s="5" t="str">
        <f t="shared" si="247"/>
        <v>Puma</v>
      </c>
      <c r="B2253" s="5" t="str">
        <f t="shared" si="249"/>
        <v>Cali Dream</v>
      </c>
      <c r="C2253" s="3">
        <f t="shared" si="248"/>
        <v>45808</v>
      </c>
      <c r="D2253" s="4">
        <f t="shared" ca="1" si="250"/>
        <v>165</v>
      </c>
      <c r="E2253" s="2">
        <f t="shared" ca="1" si="251"/>
        <v>9389</v>
      </c>
      <c r="F2253" s="2">
        <f t="shared" ca="1" si="252"/>
        <v>29510</v>
      </c>
      <c r="G2253" s="2">
        <f t="shared" ca="1" si="253"/>
        <v>1779</v>
      </c>
    </row>
    <row r="2254" spans="1:7" x14ac:dyDescent="0.3">
      <c r="A2254" s="5" t="str">
        <f t="shared" si="247"/>
        <v>New Balance</v>
      </c>
      <c r="B2254" s="5" t="str">
        <f t="shared" si="249"/>
        <v>9060</v>
      </c>
      <c r="C2254" s="3">
        <f t="shared" si="248"/>
        <v>45808</v>
      </c>
      <c r="D2254" s="4">
        <f t="shared" ca="1" si="250"/>
        <v>73</v>
      </c>
      <c r="E2254" s="2">
        <f t="shared" ca="1" si="251"/>
        <v>3651</v>
      </c>
      <c r="F2254" s="2">
        <f t="shared" ca="1" si="252"/>
        <v>13753</v>
      </c>
      <c r="G2254" s="2">
        <f t="shared" ca="1" si="253"/>
        <v>486</v>
      </c>
    </row>
    <row r="2255" spans="1:7" x14ac:dyDescent="0.3">
      <c r="A2255" s="5" t="str">
        <f t="shared" si="247"/>
        <v>Reebok</v>
      </c>
      <c r="B2255" s="5" t="str">
        <f t="shared" si="249"/>
        <v>Zig Kinetica</v>
      </c>
      <c r="C2255" s="3">
        <f t="shared" si="248"/>
        <v>45808</v>
      </c>
      <c r="D2255" s="4">
        <f t="shared" ca="1" si="250"/>
        <v>24</v>
      </c>
      <c r="E2255" s="2">
        <f t="shared" ca="1" si="251"/>
        <v>7917</v>
      </c>
      <c r="F2255" s="2">
        <f t="shared" ca="1" si="252"/>
        <v>30942</v>
      </c>
      <c r="G2255" s="2">
        <f t="shared" ca="1" si="253"/>
        <v>978</v>
      </c>
    </row>
    <row r="2256" spans="1:7" x14ac:dyDescent="0.3">
      <c r="A2256" s="5" t="str">
        <f t="shared" si="247"/>
        <v>Nike</v>
      </c>
      <c r="B2256" s="5" t="str">
        <f t="shared" si="249"/>
        <v>Jordan 1</v>
      </c>
      <c r="C2256" s="3">
        <f t="shared" si="248"/>
        <v>45808</v>
      </c>
      <c r="D2256" s="4">
        <f t="shared" ca="1" si="250"/>
        <v>146</v>
      </c>
      <c r="E2256" s="2">
        <f t="shared" ca="1" si="251"/>
        <v>2990</v>
      </c>
      <c r="F2256" s="2">
        <f t="shared" ca="1" si="252"/>
        <v>9403</v>
      </c>
      <c r="G2256" s="2">
        <f t="shared" ca="1" si="253"/>
        <v>546</v>
      </c>
    </row>
    <row r="2257" spans="1:7" x14ac:dyDescent="0.3">
      <c r="A2257" s="5" t="str">
        <f t="shared" si="247"/>
        <v>Adidas</v>
      </c>
      <c r="B2257" s="5" t="str">
        <f t="shared" si="249"/>
        <v>Ultraboost 23</v>
      </c>
      <c r="C2257" s="3">
        <f t="shared" si="248"/>
        <v>45808</v>
      </c>
      <c r="D2257" s="4">
        <f t="shared" ca="1" si="250"/>
        <v>226</v>
      </c>
      <c r="E2257" s="2">
        <f t="shared" ca="1" si="251"/>
        <v>9021</v>
      </c>
      <c r="F2257" s="2">
        <f t="shared" ca="1" si="252"/>
        <v>5038</v>
      </c>
      <c r="G2257" s="2">
        <f t="shared" ca="1" si="253"/>
        <v>114</v>
      </c>
    </row>
    <row r="2258" spans="1:7" x14ac:dyDescent="0.3">
      <c r="A2258" s="5" t="str">
        <f t="shared" si="247"/>
        <v>Puma</v>
      </c>
      <c r="B2258" s="5" t="str">
        <f t="shared" si="249"/>
        <v>RS-X</v>
      </c>
      <c r="C2258" s="3">
        <f t="shared" si="248"/>
        <v>45808</v>
      </c>
      <c r="D2258" s="4">
        <f t="shared" ca="1" si="250"/>
        <v>32</v>
      </c>
      <c r="E2258" s="2">
        <f t="shared" ca="1" si="251"/>
        <v>2814</v>
      </c>
      <c r="F2258" s="2">
        <f t="shared" ca="1" si="252"/>
        <v>5145</v>
      </c>
      <c r="G2258" s="2">
        <f t="shared" ca="1" si="253"/>
        <v>122</v>
      </c>
    </row>
    <row r="2259" spans="1:7" x14ac:dyDescent="0.3">
      <c r="A2259" s="5" t="str">
        <f t="shared" si="247"/>
        <v>New Balance</v>
      </c>
      <c r="B2259" s="5" t="str">
        <f t="shared" si="249"/>
        <v>2002R</v>
      </c>
      <c r="C2259" s="3">
        <f t="shared" si="248"/>
        <v>45808</v>
      </c>
      <c r="D2259" s="4">
        <f t="shared" ca="1" si="250"/>
        <v>32</v>
      </c>
      <c r="E2259" s="2">
        <f t="shared" ca="1" si="251"/>
        <v>10495</v>
      </c>
      <c r="F2259" s="2">
        <f t="shared" ca="1" si="252"/>
        <v>25778</v>
      </c>
      <c r="G2259" s="2">
        <f t="shared" ca="1" si="253"/>
        <v>1790</v>
      </c>
    </row>
    <row r="2260" spans="1:7" x14ac:dyDescent="0.3">
      <c r="A2260" s="5" t="str">
        <f t="shared" si="247"/>
        <v>Reebok</v>
      </c>
      <c r="B2260" s="5" t="str">
        <f t="shared" si="249"/>
        <v>Instapump Fury</v>
      </c>
      <c r="C2260" s="3">
        <f t="shared" si="248"/>
        <v>45808</v>
      </c>
      <c r="D2260" s="4">
        <f t="shared" ca="1" si="250"/>
        <v>207</v>
      </c>
      <c r="E2260" s="2">
        <f t="shared" ca="1" si="251"/>
        <v>3670</v>
      </c>
      <c r="F2260" s="2">
        <f t="shared" ca="1" si="252"/>
        <v>25474</v>
      </c>
      <c r="G2260" s="2">
        <f t="shared" ca="1" si="253"/>
        <v>1187</v>
      </c>
    </row>
    <row r="2261" spans="1:7" x14ac:dyDescent="0.3">
      <c r="A2261" s="5" t="str">
        <f t="shared" si="247"/>
        <v>Nike</v>
      </c>
      <c r="B2261" s="5" t="str">
        <f t="shared" si="249"/>
        <v>Cortez</v>
      </c>
      <c r="C2261" s="3">
        <f t="shared" si="248"/>
        <v>45808</v>
      </c>
      <c r="D2261" s="4">
        <f t="shared" ca="1" si="250"/>
        <v>23</v>
      </c>
      <c r="E2261" s="2">
        <f t="shared" ca="1" si="251"/>
        <v>5723</v>
      </c>
      <c r="F2261" s="2">
        <f t="shared" ca="1" si="252"/>
        <v>15585</v>
      </c>
      <c r="G2261" s="2">
        <f t="shared" ca="1" si="253"/>
        <v>1161</v>
      </c>
    </row>
    <row r="2262" spans="1:7" x14ac:dyDescent="0.3">
      <c r="A2262" s="5" t="str">
        <f t="shared" si="247"/>
        <v>Adidas</v>
      </c>
      <c r="B2262" s="5" t="str">
        <f t="shared" si="249"/>
        <v>NMD S1</v>
      </c>
      <c r="C2262" s="3">
        <f t="shared" si="248"/>
        <v>45808</v>
      </c>
      <c r="D2262" s="4">
        <f t="shared" ca="1" si="250"/>
        <v>83</v>
      </c>
      <c r="E2262" s="2">
        <f t="shared" ca="1" si="251"/>
        <v>9034</v>
      </c>
      <c r="F2262" s="2">
        <f t="shared" ca="1" si="252"/>
        <v>12421</v>
      </c>
      <c r="G2262" s="2">
        <f t="shared" ca="1" si="253"/>
        <v>315</v>
      </c>
    </row>
    <row r="2263" spans="1:7" x14ac:dyDescent="0.3">
      <c r="A2263" s="5" t="str">
        <f t="shared" si="247"/>
        <v>Puma</v>
      </c>
      <c r="B2263" s="5" t="str">
        <f t="shared" si="249"/>
        <v>Suede Classic</v>
      </c>
      <c r="C2263" s="3">
        <f t="shared" si="248"/>
        <v>45808</v>
      </c>
      <c r="D2263" s="4">
        <f t="shared" ca="1" si="250"/>
        <v>77</v>
      </c>
      <c r="E2263" s="2">
        <f t="shared" ca="1" si="251"/>
        <v>2290</v>
      </c>
      <c r="F2263" s="2">
        <f t="shared" ca="1" si="252"/>
        <v>7680</v>
      </c>
      <c r="G2263" s="2">
        <f t="shared" ca="1" si="253"/>
        <v>429</v>
      </c>
    </row>
    <row r="2264" spans="1:7" x14ac:dyDescent="0.3">
      <c r="A2264" s="5" t="str">
        <f t="shared" si="247"/>
        <v>New Balance</v>
      </c>
      <c r="B2264" s="5" t="str">
        <f t="shared" si="249"/>
        <v>990v6</v>
      </c>
      <c r="C2264" s="3">
        <f t="shared" si="248"/>
        <v>45808</v>
      </c>
      <c r="D2264" s="4">
        <f t="shared" ca="1" si="250"/>
        <v>165</v>
      </c>
      <c r="E2264" s="2">
        <f t="shared" ca="1" si="251"/>
        <v>9743</v>
      </c>
      <c r="F2264" s="2">
        <f t="shared" ca="1" si="252"/>
        <v>25863</v>
      </c>
      <c r="G2264" s="2">
        <f t="shared" ca="1" si="253"/>
        <v>1200</v>
      </c>
    </row>
    <row r="2265" spans="1:7" x14ac:dyDescent="0.3">
      <c r="A2265" s="5" t="str">
        <f t="shared" si="247"/>
        <v>Reebok</v>
      </c>
      <c r="B2265" s="5" t="str">
        <f t="shared" si="249"/>
        <v>Nano X3</v>
      </c>
      <c r="C2265" s="3">
        <f t="shared" si="248"/>
        <v>45808</v>
      </c>
      <c r="D2265" s="4">
        <f t="shared" ca="1" si="250"/>
        <v>182</v>
      </c>
      <c r="E2265" s="2">
        <f t="shared" ca="1" si="251"/>
        <v>4498</v>
      </c>
      <c r="F2265" s="2">
        <f t="shared" ca="1" si="252"/>
        <v>11054</v>
      </c>
      <c r="G2265" s="2">
        <f t="shared" ca="1" si="253"/>
        <v>662</v>
      </c>
    </row>
    <row r="2266" spans="1:7" x14ac:dyDescent="0.3">
      <c r="A2266" s="5" t="str">
        <f t="shared" si="247"/>
        <v>Nike</v>
      </c>
      <c r="B2266" s="5" t="str">
        <f t="shared" si="249"/>
        <v>Vaporfly 3</v>
      </c>
      <c r="C2266" s="3">
        <f t="shared" si="248"/>
        <v>45808</v>
      </c>
      <c r="D2266" s="4">
        <f t="shared" ca="1" si="250"/>
        <v>53</v>
      </c>
      <c r="E2266" s="2">
        <f t="shared" ca="1" si="251"/>
        <v>1441</v>
      </c>
      <c r="F2266" s="2">
        <f t="shared" ca="1" si="252"/>
        <v>16975</v>
      </c>
      <c r="G2266" s="2">
        <f t="shared" ca="1" si="253"/>
        <v>750</v>
      </c>
    </row>
    <row r="2267" spans="1:7" x14ac:dyDescent="0.3">
      <c r="A2267" s="5" t="str">
        <f t="shared" si="247"/>
        <v>Adidas</v>
      </c>
      <c r="B2267" s="5" t="str">
        <f t="shared" si="249"/>
        <v>Samba</v>
      </c>
      <c r="C2267" s="3">
        <f t="shared" si="248"/>
        <v>45809</v>
      </c>
      <c r="D2267" s="4">
        <f t="shared" ca="1" si="250"/>
        <v>134</v>
      </c>
      <c r="E2267" s="2">
        <f t="shared" ca="1" si="251"/>
        <v>11334</v>
      </c>
      <c r="F2267" s="2">
        <f t="shared" ca="1" si="252"/>
        <v>17306</v>
      </c>
      <c r="G2267" s="2">
        <f t="shared" ca="1" si="253"/>
        <v>399</v>
      </c>
    </row>
    <row r="2268" spans="1:7" x14ac:dyDescent="0.3">
      <c r="A2268" s="5" t="str">
        <f t="shared" si="247"/>
        <v>Puma</v>
      </c>
      <c r="B2268" s="5" t="str">
        <f t="shared" si="249"/>
        <v>Mayze</v>
      </c>
      <c r="C2268" s="3">
        <f t="shared" si="248"/>
        <v>45809</v>
      </c>
      <c r="D2268" s="4">
        <f t="shared" ca="1" si="250"/>
        <v>102</v>
      </c>
      <c r="E2268" s="2">
        <f t="shared" ca="1" si="251"/>
        <v>10691</v>
      </c>
      <c r="F2268" s="2">
        <f t="shared" ca="1" si="252"/>
        <v>30648</v>
      </c>
      <c r="G2268" s="2">
        <f t="shared" ca="1" si="253"/>
        <v>2180</v>
      </c>
    </row>
    <row r="2269" spans="1:7" x14ac:dyDescent="0.3">
      <c r="A2269" s="5" t="str">
        <f t="shared" si="247"/>
        <v>New Balance</v>
      </c>
      <c r="B2269" s="5" t="str">
        <f t="shared" si="249"/>
        <v>574 Core</v>
      </c>
      <c r="C2269" s="3">
        <f t="shared" si="248"/>
        <v>45809</v>
      </c>
      <c r="D2269" s="4">
        <f t="shared" ca="1" si="250"/>
        <v>169</v>
      </c>
      <c r="E2269" s="2">
        <f t="shared" ca="1" si="251"/>
        <v>3388</v>
      </c>
      <c r="F2269" s="2">
        <f t="shared" ca="1" si="252"/>
        <v>29713</v>
      </c>
      <c r="G2269" s="2">
        <f t="shared" ca="1" si="253"/>
        <v>2043</v>
      </c>
    </row>
    <row r="2270" spans="1:7" x14ac:dyDescent="0.3">
      <c r="A2270" s="5" t="str">
        <f t="shared" si="247"/>
        <v>Reebok</v>
      </c>
      <c r="B2270" s="5" t="str">
        <f t="shared" si="249"/>
        <v>Club C 85</v>
      </c>
      <c r="C2270" s="3">
        <f t="shared" si="248"/>
        <v>45809</v>
      </c>
      <c r="D2270" s="4">
        <f t="shared" ca="1" si="250"/>
        <v>120</v>
      </c>
      <c r="E2270" s="2">
        <f t="shared" ca="1" si="251"/>
        <v>8714</v>
      </c>
      <c r="F2270" s="2">
        <f t="shared" ca="1" si="252"/>
        <v>21736</v>
      </c>
      <c r="G2270" s="2">
        <f t="shared" ca="1" si="253"/>
        <v>1720</v>
      </c>
    </row>
    <row r="2271" spans="1:7" x14ac:dyDescent="0.3">
      <c r="A2271" s="5" t="str">
        <f t="shared" si="247"/>
        <v>Nike</v>
      </c>
      <c r="B2271" s="5" t="str">
        <f t="shared" si="249"/>
        <v>Pegasus 40</v>
      </c>
      <c r="C2271" s="3">
        <f t="shared" si="248"/>
        <v>45809</v>
      </c>
      <c r="D2271" s="4">
        <f t="shared" ca="1" si="250"/>
        <v>250</v>
      </c>
      <c r="E2271" s="2">
        <f t="shared" ca="1" si="251"/>
        <v>4734</v>
      </c>
      <c r="F2271" s="2">
        <f t="shared" ca="1" si="252"/>
        <v>19661</v>
      </c>
      <c r="G2271" s="2">
        <f t="shared" ca="1" si="253"/>
        <v>540</v>
      </c>
    </row>
    <row r="2272" spans="1:7" x14ac:dyDescent="0.3">
      <c r="A2272" s="5" t="str">
        <f t="shared" si="247"/>
        <v>Adidas</v>
      </c>
      <c r="B2272" s="5" t="str">
        <f t="shared" si="249"/>
        <v>Gazelle</v>
      </c>
      <c r="C2272" s="3">
        <f t="shared" si="248"/>
        <v>45809</v>
      </c>
      <c r="D2272" s="4">
        <f t="shared" ca="1" si="250"/>
        <v>240</v>
      </c>
      <c r="E2272" s="2">
        <f t="shared" ca="1" si="251"/>
        <v>10473</v>
      </c>
      <c r="F2272" s="2">
        <f t="shared" ca="1" si="252"/>
        <v>14478</v>
      </c>
      <c r="G2272" s="2">
        <f t="shared" ca="1" si="253"/>
        <v>837</v>
      </c>
    </row>
    <row r="2273" spans="1:7" x14ac:dyDescent="0.3">
      <c r="A2273" s="5" t="str">
        <f t="shared" si="247"/>
        <v>Puma</v>
      </c>
      <c r="B2273" s="5" t="str">
        <f t="shared" si="249"/>
        <v>Slipstream</v>
      </c>
      <c r="C2273" s="3">
        <f t="shared" si="248"/>
        <v>45809</v>
      </c>
      <c r="D2273" s="4">
        <f t="shared" ca="1" si="250"/>
        <v>63</v>
      </c>
      <c r="E2273" s="2">
        <f t="shared" ca="1" si="251"/>
        <v>3281</v>
      </c>
      <c r="F2273" s="2">
        <f t="shared" ca="1" si="252"/>
        <v>34113</v>
      </c>
      <c r="G2273" s="2">
        <f t="shared" ca="1" si="253"/>
        <v>1424</v>
      </c>
    </row>
    <row r="2274" spans="1:7" x14ac:dyDescent="0.3">
      <c r="A2274" s="5" t="str">
        <f t="shared" si="247"/>
        <v>New Balance</v>
      </c>
      <c r="B2274" s="5" t="str">
        <f t="shared" si="249"/>
        <v>550</v>
      </c>
      <c r="C2274" s="3">
        <f t="shared" si="248"/>
        <v>45809</v>
      </c>
      <c r="D2274" s="4">
        <f t="shared" ca="1" si="250"/>
        <v>51</v>
      </c>
      <c r="E2274" s="2">
        <f t="shared" ca="1" si="251"/>
        <v>5983</v>
      </c>
      <c r="F2274" s="2">
        <f t="shared" ca="1" si="252"/>
        <v>16180</v>
      </c>
      <c r="G2274" s="2">
        <f t="shared" ca="1" si="253"/>
        <v>966</v>
      </c>
    </row>
    <row r="2275" spans="1:7" x14ac:dyDescent="0.3">
      <c r="A2275" s="5" t="str">
        <f t="shared" si="247"/>
        <v>Reebok</v>
      </c>
      <c r="B2275" s="5" t="str">
        <f t="shared" si="249"/>
        <v>Classic Leather</v>
      </c>
      <c r="C2275" s="3">
        <f t="shared" si="248"/>
        <v>45809</v>
      </c>
      <c r="D2275" s="4">
        <f t="shared" ca="1" si="250"/>
        <v>223</v>
      </c>
      <c r="E2275" s="2">
        <f t="shared" ca="1" si="251"/>
        <v>11265</v>
      </c>
      <c r="F2275" s="2">
        <f t="shared" ca="1" si="252"/>
        <v>31285</v>
      </c>
      <c r="G2275" s="2">
        <f t="shared" ca="1" si="253"/>
        <v>1387</v>
      </c>
    </row>
    <row r="2276" spans="1:7" x14ac:dyDescent="0.3">
      <c r="A2276" s="5" t="str">
        <f t="shared" si="247"/>
        <v>Nike</v>
      </c>
      <c r="B2276" s="5" t="str">
        <f t="shared" si="249"/>
        <v>Air Force 1</v>
      </c>
      <c r="C2276" s="3">
        <f t="shared" si="248"/>
        <v>45809</v>
      </c>
      <c r="D2276" s="4">
        <f t="shared" ca="1" si="250"/>
        <v>61</v>
      </c>
      <c r="E2276" s="2">
        <f t="shared" ca="1" si="251"/>
        <v>2091</v>
      </c>
      <c r="F2276" s="2">
        <f t="shared" ca="1" si="252"/>
        <v>6797</v>
      </c>
      <c r="G2276" s="2">
        <f t="shared" ca="1" si="253"/>
        <v>313</v>
      </c>
    </row>
    <row r="2277" spans="1:7" x14ac:dyDescent="0.3">
      <c r="A2277" s="5" t="str">
        <f t="shared" si="247"/>
        <v>Adidas</v>
      </c>
      <c r="B2277" s="5" t="str">
        <f t="shared" si="249"/>
        <v>Superstar</v>
      </c>
      <c r="C2277" s="3">
        <f t="shared" si="248"/>
        <v>45809</v>
      </c>
      <c r="D2277" s="4">
        <f t="shared" ca="1" si="250"/>
        <v>122</v>
      </c>
      <c r="E2277" s="2">
        <f t="shared" ca="1" si="251"/>
        <v>2145</v>
      </c>
      <c r="F2277" s="2">
        <f t="shared" ca="1" si="252"/>
        <v>18668</v>
      </c>
      <c r="G2277" s="2">
        <f t="shared" ca="1" si="253"/>
        <v>998</v>
      </c>
    </row>
    <row r="2278" spans="1:7" x14ac:dyDescent="0.3">
      <c r="A2278" s="5" t="str">
        <f t="shared" si="247"/>
        <v>Puma</v>
      </c>
      <c r="B2278" s="5" t="str">
        <f t="shared" si="249"/>
        <v>Rider Vintage</v>
      </c>
      <c r="C2278" s="3">
        <f t="shared" si="248"/>
        <v>45809</v>
      </c>
      <c r="D2278" s="4">
        <f t="shared" ca="1" si="250"/>
        <v>134</v>
      </c>
      <c r="E2278" s="2">
        <f t="shared" ca="1" si="251"/>
        <v>4739</v>
      </c>
      <c r="F2278" s="2">
        <f t="shared" ca="1" si="252"/>
        <v>16400</v>
      </c>
      <c r="G2278" s="2">
        <f t="shared" ca="1" si="253"/>
        <v>651</v>
      </c>
    </row>
    <row r="2279" spans="1:7" x14ac:dyDescent="0.3">
      <c r="A2279" s="5" t="str">
        <f t="shared" si="247"/>
        <v>New Balance</v>
      </c>
      <c r="B2279" s="5" t="str">
        <f t="shared" si="249"/>
        <v>327</v>
      </c>
      <c r="C2279" s="3">
        <f t="shared" si="248"/>
        <v>45809</v>
      </c>
      <c r="D2279" s="4">
        <f t="shared" ca="1" si="250"/>
        <v>28</v>
      </c>
      <c r="E2279" s="2">
        <f t="shared" ca="1" si="251"/>
        <v>3383</v>
      </c>
      <c r="F2279" s="2">
        <f t="shared" ca="1" si="252"/>
        <v>20228</v>
      </c>
      <c r="G2279" s="2">
        <f t="shared" ca="1" si="253"/>
        <v>719</v>
      </c>
    </row>
    <row r="2280" spans="1:7" x14ac:dyDescent="0.3">
      <c r="A2280" s="5" t="str">
        <f t="shared" si="247"/>
        <v>Reebok</v>
      </c>
      <c r="B2280" s="5" t="str">
        <f t="shared" si="249"/>
        <v>Question Mid</v>
      </c>
      <c r="C2280" s="3">
        <f t="shared" si="248"/>
        <v>45809</v>
      </c>
      <c r="D2280" s="4">
        <f t="shared" ca="1" si="250"/>
        <v>139</v>
      </c>
      <c r="E2280" s="2">
        <f t="shared" ca="1" si="251"/>
        <v>7991</v>
      </c>
      <c r="F2280" s="2">
        <f t="shared" ca="1" si="252"/>
        <v>8796</v>
      </c>
      <c r="G2280" s="2">
        <f t="shared" ca="1" si="253"/>
        <v>321</v>
      </c>
    </row>
    <row r="2281" spans="1:7" x14ac:dyDescent="0.3">
      <c r="A2281" s="5" t="str">
        <f t="shared" si="247"/>
        <v>Nike</v>
      </c>
      <c r="B2281" s="5" t="str">
        <f t="shared" si="249"/>
        <v>Air Max 270</v>
      </c>
      <c r="C2281" s="3">
        <f t="shared" si="248"/>
        <v>45809</v>
      </c>
      <c r="D2281" s="4">
        <f t="shared" ca="1" si="250"/>
        <v>249</v>
      </c>
      <c r="E2281" s="2">
        <f t="shared" ca="1" si="251"/>
        <v>11692</v>
      </c>
      <c r="F2281" s="2">
        <f t="shared" ca="1" si="252"/>
        <v>5091</v>
      </c>
      <c r="G2281" s="2">
        <f t="shared" ca="1" si="253"/>
        <v>124</v>
      </c>
    </row>
    <row r="2282" spans="1:7" x14ac:dyDescent="0.3">
      <c r="A2282" s="5" t="str">
        <f t="shared" si="247"/>
        <v>Adidas</v>
      </c>
      <c r="B2282" s="5" t="str">
        <f t="shared" si="249"/>
        <v>Stan Smith</v>
      </c>
      <c r="C2282" s="3">
        <f t="shared" si="248"/>
        <v>45810</v>
      </c>
      <c r="D2282" s="4">
        <f t="shared" ca="1" si="250"/>
        <v>57</v>
      </c>
      <c r="E2282" s="2">
        <f t="shared" ca="1" si="251"/>
        <v>5318</v>
      </c>
      <c r="F2282" s="2">
        <f t="shared" ca="1" si="252"/>
        <v>8116</v>
      </c>
      <c r="G2282" s="2">
        <f t="shared" ca="1" si="253"/>
        <v>437</v>
      </c>
    </row>
    <row r="2283" spans="1:7" x14ac:dyDescent="0.3">
      <c r="A2283" s="5" t="str">
        <f t="shared" ref="A2283:A2346" si="254">CHOOSE(MOD(ROW(A2282),5)+1,"Nike","Adidas","Puma","New Balance","Reebok")</f>
        <v>Puma</v>
      </c>
      <c r="B2283" s="5" t="str">
        <f t="shared" si="249"/>
        <v>Cali Dream</v>
      </c>
      <c r="C2283" s="3">
        <f t="shared" ref="C2283:C2346" si="255">DATE(2025,1,1)+INT((ROW(A2283)-2)/15)</f>
        <v>45810</v>
      </c>
      <c r="D2283" s="4">
        <f t="shared" ca="1" si="250"/>
        <v>166</v>
      </c>
      <c r="E2283" s="2">
        <f t="shared" ca="1" si="251"/>
        <v>4112</v>
      </c>
      <c r="F2283" s="2">
        <f t="shared" ca="1" si="252"/>
        <v>8818</v>
      </c>
      <c r="G2283" s="2">
        <f t="shared" ca="1" si="253"/>
        <v>581</v>
      </c>
    </row>
    <row r="2284" spans="1:7" x14ac:dyDescent="0.3">
      <c r="A2284" s="5" t="str">
        <f t="shared" si="254"/>
        <v>New Balance</v>
      </c>
      <c r="B2284" s="5" t="str">
        <f t="shared" si="249"/>
        <v>9060</v>
      </c>
      <c r="C2284" s="3">
        <f t="shared" si="255"/>
        <v>45810</v>
      </c>
      <c r="D2284" s="4">
        <f t="shared" ca="1" si="250"/>
        <v>86</v>
      </c>
      <c r="E2284" s="2">
        <f t="shared" ca="1" si="251"/>
        <v>2926</v>
      </c>
      <c r="F2284" s="2">
        <f t="shared" ca="1" si="252"/>
        <v>20549</v>
      </c>
      <c r="G2284" s="2">
        <f t="shared" ca="1" si="253"/>
        <v>1519</v>
      </c>
    </row>
    <row r="2285" spans="1:7" x14ac:dyDescent="0.3">
      <c r="A2285" s="5" t="str">
        <f t="shared" si="254"/>
        <v>Reebok</v>
      </c>
      <c r="B2285" s="5" t="str">
        <f t="shared" si="249"/>
        <v>Zig Kinetica</v>
      </c>
      <c r="C2285" s="3">
        <f t="shared" si="255"/>
        <v>45810</v>
      </c>
      <c r="D2285" s="4">
        <f t="shared" ca="1" si="250"/>
        <v>207</v>
      </c>
      <c r="E2285" s="2">
        <f t="shared" ca="1" si="251"/>
        <v>6618</v>
      </c>
      <c r="F2285" s="2">
        <f t="shared" ca="1" si="252"/>
        <v>29309</v>
      </c>
      <c r="G2285" s="2">
        <f t="shared" ca="1" si="253"/>
        <v>1520</v>
      </c>
    </row>
    <row r="2286" spans="1:7" x14ac:dyDescent="0.3">
      <c r="A2286" s="5" t="str">
        <f t="shared" si="254"/>
        <v>Nike</v>
      </c>
      <c r="B2286" s="5" t="str">
        <f t="shared" si="249"/>
        <v>Jordan 1</v>
      </c>
      <c r="C2286" s="3">
        <f t="shared" si="255"/>
        <v>45810</v>
      </c>
      <c r="D2286" s="4">
        <f t="shared" ca="1" si="250"/>
        <v>112</v>
      </c>
      <c r="E2286" s="2">
        <f t="shared" ca="1" si="251"/>
        <v>7290</v>
      </c>
      <c r="F2286" s="2">
        <f t="shared" ca="1" si="252"/>
        <v>17710</v>
      </c>
      <c r="G2286" s="2">
        <f t="shared" ca="1" si="253"/>
        <v>1050</v>
      </c>
    </row>
    <row r="2287" spans="1:7" x14ac:dyDescent="0.3">
      <c r="A2287" s="5" t="str">
        <f t="shared" si="254"/>
        <v>Adidas</v>
      </c>
      <c r="B2287" s="5" t="str">
        <f t="shared" si="249"/>
        <v>Ultraboost 23</v>
      </c>
      <c r="C2287" s="3">
        <f t="shared" si="255"/>
        <v>45810</v>
      </c>
      <c r="D2287" s="4">
        <f t="shared" ca="1" si="250"/>
        <v>199</v>
      </c>
      <c r="E2287" s="2">
        <f t="shared" ca="1" si="251"/>
        <v>11717</v>
      </c>
      <c r="F2287" s="2">
        <f t="shared" ca="1" si="252"/>
        <v>15417</v>
      </c>
      <c r="G2287" s="2">
        <f t="shared" ca="1" si="253"/>
        <v>946</v>
      </c>
    </row>
    <row r="2288" spans="1:7" x14ac:dyDescent="0.3">
      <c r="A2288" s="5" t="str">
        <f t="shared" si="254"/>
        <v>Puma</v>
      </c>
      <c r="B2288" s="5" t="str">
        <f t="shared" si="249"/>
        <v>RS-X</v>
      </c>
      <c r="C2288" s="3">
        <f t="shared" si="255"/>
        <v>45810</v>
      </c>
      <c r="D2288" s="4">
        <f t="shared" ca="1" si="250"/>
        <v>136</v>
      </c>
      <c r="E2288" s="2">
        <f t="shared" ca="1" si="251"/>
        <v>1976</v>
      </c>
      <c r="F2288" s="2">
        <f t="shared" ca="1" si="252"/>
        <v>14430</v>
      </c>
      <c r="G2288" s="2">
        <f t="shared" ca="1" si="253"/>
        <v>541</v>
      </c>
    </row>
    <row r="2289" spans="1:7" x14ac:dyDescent="0.3">
      <c r="A2289" s="5" t="str">
        <f t="shared" si="254"/>
        <v>New Balance</v>
      </c>
      <c r="B2289" s="5" t="str">
        <f t="shared" si="249"/>
        <v>2002R</v>
      </c>
      <c r="C2289" s="3">
        <f t="shared" si="255"/>
        <v>45810</v>
      </c>
      <c r="D2289" s="4">
        <f t="shared" ca="1" si="250"/>
        <v>173</v>
      </c>
      <c r="E2289" s="2">
        <f t="shared" ca="1" si="251"/>
        <v>4180</v>
      </c>
      <c r="F2289" s="2">
        <f t="shared" ca="1" si="252"/>
        <v>12444</v>
      </c>
      <c r="G2289" s="2">
        <f t="shared" ca="1" si="253"/>
        <v>283</v>
      </c>
    </row>
    <row r="2290" spans="1:7" x14ac:dyDescent="0.3">
      <c r="A2290" s="5" t="str">
        <f t="shared" si="254"/>
        <v>Reebok</v>
      </c>
      <c r="B2290" s="5" t="str">
        <f t="shared" si="249"/>
        <v>Instapump Fury</v>
      </c>
      <c r="C2290" s="3">
        <f t="shared" si="255"/>
        <v>45810</v>
      </c>
      <c r="D2290" s="4">
        <f t="shared" ca="1" si="250"/>
        <v>44</v>
      </c>
      <c r="E2290" s="2">
        <f t="shared" ca="1" si="251"/>
        <v>2502</v>
      </c>
      <c r="F2290" s="2">
        <f t="shared" ca="1" si="252"/>
        <v>20567</v>
      </c>
      <c r="G2290" s="2">
        <f t="shared" ca="1" si="253"/>
        <v>962</v>
      </c>
    </row>
    <row r="2291" spans="1:7" x14ac:dyDescent="0.3">
      <c r="A2291" s="5" t="str">
        <f t="shared" si="254"/>
        <v>Nike</v>
      </c>
      <c r="B2291" s="5" t="str">
        <f t="shared" si="249"/>
        <v>Cortez</v>
      </c>
      <c r="C2291" s="3">
        <f t="shared" si="255"/>
        <v>45810</v>
      </c>
      <c r="D2291" s="4">
        <f t="shared" ca="1" si="250"/>
        <v>213</v>
      </c>
      <c r="E2291" s="2">
        <f t="shared" ca="1" si="251"/>
        <v>3409</v>
      </c>
      <c r="F2291" s="2">
        <f t="shared" ca="1" si="252"/>
        <v>11041</v>
      </c>
      <c r="G2291" s="2">
        <f t="shared" ca="1" si="253"/>
        <v>639</v>
      </c>
    </row>
    <row r="2292" spans="1:7" x14ac:dyDescent="0.3">
      <c r="A2292" s="5" t="str">
        <f t="shared" si="254"/>
        <v>Adidas</v>
      </c>
      <c r="B2292" s="5" t="str">
        <f t="shared" si="249"/>
        <v>NMD S1</v>
      </c>
      <c r="C2292" s="3">
        <f t="shared" si="255"/>
        <v>45810</v>
      </c>
      <c r="D2292" s="4">
        <f t="shared" ca="1" si="250"/>
        <v>147</v>
      </c>
      <c r="E2292" s="2">
        <f t="shared" ca="1" si="251"/>
        <v>1912</v>
      </c>
      <c r="F2292" s="2">
        <f t="shared" ca="1" si="252"/>
        <v>7930</v>
      </c>
      <c r="G2292" s="2">
        <f t="shared" ca="1" si="253"/>
        <v>273</v>
      </c>
    </row>
    <row r="2293" spans="1:7" x14ac:dyDescent="0.3">
      <c r="A2293" s="5" t="str">
        <f t="shared" si="254"/>
        <v>Puma</v>
      </c>
      <c r="B2293" s="5" t="str">
        <f t="shared" si="249"/>
        <v>Suede Classic</v>
      </c>
      <c r="C2293" s="3">
        <f t="shared" si="255"/>
        <v>45810</v>
      </c>
      <c r="D2293" s="4">
        <f t="shared" ca="1" si="250"/>
        <v>21</v>
      </c>
      <c r="E2293" s="2">
        <f t="shared" ca="1" si="251"/>
        <v>4644</v>
      </c>
      <c r="F2293" s="2">
        <f t="shared" ca="1" si="252"/>
        <v>33572</v>
      </c>
      <c r="G2293" s="2">
        <f t="shared" ca="1" si="253"/>
        <v>2138</v>
      </c>
    </row>
    <row r="2294" spans="1:7" x14ac:dyDescent="0.3">
      <c r="A2294" s="5" t="str">
        <f t="shared" si="254"/>
        <v>New Balance</v>
      </c>
      <c r="B2294" s="5" t="str">
        <f t="shared" si="249"/>
        <v>990v6</v>
      </c>
      <c r="C2294" s="3">
        <f t="shared" si="255"/>
        <v>45810</v>
      </c>
      <c r="D2294" s="4">
        <f t="shared" ca="1" si="250"/>
        <v>47</v>
      </c>
      <c r="E2294" s="2">
        <f t="shared" ca="1" si="251"/>
        <v>4960</v>
      </c>
      <c r="F2294" s="2">
        <f t="shared" ca="1" si="252"/>
        <v>11399</v>
      </c>
      <c r="G2294" s="2">
        <f t="shared" ca="1" si="253"/>
        <v>499</v>
      </c>
    </row>
    <row r="2295" spans="1:7" x14ac:dyDescent="0.3">
      <c r="A2295" s="5" t="str">
        <f t="shared" si="254"/>
        <v>Reebok</v>
      </c>
      <c r="B2295" s="5" t="str">
        <f t="shared" si="249"/>
        <v>Nano X3</v>
      </c>
      <c r="C2295" s="3">
        <f t="shared" si="255"/>
        <v>45810</v>
      </c>
      <c r="D2295" s="4">
        <f t="shared" ca="1" si="250"/>
        <v>173</v>
      </c>
      <c r="E2295" s="2">
        <f t="shared" ca="1" si="251"/>
        <v>4443</v>
      </c>
      <c r="F2295" s="2">
        <f t="shared" ca="1" si="252"/>
        <v>9194</v>
      </c>
      <c r="G2295" s="2">
        <f t="shared" ca="1" si="253"/>
        <v>733</v>
      </c>
    </row>
    <row r="2296" spans="1:7" x14ac:dyDescent="0.3">
      <c r="A2296" s="5" t="str">
        <f t="shared" si="254"/>
        <v>Nike</v>
      </c>
      <c r="B2296" s="5" t="str">
        <f t="shared" si="249"/>
        <v>Vaporfly 3</v>
      </c>
      <c r="C2296" s="3">
        <f t="shared" si="255"/>
        <v>45810</v>
      </c>
      <c r="D2296" s="4">
        <f t="shared" ca="1" si="250"/>
        <v>37</v>
      </c>
      <c r="E2296" s="2">
        <f t="shared" ca="1" si="251"/>
        <v>3055</v>
      </c>
      <c r="F2296" s="2">
        <f t="shared" ca="1" si="252"/>
        <v>18953</v>
      </c>
      <c r="G2296" s="2">
        <f t="shared" ca="1" si="253"/>
        <v>842</v>
      </c>
    </row>
    <row r="2297" spans="1:7" x14ac:dyDescent="0.3">
      <c r="A2297" s="5" t="str">
        <f t="shared" si="254"/>
        <v>Adidas</v>
      </c>
      <c r="B2297" s="5" t="str">
        <f t="shared" si="249"/>
        <v>Samba</v>
      </c>
      <c r="C2297" s="3">
        <f t="shared" si="255"/>
        <v>45811</v>
      </c>
      <c r="D2297" s="4">
        <f t="shared" ca="1" si="250"/>
        <v>137</v>
      </c>
      <c r="E2297" s="2">
        <f t="shared" ca="1" si="251"/>
        <v>4920</v>
      </c>
      <c r="F2297" s="2">
        <f t="shared" ca="1" si="252"/>
        <v>20696</v>
      </c>
      <c r="G2297" s="2">
        <f t="shared" ca="1" si="253"/>
        <v>536</v>
      </c>
    </row>
    <row r="2298" spans="1:7" x14ac:dyDescent="0.3">
      <c r="A2298" s="5" t="str">
        <f t="shared" si="254"/>
        <v>Puma</v>
      </c>
      <c r="B2298" s="5" t="str">
        <f t="shared" si="249"/>
        <v>Mayze</v>
      </c>
      <c r="C2298" s="3">
        <f t="shared" si="255"/>
        <v>45811</v>
      </c>
      <c r="D2298" s="4">
        <f t="shared" ca="1" si="250"/>
        <v>118</v>
      </c>
      <c r="E2298" s="2">
        <f t="shared" ca="1" si="251"/>
        <v>5751</v>
      </c>
      <c r="F2298" s="2">
        <f t="shared" ca="1" si="252"/>
        <v>18246</v>
      </c>
      <c r="G2298" s="2">
        <f t="shared" ca="1" si="253"/>
        <v>1369</v>
      </c>
    </row>
    <row r="2299" spans="1:7" x14ac:dyDescent="0.3">
      <c r="A2299" s="5" t="str">
        <f t="shared" si="254"/>
        <v>New Balance</v>
      </c>
      <c r="B2299" s="5" t="str">
        <f t="shared" si="249"/>
        <v>574 Core</v>
      </c>
      <c r="C2299" s="3">
        <f t="shared" si="255"/>
        <v>45811</v>
      </c>
      <c r="D2299" s="4">
        <f t="shared" ca="1" si="250"/>
        <v>58</v>
      </c>
      <c r="E2299" s="2">
        <f t="shared" ca="1" si="251"/>
        <v>4926</v>
      </c>
      <c r="F2299" s="2">
        <f t="shared" ca="1" si="252"/>
        <v>16878</v>
      </c>
      <c r="G2299" s="2">
        <f t="shared" ca="1" si="253"/>
        <v>630</v>
      </c>
    </row>
    <row r="2300" spans="1:7" x14ac:dyDescent="0.3">
      <c r="A2300" s="5" t="str">
        <f t="shared" si="254"/>
        <v>Reebok</v>
      </c>
      <c r="B2300" s="5" t="str">
        <f t="shared" si="249"/>
        <v>Club C 85</v>
      </c>
      <c r="C2300" s="3">
        <f t="shared" si="255"/>
        <v>45811</v>
      </c>
      <c r="D2300" s="4">
        <f t="shared" ca="1" si="250"/>
        <v>185</v>
      </c>
      <c r="E2300" s="2">
        <f t="shared" ca="1" si="251"/>
        <v>7167</v>
      </c>
      <c r="F2300" s="2">
        <f t="shared" ca="1" si="252"/>
        <v>19756</v>
      </c>
      <c r="G2300" s="2">
        <f t="shared" ca="1" si="253"/>
        <v>1519</v>
      </c>
    </row>
    <row r="2301" spans="1:7" x14ac:dyDescent="0.3">
      <c r="A2301" s="5" t="str">
        <f t="shared" si="254"/>
        <v>Nike</v>
      </c>
      <c r="B2301" s="5" t="str">
        <f t="shared" si="249"/>
        <v>Pegasus 40</v>
      </c>
      <c r="C2301" s="3">
        <f t="shared" si="255"/>
        <v>45811</v>
      </c>
      <c r="D2301" s="4">
        <f t="shared" ca="1" si="250"/>
        <v>201</v>
      </c>
      <c r="E2301" s="2">
        <f t="shared" ca="1" si="251"/>
        <v>1765</v>
      </c>
      <c r="F2301" s="2">
        <f t="shared" ca="1" si="252"/>
        <v>25574</v>
      </c>
      <c r="G2301" s="2">
        <f t="shared" ca="1" si="253"/>
        <v>677</v>
      </c>
    </row>
    <row r="2302" spans="1:7" x14ac:dyDescent="0.3">
      <c r="A2302" s="5" t="str">
        <f t="shared" si="254"/>
        <v>Adidas</v>
      </c>
      <c r="B2302" s="5" t="str">
        <f t="shared" si="249"/>
        <v>Gazelle</v>
      </c>
      <c r="C2302" s="3">
        <f t="shared" si="255"/>
        <v>45811</v>
      </c>
      <c r="D2302" s="4">
        <f t="shared" ca="1" si="250"/>
        <v>240</v>
      </c>
      <c r="E2302" s="2">
        <f t="shared" ca="1" si="251"/>
        <v>8201</v>
      </c>
      <c r="F2302" s="2">
        <f t="shared" ca="1" si="252"/>
        <v>25804</v>
      </c>
      <c r="G2302" s="2">
        <f t="shared" ca="1" si="253"/>
        <v>1957</v>
      </c>
    </row>
    <row r="2303" spans="1:7" x14ac:dyDescent="0.3">
      <c r="A2303" s="5" t="str">
        <f t="shared" si="254"/>
        <v>Puma</v>
      </c>
      <c r="B2303" s="5" t="str">
        <f t="shared" si="249"/>
        <v>Slipstream</v>
      </c>
      <c r="C2303" s="3">
        <f t="shared" si="255"/>
        <v>45811</v>
      </c>
      <c r="D2303" s="4">
        <f t="shared" ca="1" si="250"/>
        <v>132</v>
      </c>
      <c r="E2303" s="2">
        <f t="shared" ca="1" si="251"/>
        <v>8593</v>
      </c>
      <c r="F2303" s="2">
        <f t="shared" ca="1" si="252"/>
        <v>33657</v>
      </c>
      <c r="G2303" s="2">
        <f t="shared" ca="1" si="253"/>
        <v>2328</v>
      </c>
    </row>
    <row r="2304" spans="1:7" x14ac:dyDescent="0.3">
      <c r="A2304" s="5" t="str">
        <f t="shared" si="254"/>
        <v>New Balance</v>
      </c>
      <c r="B2304" s="5" t="str">
        <f t="shared" si="249"/>
        <v>550</v>
      </c>
      <c r="C2304" s="3">
        <f t="shared" si="255"/>
        <v>45811</v>
      </c>
      <c r="D2304" s="4">
        <f t="shared" ca="1" si="250"/>
        <v>151</v>
      </c>
      <c r="E2304" s="2">
        <f t="shared" ca="1" si="251"/>
        <v>7249</v>
      </c>
      <c r="F2304" s="2">
        <f t="shared" ca="1" si="252"/>
        <v>6426</v>
      </c>
      <c r="G2304" s="2">
        <f t="shared" ca="1" si="253"/>
        <v>287</v>
      </c>
    </row>
    <row r="2305" spans="1:7" x14ac:dyDescent="0.3">
      <c r="A2305" s="5" t="str">
        <f t="shared" si="254"/>
        <v>Reebok</v>
      </c>
      <c r="B2305" s="5" t="str">
        <f t="shared" si="249"/>
        <v>Classic Leather</v>
      </c>
      <c r="C2305" s="3">
        <f t="shared" si="255"/>
        <v>45811</v>
      </c>
      <c r="D2305" s="4">
        <f t="shared" ca="1" si="250"/>
        <v>95</v>
      </c>
      <c r="E2305" s="2">
        <f t="shared" ca="1" si="251"/>
        <v>8971</v>
      </c>
      <c r="F2305" s="2">
        <f t="shared" ca="1" si="252"/>
        <v>30928</v>
      </c>
      <c r="G2305" s="2">
        <f t="shared" ca="1" si="253"/>
        <v>2153</v>
      </c>
    </row>
    <row r="2306" spans="1:7" x14ac:dyDescent="0.3">
      <c r="A2306" s="5" t="str">
        <f t="shared" si="254"/>
        <v>Nike</v>
      </c>
      <c r="B2306" s="5" t="str">
        <f t="shared" si="249"/>
        <v>Air Force 1</v>
      </c>
      <c r="C2306" s="3">
        <f t="shared" si="255"/>
        <v>45811</v>
      </c>
      <c r="D2306" s="4">
        <f t="shared" ca="1" si="250"/>
        <v>130</v>
      </c>
      <c r="E2306" s="2">
        <f t="shared" ca="1" si="251"/>
        <v>3635</v>
      </c>
      <c r="F2306" s="2">
        <f t="shared" ca="1" si="252"/>
        <v>10338</v>
      </c>
      <c r="G2306" s="2">
        <f t="shared" ca="1" si="253"/>
        <v>331</v>
      </c>
    </row>
    <row r="2307" spans="1:7" x14ac:dyDescent="0.3">
      <c r="A2307" s="5" t="str">
        <f t="shared" si="254"/>
        <v>Adidas</v>
      </c>
      <c r="B2307" s="5" t="str">
        <f t="shared" ref="B2307:B2370" si="256">IF(A2307="Nike",CHOOSE(MOD(ROW(A2306),6)+1,"Air Max 270","Air Force 1","Pegasus 40","Vaporfly 3","Cortez","Jordan 1"),
 IF(A2307="Adidas",CHOOSE(MOD(ROW(A2306),6)+1,"Ultraboost 23","Stan Smith","Superstar","Gazelle","Samba","NMD S1"),
 IF(A2307="Puma",CHOOSE(MOD(ROW(A2306),6)+1,"Suede Classic","RS-X","Cali Dream","Rider Vintage","Slipstream","Mayze"),
 IF(A2307="New Balance",CHOOSE(MOD(ROW(A2306),6)+1,"574 Core","990v6","2002R","9060","327","550"),
 IF(A2307="Reebok",CHOOSE(MOD(ROW(A2306),6)+1,"Classic Leather","Club C 85","Nano X3","Instapump Fury","Zig Kinetica","Question Mid"),"")))))</f>
        <v>Superstar</v>
      </c>
      <c r="C2307" s="3">
        <f t="shared" si="255"/>
        <v>45811</v>
      </c>
      <c r="D2307" s="4">
        <f t="shared" ref="D2307:D2370" ca="1" si="257">RANDBETWEEN(20,250)</f>
        <v>73</v>
      </c>
      <c r="E2307" s="2">
        <f t="shared" ref="E2307:E2370" ca="1" si="258">ROUND(RANDBETWEEN(1500,12000)+(RANDBETWEEN(-200,200)),2)</f>
        <v>10432</v>
      </c>
      <c r="F2307" s="2">
        <f t="shared" ref="F2307:F2370" ca="1" si="259">RANDBETWEEN(5000,35000)</f>
        <v>34295</v>
      </c>
      <c r="G2307" s="2">
        <f t="shared" ref="G2307:G2370" ca="1" si="260">RANDBETWEEN(ROUND(F2307*0.02,0),ROUND(F2307*0.08,0))</f>
        <v>2744</v>
      </c>
    </row>
    <row r="2308" spans="1:7" x14ac:dyDescent="0.3">
      <c r="A2308" s="5" t="str">
        <f t="shared" si="254"/>
        <v>Puma</v>
      </c>
      <c r="B2308" s="5" t="str">
        <f t="shared" si="256"/>
        <v>Rider Vintage</v>
      </c>
      <c r="C2308" s="3">
        <f t="shared" si="255"/>
        <v>45811</v>
      </c>
      <c r="D2308" s="4">
        <f t="shared" ca="1" si="257"/>
        <v>28</v>
      </c>
      <c r="E2308" s="2">
        <f t="shared" ca="1" si="258"/>
        <v>10881</v>
      </c>
      <c r="F2308" s="2">
        <f t="shared" ca="1" si="259"/>
        <v>26648</v>
      </c>
      <c r="G2308" s="2">
        <f t="shared" ca="1" si="260"/>
        <v>1920</v>
      </c>
    </row>
    <row r="2309" spans="1:7" x14ac:dyDescent="0.3">
      <c r="A2309" s="5" t="str">
        <f t="shared" si="254"/>
        <v>New Balance</v>
      </c>
      <c r="B2309" s="5" t="str">
        <f t="shared" si="256"/>
        <v>327</v>
      </c>
      <c r="C2309" s="3">
        <f t="shared" si="255"/>
        <v>45811</v>
      </c>
      <c r="D2309" s="4">
        <f t="shared" ca="1" si="257"/>
        <v>178</v>
      </c>
      <c r="E2309" s="2">
        <f t="shared" ca="1" si="258"/>
        <v>11230</v>
      </c>
      <c r="F2309" s="2">
        <f t="shared" ca="1" si="259"/>
        <v>16484</v>
      </c>
      <c r="G2309" s="2">
        <f t="shared" ca="1" si="260"/>
        <v>896</v>
      </c>
    </row>
    <row r="2310" spans="1:7" x14ac:dyDescent="0.3">
      <c r="A2310" s="5" t="str">
        <f t="shared" si="254"/>
        <v>Reebok</v>
      </c>
      <c r="B2310" s="5" t="str">
        <f t="shared" si="256"/>
        <v>Question Mid</v>
      </c>
      <c r="C2310" s="3">
        <f t="shared" si="255"/>
        <v>45811</v>
      </c>
      <c r="D2310" s="4">
        <f t="shared" ca="1" si="257"/>
        <v>80</v>
      </c>
      <c r="E2310" s="2">
        <f t="shared" ca="1" si="258"/>
        <v>8007</v>
      </c>
      <c r="F2310" s="2">
        <f t="shared" ca="1" si="259"/>
        <v>25841</v>
      </c>
      <c r="G2310" s="2">
        <f t="shared" ca="1" si="260"/>
        <v>972</v>
      </c>
    </row>
    <row r="2311" spans="1:7" x14ac:dyDescent="0.3">
      <c r="A2311" s="5" t="str">
        <f t="shared" si="254"/>
        <v>Nike</v>
      </c>
      <c r="B2311" s="5" t="str">
        <f t="shared" si="256"/>
        <v>Air Max 270</v>
      </c>
      <c r="C2311" s="3">
        <f t="shared" si="255"/>
        <v>45811</v>
      </c>
      <c r="D2311" s="4">
        <f t="shared" ca="1" si="257"/>
        <v>105</v>
      </c>
      <c r="E2311" s="2">
        <f t="shared" ca="1" si="258"/>
        <v>5113</v>
      </c>
      <c r="F2311" s="2">
        <f t="shared" ca="1" si="259"/>
        <v>15581</v>
      </c>
      <c r="G2311" s="2">
        <f t="shared" ca="1" si="260"/>
        <v>430</v>
      </c>
    </row>
    <row r="2312" spans="1:7" x14ac:dyDescent="0.3">
      <c r="A2312" s="5" t="str">
        <f t="shared" si="254"/>
        <v>Adidas</v>
      </c>
      <c r="B2312" s="5" t="str">
        <f t="shared" si="256"/>
        <v>Stan Smith</v>
      </c>
      <c r="C2312" s="3">
        <f t="shared" si="255"/>
        <v>45812</v>
      </c>
      <c r="D2312" s="4">
        <f t="shared" ca="1" si="257"/>
        <v>27</v>
      </c>
      <c r="E2312" s="2">
        <f t="shared" ca="1" si="258"/>
        <v>8092</v>
      </c>
      <c r="F2312" s="2">
        <f t="shared" ca="1" si="259"/>
        <v>25752</v>
      </c>
      <c r="G2312" s="2">
        <f t="shared" ca="1" si="260"/>
        <v>1378</v>
      </c>
    </row>
    <row r="2313" spans="1:7" x14ac:dyDescent="0.3">
      <c r="A2313" s="5" t="str">
        <f t="shared" si="254"/>
        <v>Puma</v>
      </c>
      <c r="B2313" s="5" t="str">
        <f t="shared" si="256"/>
        <v>Cali Dream</v>
      </c>
      <c r="C2313" s="3">
        <f t="shared" si="255"/>
        <v>45812</v>
      </c>
      <c r="D2313" s="4">
        <f t="shared" ca="1" si="257"/>
        <v>238</v>
      </c>
      <c r="E2313" s="2">
        <f t="shared" ca="1" si="258"/>
        <v>10594</v>
      </c>
      <c r="F2313" s="2">
        <f t="shared" ca="1" si="259"/>
        <v>6315</v>
      </c>
      <c r="G2313" s="2">
        <f t="shared" ca="1" si="260"/>
        <v>170</v>
      </c>
    </row>
    <row r="2314" spans="1:7" x14ac:dyDescent="0.3">
      <c r="A2314" s="5" t="str">
        <f t="shared" si="254"/>
        <v>New Balance</v>
      </c>
      <c r="B2314" s="5" t="str">
        <f t="shared" si="256"/>
        <v>9060</v>
      </c>
      <c r="C2314" s="3">
        <f t="shared" si="255"/>
        <v>45812</v>
      </c>
      <c r="D2314" s="4">
        <f t="shared" ca="1" si="257"/>
        <v>72</v>
      </c>
      <c r="E2314" s="2">
        <f t="shared" ca="1" si="258"/>
        <v>10100</v>
      </c>
      <c r="F2314" s="2">
        <f t="shared" ca="1" si="259"/>
        <v>20445</v>
      </c>
      <c r="G2314" s="2">
        <f t="shared" ca="1" si="260"/>
        <v>1473</v>
      </c>
    </row>
    <row r="2315" spans="1:7" x14ac:dyDescent="0.3">
      <c r="A2315" s="5" t="str">
        <f t="shared" si="254"/>
        <v>Reebok</v>
      </c>
      <c r="B2315" s="5" t="str">
        <f t="shared" si="256"/>
        <v>Zig Kinetica</v>
      </c>
      <c r="C2315" s="3">
        <f t="shared" si="255"/>
        <v>45812</v>
      </c>
      <c r="D2315" s="4">
        <f t="shared" ca="1" si="257"/>
        <v>120</v>
      </c>
      <c r="E2315" s="2">
        <f t="shared" ca="1" si="258"/>
        <v>1863</v>
      </c>
      <c r="F2315" s="2">
        <f t="shared" ca="1" si="259"/>
        <v>32243</v>
      </c>
      <c r="G2315" s="2">
        <f t="shared" ca="1" si="260"/>
        <v>1227</v>
      </c>
    </row>
    <row r="2316" spans="1:7" x14ac:dyDescent="0.3">
      <c r="A2316" s="5" t="str">
        <f t="shared" si="254"/>
        <v>Nike</v>
      </c>
      <c r="B2316" s="5" t="str">
        <f t="shared" si="256"/>
        <v>Jordan 1</v>
      </c>
      <c r="C2316" s="3">
        <f t="shared" si="255"/>
        <v>45812</v>
      </c>
      <c r="D2316" s="4">
        <f t="shared" ca="1" si="257"/>
        <v>233</v>
      </c>
      <c r="E2316" s="2">
        <f t="shared" ca="1" si="258"/>
        <v>3703</v>
      </c>
      <c r="F2316" s="2">
        <f t="shared" ca="1" si="259"/>
        <v>31427</v>
      </c>
      <c r="G2316" s="2">
        <f t="shared" ca="1" si="260"/>
        <v>1558</v>
      </c>
    </row>
    <row r="2317" spans="1:7" x14ac:dyDescent="0.3">
      <c r="A2317" s="5" t="str">
        <f t="shared" si="254"/>
        <v>Adidas</v>
      </c>
      <c r="B2317" s="5" t="str">
        <f t="shared" si="256"/>
        <v>Ultraboost 23</v>
      </c>
      <c r="C2317" s="3">
        <f t="shared" si="255"/>
        <v>45812</v>
      </c>
      <c r="D2317" s="4">
        <f t="shared" ca="1" si="257"/>
        <v>219</v>
      </c>
      <c r="E2317" s="2">
        <f t="shared" ca="1" si="258"/>
        <v>5285</v>
      </c>
      <c r="F2317" s="2">
        <f t="shared" ca="1" si="259"/>
        <v>19470</v>
      </c>
      <c r="G2317" s="2">
        <f t="shared" ca="1" si="260"/>
        <v>1381</v>
      </c>
    </row>
    <row r="2318" spans="1:7" x14ac:dyDescent="0.3">
      <c r="A2318" s="5" t="str">
        <f t="shared" si="254"/>
        <v>Puma</v>
      </c>
      <c r="B2318" s="5" t="str">
        <f t="shared" si="256"/>
        <v>RS-X</v>
      </c>
      <c r="C2318" s="3">
        <f t="shared" si="255"/>
        <v>45812</v>
      </c>
      <c r="D2318" s="4">
        <f t="shared" ca="1" si="257"/>
        <v>204</v>
      </c>
      <c r="E2318" s="2">
        <f t="shared" ca="1" si="258"/>
        <v>8614</v>
      </c>
      <c r="F2318" s="2">
        <f t="shared" ca="1" si="259"/>
        <v>25890</v>
      </c>
      <c r="G2318" s="2">
        <f t="shared" ca="1" si="260"/>
        <v>1427</v>
      </c>
    </row>
    <row r="2319" spans="1:7" x14ac:dyDescent="0.3">
      <c r="A2319" s="5" t="str">
        <f t="shared" si="254"/>
        <v>New Balance</v>
      </c>
      <c r="B2319" s="5" t="str">
        <f t="shared" si="256"/>
        <v>2002R</v>
      </c>
      <c r="C2319" s="3">
        <f t="shared" si="255"/>
        <v>45812</v>
      </c>
      <c r="D2319" s="4">
        <f t="shared" ca="1" si="257"/>
        <v>136</v>
      </c>
      <c r="E2319" s="2">
        <f t="shared" ca="1" si="258"/>
        <v>4496</v>
      </c>
      <c r="F2319" s="2">
        <f t="shared" ca="1" si="259"/>
        <v>21193</v>
      </c>
      <c r="G2319" s="2">
        <f t="shared" ca="1" si="260"/>
        <v>782</v>
      </c>
    </row>
    <row r="2320" spans="1:7" x14ac:dyDescent="0.3">
      <c r="A2320" s="5" t="str">
        <f t="shared" si="254"/>
        <v>Reebok</v>
      </c>
      <c r="B2320" s="5" t="str">
        <f t="shared" si="256"/>
        <v>Instapump Fury</v>
      </c>
      <c r="C2320" s="3">
        <f t="shared" si="255"/>
        <v>45812</v>
      </c>
      <c r="D2320" s="4">
        <f t="shared" ca="1" si="257"/>
        <v>43</v>
      </c>
      <c r="E2320" s="2">
        <f t="shared" ca="1" si="258"/>
        <v>6923</v>
      </c>
      <c r="F2320" s="2">
        <f t="shared" ca="1" si="259"/>
        <v>10995</v>
      </c>
      <c r="G2320" s="2">
        <f t="shared" ca="1" si="260"/>
        <v>260</v>
      </c>
    </row>
    <row r="2321" spans="1:7" x14ac:dyDescent="0.3">
      <c r="A2321" s="5" t="str">
        <f t="shared" si="254"/>
        <v>Nike</v>
      </c>
      <c r="B2321" s="5" t="str">
        <f t="shared" si="256"/>
        <v>Cortez</v>
      </c>
      <c r="C2321" s="3">
        <f t="shared" si="255"/>
        <v>45812</v>
      </c>
      <c r="D2321" s="4">
        <f t="shared" ca="1" si="257"/>
        <v>154</v>
      </c>
      <c r="E2321" s="2">
        <f t="shared" ca="1" si="258"/>
        <v>5608</v>
      </c>
      <c r="F2321" s="2">
        <f t="shared" ca="1" si="259"/>
        <v>12991</v>
      </c>
      <c r="G2321" s="2">
        <f t="shared" ca="1" si="260"/>
        <v>995</v>
      </c>
    </row>
    <row r="2322" spans="1:7" x14ac:dyDescent="0.3">
      <c r="A2322" s="5" t="str">
        <f t="shared" si="254"/>
        <v>Adidas</v>
      </c>
      <c r="B2322" s="5" t="str">
        <f t="shared" si="256"/>
        <v>NMD S1</v>
      </c>
      <c r="C2322" s="3">
        <f t="shared" si="255"/>
        <v>45812</v>
      </c>
      <c r="D2322" s="4">
        <f t="shared" ca="1" si="257"/>
        <v>194</v>
      </c>
      <c r="E2322" s="2">
        <f t="shared" ca="1" si="258"/>
        <v>8744</v>
      </c>
      <c r="F2322" s="2">
        <f t="shared" ca="1" si="259"/>
        <v>9618</v>
      </c>
      <c r="G2322" s="2">
        <f t="shared" ca="1" si="260"/>
        <v>484</v>
      </c>
    </row>
    <row r="2323" spans="1:7" x14ac:dyDescent="0.3">
      <c r="A2323" s="5" t="str">
        <f t="shared" si="254"/>
        <v>Puma</v>
      </c>
      <c r="B2323" s="5" t="str">
        <f t="shared" si="256"/>
        <v>Suede Classic</v>
      </c>
      <c r="C2323" s="3">
        <f t="shared" si="255"/>
        <v>45812</v>
      </c>
      <c r="D2323" s="4">
        <f t="shared" ca="1" si="257"/>
        <v>64</v>
      </c>
      <c r="E2323" s="2">
        <f t="shared" ca="1" si="258"/>
        <v>10753</v>
      </c>
      <c r="F2323" s="2">
        <f t="shared" ca="1" si="259"/>
        <v>15074</v>
      </c>
      <c r="G2323" s="2">
        <f t="shared" ca="1" si="260"/>
        <v>1130</v>
      </c>
    </row>
    <row r="2324" spans="1:7" x14ac:dyDescent="0.3">
      <c r="A2324" s="5" t="str">
        <f t="shared" si="254"/>
        <v>New Balance</v>
      </c>
      <c r="B2324" s="5" t="str">
        <f t="shared" si="256"/>
        <v>990v6</v>
      </c>
      <c r="C2324" s="3">
        <f t="shared" si="255"/>
        <v>45812</v>
      </c>
      <c r="D2324" s="4">
        <f t="shared" ca="1" si="257"/>
        <v>114</v>
      </c>
      <c r="E2324" s="2">
        <f t="shared" ca="1" si="258"/>
        <v>2165</v>
      </c>
      <c r="F2324" s="2">
        <f t="shared" ca="1" si="259"/>
        <v>30864</v>
      </c>
      <c r="G2324" s="2">
        <f t="shared" ca="1" si="260"/>
        <v>2139</v>
      </c>
    </row>
    <row r="2325" spans="1:7" x14ac:dyDescent="0.3">
      <c r="A2325" s="5" t="str">
        <f t="shared" si="254"/>
        <v>Reebok</v>
      </c>
      <c r="B2325" s="5" t="str">
        <f t="shared" si="256"/>
        <v>Nano X3</v>
      </c>
      <c r="C2325" s="3">
        <f t="shared" si="255"/>
        <v>45812</v>
      </c>
      <c r="D2325" s="4">
        <f t="shared" ca="1" si="257"/>
        <v>244</v>
      </c>
      <c r="E2325" s="2">
        <f t="shared" ca="1" si="258"/>
        <v>7846</v>
      </c>
      <c r="F2325" s="2">
        <f t="shared" ca="1" si="259"/>
        <v>30923</v>
      </c>
      <c r="G2325" s="2">
        <f t="shared" ca="1" si="260"/>
        <v>817</v>
      </c>
    </row>
    <row r="2326" spans="1:7" x14ac:dyDescent="0.3">
      <c r="A2326" s="5" t="str">
        <f t="shared" si="254"/>
        <v>Nike</v>
      </c>
      <c r="B2326" s="5" t="str">
        <f t="shared" si="256"/>
        <v>Vaporfly 3</v>
      </c>
      <c r="C2326" s="3">
        <f t="shared" si="255"/>
        <v>45812</v>
      </c>
      <c r="D2326" s="4">
        <f t="shared" ca="1" si="257"/>
        <v>177</v>
      </c>
      <c r="E2326" s="2">
        <f t="shared" ca="1" si="258"/>
        <v>9664</v>
      </c>
      <c r="F2326" s="2">
        <f t="shared" ca="1" si="259"/>
        <v>21002</v>
      </c>
      <c r="G2326" s="2">
        <f t="shared" ca="1" si="260"/>
        <v>1124</v>
      </c>
    </row>
    <row r="2327" spans="1:7" x14ac:dyDescent="0.3">
      <c r="A2327" s="5" t="str">
        <f t="shared" si="254"/>
        <v>Adidas</v>
      </c>
      <c r="B2327" s="5" t="str">
        <f t="shared" si="256"/>
        <v>Samba</v>
      </c>
      <c r="C2327" s="3">
        <f t="shared" si="255"/>
        <v>45813</v>
      </c>
      <c r="D2327" s="4">
        <f t="shared" ca="1" si="257"/>
        <v>90</v>
      </c>
      <c r="E2327" s="2">
        <f t="shared" ca="1" si="258"/>
        <v>5864</v>
      </c>
      <c r="F2327" s="2">
        <f t="shared" ca="1" si="259"/>
        <v>8052</v>
      </c>
      <c r="G2327" s="2">
        <f t="shared" ca="1" si="260"/>
        <v>204</v>
      </c>
    </row>
    <row r="2328" spans="1:7" x14ac:dyDescent="0.3">
      <c r="A2328" s="5" t="str">
        <f t="shared" si="254"/>
        <v>Puma</v>
      </c>
      <c r="B2328" s="5" t="str">
        <f t="shared" si="256"/>
        <v>Mayze</v>
      </c>
      <c r="C2328" s="3">
        <f t="shared" si="255"/>
        <v>45813</v>
      </c>
      <c r="D2328" s="4">
        <f t="shared" ca="1" si="257"/>
        <v>249</v>
      </c>
      <c r="E2328" s="2">
        <f t="shared" ca="1" si="258"/>
        <v>5732</v>
      </c>
      <c r="F2328" s="2">
        <f t="shared" ca="1" si="259"/>
        <v>16063</v>
      </c>
      <c r="G2328" s="2">
        <f t="shared" ca="1" si="260"/>
        <v>573</v>
      </c>
    </row>
    <row r="2329" spans="1:7" x14ac:dyDescent="0.3">
      <c r="A2329" s="5" t="str">
        <f t="shared" si="254"/>
        <v>New Balance</v>
      </c>
      <c r="B2329" s="5" t="str">
        <f t="shared" si="256"/>
        <v>574 Core</v>
      </c>
      <c r="C2329" s="3">
        <f t="shared" si="255"/>
        <v>45813</v>
      </c>
      <c r="D2329" s="4">
        <f t="shared" ca="1" si="257"/>
        <v>180</v>
      </c>
      <c r="E2329" s="2">
        <f t="shared" ca="1" si="258"/>
        <v>6325</v>
      </c>
      <c r="F2329" s="2">
        <f t="shared" ca="1" si="259"/>
        <v>31835</v>
      </c>
      <c r="G2329" s="2">
        <f t="shared" ca="1" si="260"/>
        <v>1995</v>
      </c>
    </row>
    <row r="2330" spans="1:7" x14ac:dyDescent="0.3">
      <c r="A2330" s="5" t="str">
        <f t="shared" si="254"/>
        <v>Reebok</v>
      </c>
      <c r="B2330" s="5" t="str">
        <f t="shared" si="256"/>
        <v>Club C 85</v>
      </c>
      <c r="C2330" s="3">
        <f t="shared" si="255"/>
        <v>45813</v>
      </c>
      <c r="D2330" s="4">
        <f t="shared" ca="1" si="257"/>
        <v>111</v>
      </c>
      <c r="E2330" s="2">
        <f t="shared" ca="1" si="258"/>
        <v>1677</v>
      </c>
      <c r="F2330" s="2">
        <f t="shared" ca="1" si="259"/>
        <v>22733</v>
      </c>
      <c r="G2330" s="2">
        <f t="shared" ca="1" si="260"/>
        <v>1462</v>
      </c>
    </row>
    <row r="2331" spans="1:7" x14ac:dyDescent="0.3">
      <c r="A2331" s="5" t="str">
        <f t="shared" si="254"/>
        <v>Nike</v>
      </c>
      <c r="B2331" s="5" t="str">
        <f t="shared" si="256"/>
        <v>Pegasus 40</v>
      </c>
      <c r="C2331" s="3">
        <f t="shared" si="255"/>
        <v>45813</v>
      </c>
      <c r="D2331" s="4">
        <f t="shared" ca="1" si="257"/>
        <v>195</v>
      </c>
      <c r="E2331" s="2">
        <f t="shared" ca="1" si="258"/>
        <v>3145</v>
      </c>
      <c r="F2331" s="2">
        <f t="shared" ca="1" si="259"/>
        <v>10048</v>
      </c>
      <c r="G2331" s="2">
        <f t="shared" ca="1" si="260"/>
        <v>529</v>
      </c>
    </row>
    <row r="2332" spans="1:7" x14ac:dyDescent="0.3">
      <c r="A2332" s="5" t="str">
        <f t="shared" si="254"/>
        <v>Adidas</v>
      </c>
      <c r="B2332" s="5" t="str">
        <f t="shared" si="256"/>
        <v>Gazelle</v>
      </c>
      <c r="C2332" s="3">
        <f t="shared" si="255"/>
        <v>45813</v>
      </c>
      <c r="D2332" s="4">
        <f t="shared" ca="1" si="257"/>
        <v>22</v>
      </c>
      <c r="E2332" s="2">
        <f t="shared" ca="1" si="258"/>
        <v>4294</v>
      </c>
      <c r="F2332" s="2">
        <f t="shared" ca="1" si="259"/>
        <v>5318</v>
      </c>
      <c r="G2332" s="2">
        <f t="shared" ca="1" si="260"/>
        <v>288</v>
      </c>
    </row>
    <row r="2333" spans="1:7" x14ac:dyDescent="0.3">
      <c r="A2333" s="5" t="str">
        <f t="shared" si="254"/>
        <v>Puma</v>
      </c>
      <c r="B2333" s="5" t="str">
        <f t="shared" si="256"/>
        <v>Slipstream</v>
      </c>
      <c r="C2333" s="3">
        <f t="shared" si="255"/>
        <v>45813</v>
      </c>
      <c r="D2333" s="4">
        <f t="shared" ca="1" si="257"/>
        <v>227</v>
      </c>
      <c r="E2333" s="2">
        <f t="shared" ca="1" si="258"/>
        <v>7270</v>
      </c>
      <c r="F2333" s="2">
        <f t="shared" ca="1" si="259"/>
        <v>15160</v>
      </c>
      <c r="G2333" s="2">
        <f t="shared" ca="1" si="260"/>
        <v>898</v>
      </c>
    </row>
    <row r="2334" spans="1:7" x14ac:dyDescent="0.3">
      <c r="A2334" s="5" t="str">
        <f t="shared" si="254"/>
        <v>New Balance</v>
      </c>
      <c r="B2334" s="5" t="str">
        <f t="shared" si="256"/>
        <v>550</v>
      </c>
      <c r="C2334" s="3">
        <f t="shared" si="255"/>
        <v>45813</v>
      </c>
      <c r="D2334" s="4">
        <f t="shared" ca="1" si="257"/>
        <v>232</v>
      </c>
      <c r="E2334" s="2">
        <f t="shared" ca="1" si="258"/>
        <v>2737</v>
      </c>
      <c r="F2334" s="2">
        <f t="shared" ca="1" si="259"/>
        <v>23723</v>
      </c>
      <c r="G2334" s="2">
        <f t="shared" ca="1" si="260"/>
        <v>695</v>
      </c>
    </row>
    <row r="2335" spans="1:7" x14ac:dyDescent="0.3">
      <c r="A2335" s="5" t="str">
        <f t="shared" si="254"/>
        <v>Reebok</v>
      </c>
      <c r="B2335" s="5" t="str">
        <f t="shared" si="256"/>
        <v>Classic Leather</v>
      </c>
      <c r="C2335" s="3">
        <f t="shared" si="255"/>
        <v>45813</v>
      </c>
      <c r="D2335" s="4">
        <f t="shared" ca="1" si="257"/>
        <v>101</v>
      </c>
      <c r="E2335" s="2">
        <f t="shared" ca="1" si="258"/>
        <v>3312</v>
      </c>
      <c r="F2335" s="2">
        <f t="shared" ca="1" si="259"/>
        <v>21595</v>
      </c>
      <c r="G2335" s="2">
        <f t="shared" ca="1" si="260"/>
        <v>981</v>
      </c>
    </row>
    <row r="2336" spans="1:7" x14ac:dyDescent="0.3">
      <c r="A2336" s="5" t="str">
        <f t="shared" si="254"/>
        <v>Nike</v>
      </c>
      <c r="B2336" s="5" t="str">
        <f t="shared" si="256"/>
        <v>Air Force 1</v>
      </c>
      <c r="C2336" s="3">
        <f t="shared" si="255"/>
        <v>45813</v>
      </c>
      <c r="D2336" s="4">
        <f t="shared" ca="1" si="257"/>
        <v>105</v>
      </c>
      <c r="E2336" s="2">
        <f t="shared" ca="1" si="258"/>
        <v>9638</v>
      </c>
      <c r="F2336" s="2">
        <f t="shared" ca="1" si="259"/>
        <v>21352</v>
      </c>
      <c r="G2336" s="2">
        <f t="shared" ca="1" si="260"/>
        <v>661</v>
      </c>
    </row>
    <row r="2337" spans="1:7" x14ac:dyDescent="0.3">
      <c r="A2337" s="5" t="str">
        <f t="shared" si="254"/>
        <v>Adidas</v>
      </c>
      <c r="B2337" s="5" t="str">
        <f t="shared" si="256"/>
        <v>Superstar</v>
      </c>
      <c r="C2337" s="3">
        <f t="shared" si="255"/>
        <v>45813</v>
      </c>
      <c r="D2337" s="4">
        <f t="shared" ca="1" si="257"/>
        <v>120</v>
      </c>
      <c r="E2337" s="2">
        <f t="shared" ca="1" si="258"/>
        <v>11007</v>
      </c>
      <c r="F2337" s="2">
        <f t="shared" ca="1" si="259"/>
        <v>28750</v>
      </c>
      <c r="G2337" s="2">
        <f t="shared" ca="1" si="260"/>
        <v>1526</v>
      </c>
    </row>
    <row r="2338" spans="1:7" x14ac:dyDescent="0.3">
      <c r="A2338" s="5" t="str">
        <f t="shared" si="254"/>
        <v>Puma</v>
      </c>
      <c r="B2338" s="5" t="str">
        <f t="shared" si="256"/>
        <v>Rider Vintage</v>
      </c>
      <c r="C2338" s="3">
        <f t="shared" si="255"/>
        <v>45813</v>
      </c>
      <c r="D2338" s="4">
        <f t="shared" ca="1" si="257"/>
        <v>29</v>
      </c>
      <c r="E2338" s="2">
        <f t="shared" ca="1" si="258"/>
        <v>9026</v>
      </c>
      <c r="F2338" s="2">
        <f t="shared" ca="1" si="259"/>
        <v>23554</v>
      </c>
      <c r="G2338" s="2">
        <f t="shared" ca="1" si="260"/>
        <v>517</v>
      </c>
    </row>
    <row r="2339" spans="1:7" x14ac:dyDescent="0.3">
      <c r="A2339" s="5" t="str">
        <f t="shared" si="254"/>
        <v>New Balance</v>
      </c>
      <c r="B2339" s="5" t="str">
        <f t="shared" si="256"/>
        <v>327</v>
      </c>
      <c r="C2339" s="3">
        <f t="shared" si="255"/>
        <v>45813</v>
      </c>
      <c r="D2339" s="4">
        <f t="shared" ca="1" si="257"/>
        <v>226</v>
      </c>
      <c r="E2339" s="2">
        <f t="shared" ca="1" si="258"/>
        <v>6790</v>
      </c>
      <c r="F2339" s="2">
        <f t="shared" ca="1" si="259"/>
        <v>25561</v>
      </c>
      <c r="G2339" s="2">
        <f t="shared" ca="1" si="260"/>
        <v>1273</v>
      </c>
    </row>
    <row r="2340" spans="1:7" x14ac:dyDescent="0.3">
      <c r="A2340" s="5" t="str">
        <f t="shared" si="254"/>
        <v>Reebok</v>
      </c>
      <c r="B2340" s="5" t="str">
        <f t="shared" si="256"/>
        <v>Question Mid</v>
      </c>
      <c r="C2340" s="3">
        <f t="shared" si="255"/>
        <v>45813</v>
      </c>
      <c r="D2340" s="4">
        <f t="shared" ca="1" si="257"/>
        <v>165</v>
      </c>
      <c r="E2340" s="2">
        <f t="shared" ca="1" si="258"/>
        <v>1787</v>
      </c>
      <c r="F2340" s="2">
        <f t="shared" ca="1" si="259"/>
        <v>8285</v>
      </c>
      <c r="G2340" s="2">
        <f t="shared" ca="1" si="260"/>
        <v>603</v>
      </c>
    </row>
    <row r="2341" spans="1:7" x14ac:dyDescent="0.3">
      <c r="A2341" s="5" t="str">
        <f t="shared" si="254"/>
        <v>Nike</v>
      </c>
      <c r="B2341" s="5" t="str">
        <f t="shared" si="256"/>
        <v>Air Max 270</v>
      </c>
      <c r="C2341" s="3">
        <f t="shared" si="255"/>
        <v>45813</v>
      </c>
      <c r="D2341" s="4">
        <f t="shared" ca="1" si="257"/>
        <v>244</v>
      </c>
      <c r="E2341" s="2">
        <f t="shared" ca="1" si="258"/>
        <v>5194</v>
      </c>
      <c r="F2341" s="2">
        <f t="shared" ca="1" si="259"/>
        <v>31021</v>
      </c>
      <c r="G2341" s="2">
        <f t="shared" ca="1" si="260"/>
        <v>1693</v>
      </c>
    </row>
    <row r="2342" spans="1:7" x14ac:dyDescent="0.3">
      <c r="A2342" s="5" t="str">
        <f t="shared" si="254"/>
        <v>Adidas</v>
      </c>
      <c r="B2342" s="5" t="str">
        <f t="shared" si="256"/>
        <v>Stan Smith</v>
      </c>
      <c r="C2342" s="3">
        <f t="shared" si="255"/>
        <v>45814</v>
      </c>
      <c r="D2342" s="4">
        <f t="shared" ca="1" si="257"/>
        <v>66</v>
      </c>
      <c r="E2342" s="2">
        <f t="shared" ca="1" si="258"/>
        <v>6902</v>
      </c>
      <c r="F2342" s="2">
        <f t="shared" ca="1" si="259"/>
        <v>5676</v>
      </c>
      <c r="G2342" s="2">
        <f t="shared" ca="1" si="260"/>
        <v>391</v>
      </c>
    </row>
    <row r="2343" spans="1:7" x14ac:dyDescent="0.3">
      <c r="A2343" s="5" t="str">
        <f t="shared" si="254"/>
        <v>Puma</v>
      </c>
      <c r="B2343" s="5" t="str">
        <f t="shared" si="256"/>
        <v>Cali Dream</v>
      </c>
      <c r="C2343" s="3">
        <f t="shared" si="255"/>
        <v>45814</v>
      </c>
      <c r="D2343" s="4">
        <f t="shared" ca="1" si="257"/>
        <v>200</v>
      </c>
      <c r="E2343" s="2">
        <f t="shared" ca="1" si="258"/>
        <v>8537</v>
      </c>
      <c r="F2343" s="2">
        <f t="shared" ca="1" si="259"/>
        <v>34560</v>
      </c>
      <c r="G2343" s="2">
        <f t="shared" ca="1" si="260"/>
        <v>1267</v>
      </c>
    </row>
    <row r="2344" spans="1:7" x14ac:dyDescent="0.3">
      <c r="A2344" s="5" t="str">
        <f t="shared" si="254"/>
        <v>New Balance</v>
      </c>
      <c r="B2344" s="5" t="str">
        <f t="shared" si="256"/>
        <v>9060</v>
      </c>
      <c r="C2344" s="3">
        <f t="shared" si="255"/>
        <v>45814</v>
      </c>
      <c r="D2344" s="4">
        <f t="shared" ca="1" si="257"/>
        <v>50</v>
      </c>
      <c r="E2344" s="2">
        <f t="shared" ca="1" si="258"/>
        <v>6057</v>
      </c>
      <c r="F2344" s="2">
        <f t="shared" ca="1" si="259"/>
        <v>7001</v>
      </c>
      <c r="G2344" s="2">
        <f t="shared" ca="1" si="260"/>
        <v>141</v>
      </c>
    </row>
    <row r="2345" spans="1:7" x14ac:dyDescent="0.3">
      <c r="A2345" s="5" t="str">
        <f t="shared" si="254"/>
        <v>Reebok</v>
      </c>
      <c r="B2345" s="5" t="str">
        <f t="shared" si="256"/>
        <v>Zig Kinetica</v>
      </c>
      <c r="C2345" s="3">
        <f t="shared" si="255"/>
        <v>45814</v>
      </c>
      <c r="D2345" s="4">
        <f t="shared" ca="1" si="257"/>
        <v>46</v>
      </c>
      <c r="E2345" s="2">
        <f t="shared" ca="1" si="258"/>
        <v>9548</v>
      </c>
      <c r="F2345" s="2">
        <f t="shared" ca="1" si="259"/>
        <v>28368</v>
      </c>
      <c r="G2345" s="2">
        <f t="shared" ca="1" si="260"/>
        <v>751</v>
      </c>
    </row>
    <row r="2346" spans="1:7" x14ac:dyDescent="0.3">
      <c r="A2346" s="5" t="str">
        <f t="shared" si="254"/>
        <v>Nike</v>
      </c>
      <c r="B2346" s="5" t="str">
        <f t="shared" si="256"/>
        <v>Jordan 1</v>
      </c>
      <c r="C2346" s="3">
        <f t="shared" si="255"/>
        <v>45814</v>
      </c>
      <c r="D2346" s="4">
        <f t="shared" ca="1" si="257"/>
        <v>46</v>
      </c>
      <c r="E2346" s="2">
        <f t="shared" ca="1" si="258"/>
        <v>6636</v>
      </c>
      <c r="F2346" s="2">
        <f t="shared" ca="1" si="259"/>
        <v>23484</v>
      </c>
      <c r="G2346" s="2">
        <f t="shared" ca="1" si="260"/>
        <v>1814</v>
      </c>
    </row>
    <row r="2347" spans="1:7" x14ac:dyDescent="0.3">
      <c r="A2347" s="5" t="str">
        <f t="shared" ref="A2347:A2410" si="261">CHOOSE(MOD(ROW(A2346),5)+1,"Nike","Adidas","Puma","New Balance","Reebok")</f>
        <v>Adidas</v>
      </c>
      <c r="B2347" s="5" t="str">
        <f t="shared" si="256"/>
        <v>Ultraboost 23</v>
      </c>
      <c r="C2347" s="3">
        <f t="shared" ref="C2347:C2410" si="262">DATE(2025,1,1)+INT((ROW(A2347)-2)/15)</f>
        <v>45814</v>
      </c>
      <c r="D2347" s="4">
        <f t="shared" ca="1" si="257"/>
        <v>56</v>
      </c>
      <c r="E2347" s="2">
        <f t="shared" ca="1" si="258"/>
        <v>7232</v>
      </c>
      <c r="F2347" s="2">
        <f t="shared" ca="1" si="259"/>
        <v>13642</v>
      </c>
      <c r="G2347" s="2">
        <f t="shared" ca="1" si="260"/>
        <v>823</v>
      </c>
    </row>
    <row r="2348" spans="1:7" x14ac:dyDescent="0.3">
      <c r="A2348" s="5" t="str">
        <f t="shared" si="261"/>
        <v>Puma</v>
      </c>
      <c r="B2348" s="5" t="str">
        <f t="shared" si="256"/>
        <v>RS-X</v>
      </c>
      <c r="C2348" s="3">
        <f t="shared" si="262"/>
        <v>45814</v>
      </c>
      <c r="D2348" s="4">
        <f t="shared" ca="1" si="257"/>
        <v>28</v>
      </c>
      <c r="E2348" s="2">
        <f t="shared" ca="1" si="258"/>
        <v>10446</v>
      </c>
      <c r="F2348" s="2">
        <f t="shared" ca="1" si="259"/>
        <v>6152</v>
      </c>
      <c r="G2348" s="2">
        <f t="shared" ca="1" si="260"/>
        <v>425</v>
      </c>
    </row>
    <row r="2349" spans="1:7" x14ac:dyDescent="0.3">
      <c r="A2349" s="5" t="str">
        <f t="shared" si="261"/>
        <v>New Balance</v>
      </c>
      <c r="B2349" s="5" t="str">
        <f t="shared" si="256"/>
        <v>2002R</v>
      </c>
      <c r="C2349" s="3">
        <f t="shared" si="262"/>
        <v>45814</v>
      </c>
      <c r="D2349" s="4">
        <f t="shared" ca="1" si="257"/>
        <v>55</v>
      </c>
      <c r="E2349" s="2">
        <f t="shared" ca="1" si="258"/>
        <v>6646</v>
      </c>
      <c r="F2349" s="2">
        <f t="shared" ca="1" si="259"/>
        <v>26426</v>
      </c>
      <c r="G2349" s="2">
        <f t="shared" ca="1" si="260"/>
        <v>1269</v>
      </c>
    </row>
    <row r="2350" spans="1:7" x14ac:dyDescent="0.3">
      <c r="A2350" s="5" t="str">
        <f t="shared" si="261"/>
        <v>Reebok</v>
      </c>
      <c r="B2350" s="5" t="str">
        <f t="shared" si="256"/>
        <v>Instapump Fury</v>
      </c>
      <c r="C2350" s="3">
        <f t="shared" si="262"/>
        <v>45814</v>
      </c>
      <c r="D2350" s="4">
        <f t="shared" ca="1" si="257"/>
        <v>53</v>
      </c>
      <c r="E2350" s="2">
        <f t="shared" ca="1" si="258"/>
        <v>8003</v>
      </c>
      <c r="F2350" s="2">
        <f t="shared" ca="1" si="259"/>
        <v>15710</v>
      </c>
      <c r="G2350" s="2">
        <f t="shared" ca="1" si="260"/>
        <v>844</v>
      </c>
    </row>
    <row r="2351" spans="1:7" x14ac:dyDescent="0.3">
      <c r="A2351" s="5" t="str">
        <f t="shared" si="261"/>
        <v>Nike</v>
      </c>
      <c r="B2351" s="5" t="str">
        <f t="shared" si="256"/>
        <v>Cortez</v>
      </c>
      <c r="C2351" s="3">
        <f t="shared" si="262"/>
        <v>45814</v>
      </c>
      <c r="D2351" s="4">
        <f t="shared" ca="1" si="257"/>
        <v>32</v>
      </c>
      <c r="E2351" s="2">
        <f t="shared" ca="1" si="258"/>
        <v>2792</v>
      </c>
      <c r="F2351" s="2">
        <f t="shared" ca="1" si="259"/>
        <v>17657</v>
      </c>
      <c r="G2351" s="2">
        <f t="shared" ca="1" si="260"/>
        <v>777</v>
      </c>
    </row>
    <row r="2352" spans="1:7" x14ac:dyDescent="0.3">
      <c r="A2352" s="5" t="str">
        <f t="shared" si="261"/>
        <v>Adidas</v>
      </c>
      <c r="B2352" s="5" t="str">
        <f t="shared" si="256"/>
        <v>NMD S1</v>
      </c>
      <c r="C2352" s="3">
        <f t="shared" si="262"/>
        <v>45814</v>
      </c>
      <c r="D2352" s="4">
        <f t="shared" ca="1" si="257"/>
        <v>105</v>
      </c>
      <c r="E2352" s="2">
        <f t="shared" ca="1" si="258"/>
        <v>4779</v>
      </c>
      <c r="F2352" s="2">
        <f t="shared" ca="1" si="259"/>
        <v>9795</v>
      </c>
      <c r="G2352" s="2">
        <f t="shared" ca="1" si="260"/>
        <v>660</v>
      </c>
    </row>
    <row r="2353" spans="1:7" x14ac:dyDescent="0.3">
      <c r="A2353" s="5" t="str">
        <f t="shared" si="261"/>
        <v>Puma</v>
      </c>
      <c r="B2353" s="5" t="str">
        <f t="shared" si="256"/>
        <v>Suede Classic</v>
      </c>
      <c r="C2353" s="3">
        <f t="shared" si="262"/>
        <v>45814</v>
      </c>
      <c r="D2353" s="4">
        <f t="shared" ca="1" si="257"/>
        <v>93</v>
      </c>
      <c r="E2353" s="2">
        <f t="shared" ca="1" si="258"/>
        <v>5386</v>
      </c>
      <c r="F2353" s="2">
        <f t="shared" ca="1" si="259"/>
        <v>10235</v>
      </c>
      <c r="G2353" s="2">
        <f t="shared" ca="1" si="260"/>
        <v>507</v>
      </c>
    </row>
    <row r="2354" spans="1:7" x14ac:dyDescent="0.3">
      <c r="A2354" s="5" t="str">
        <f t="shared" si="261"/>
        <v>New Balance</v>
      </c>
      <c r="B2354" s="5" t="str">
        <f t="shared" si="256"/>
        <v>990v6</v>
      </c>
      <c r="C2354" s="3">
        <f t="shared" si="262"/>
        <v>45814</v>
      </c>
      <c r="D2354" s="4">
        <f t="shared" ca="1" si="257"/>
        <v>242</v>
      </c>
      <c r="E2354" s="2">
        <f t="shared" ca="1" si="258"/>
        <v>5712</v>
      </c>
      <c r="F2354" s="2">
        <f t="shared" ca="1" si="259"/>
        <v>8490</v>
      </c>
      <c r="G2354" s="2">
        <f t="shared" ca="1" si="260"/>
        <v>181</v>
      </c>
    </row>
    <row r="2355" spans="1:7" x14ac:dyDescent="0.3">
      <c r="A2355" s="5" t="str">
        <f t="shared" si="261"/>
        <v>Reebok</v>
      </c>
      <c r="B2355" s="5" t="str">
        <f t="shared" si="256"/>
        <v>Nano X3</v>
      </c>
      <c r="C2355" s="3">
        <f t="shared" si="262"/>
        <v>45814</v>
      </c>
      <c r="D2355" s="4">
        <f t="shared" ca="1" si="257"/>
        <v>232</v>
      </c>
      <c r="E2355" s="2">
        <f t="shared" ca="1" si="258"/>
        <v>10101</v>
      </c>
      <c r="F2355" s="2">
        <f t="shared" ca="1" si="259"/>
        <v>24342</v>
      </c>
      <c r="G2355" s="2">
        <f t="shared" ca="1" si="260"/>
        <v>1494</v>
      </c>
    </row>
    <row r="2356" spans="1:7" x14ac:dyDescent="0.3">
      <c r="A2356" s="5" t="str">
        <f t="shared" si="261"/>
        <v>Nike</v>
      </c>
      <c r="B2356" s="5" t="str">
        <f t="shared" si="256"/>
        <v>Vaporfly 3</v>
      </c>
      <c r="C2356" s="3">
        <f t="shared" si="262"/>
        <v>45814</v>
      </c>
      <c r="D2356" s="4">
        <f t="shared" ca="1" si="257"/>
        <v>124</v>
      </c>
      <c r="E2356" s="2">
        <f t="shared" ca="1" si="258"/>
        <v>6941</v>
      </c>
      <c r="F2356" s="2">
        <f t="shared" ca="1" si="259"/>
        <v>17059</v>
      </c>
      <c r="G2356" s="2">
        <f t="shared" ca="1" si="260"/>
        <v>907</v>
      </c>
    </row>
    <row r="2357" spans="1:7" x14ac:dyDescent="0.3">
      <c r="A2357" s="5" t="str">
        <f t="shared" si="261"/>
        <v>Adidas</v>
      </c>
      <c r="B2357" s="5" t="str">
        <f t="shared" si="256"/>
        <v>Samba</v>
      </c>
      <c r="C2357" s="3">
        <f t="shared" si="262"/>
        <v>45815</v>
      </c>
      <c r="D2357" s="4">
        <f t="shared" ca="1" si="257"/>
        <v>127</v>
      </c>
      <c r="E2357" s="2">
        <f t="shared" ca="1" si="258"/>
        <v>11186</v>
      </c>
      <c r="F2357" s="2">
        <f t="shared" ca="1" si="259"/>
        <v>29119</v>
      </c>
      <c r="G2357" s="2">
        <f t="shared" ca="1" si="260"/>
        <v>1438</v>
      </c>
    </row>
    <row r="2358" spans="1:7" x14ac:dyDescent="0.3">
      <c r="A2358" s="5" t="str">
        <f t="shared" si="261"/>
        <v>Puma</v>
      </c>
      <c r="B2358" s="5" t="str">
        <f t="shared" si="256"/>
        <v>Mayze</v>
      </c>
      <c r="C2358" s="3">
        <f t="shared" si="262"/>
        <v>45815</v>
      </c>
      <c r="D2358" s="4">
        <f t="shared" ca="1" si="257"/>
        <v>37</v>
      </c>
      <c r="E2358" s="2">
        <f t="shared" ca="1" si="258"/>
        <v>9213</v>
      </c>
      <c r="F2358" s="2">
        <f t="shared" ca="1" si="259"/>
        <v>10706</v>
      </c>
      <c r="G2358" s="2">
        <f t="shared" ca="1" si="260"/>
        <v>635</v>
      </c>
    </row>
    <row r="2359" spans="1:7" x14ac:dyDescent="0.3">
      <c r="A2359" s="5" t="str">
        <f t="shared" si="261"/>
        <v>New Balance</v>
      </c>
      <c r="B2359" s="5" t="str">
        <f t="shared" si="256"/>
        <v>574 Core</v>
      </c>
      <c r="C2359" s="3">
        <f t="shared" si="262"/>
        <v>45815</v>
      </c>
      <c r="D2359" s="4">
        <f t="shared" ca="1" si="257"/>
        <v>239</v>
      </c>
      <c r="E2359" s="2">
        <f t="shared" ca="1" si="258"/>
        <v>11172</v>
      </c>
      <c r="F2359" s="2">
        <f t="shared" ca="1" si="259"/>
        <v>33580</v>
      </c>
      <c r="G2359" s="2">
        <f t="shared" ca="1" si="260"/>
        <v>690</v>
      </c>
    </row>
    <row r="2360" spans="1:7" x14ac:dyDescent="0.3">
      <c r="A2360" s="5" t="str">
        <f t="shared" si="261"/>
        <v>Reebok</v>
      </c>
      <c r="B2360" s="5" t="str">
        <f t="shared" si="256"/>
        <v>Club C 85</v>
      </c>
      <c r="C2360" s="3">
        <f t="shared" si="262"/>
        <v>45815</v>
      </c>
      <c r="D2360" s="4">
        <f t="shared" ca="1" si="257"/>
        <v>150</v>
      </c>
      <c r="E2360" s="2">
        <f t="shared" ca="1" si="258"/>
        <v>4958</v>
      </c>
      <c r="F2360" s="2">
        <f t="shared" ca="1" si="259"/>
        <v>32024</v>
      </c>
      <c r="G2360" s="2">
        <f t="shared" ca="1" si="260"/>
        <v>1020</v>
      </c>
    </row>
    <row r="2361" spans="1:7" x14ac:dyDescent="0.3">
      <c r="A2361" s="5" t="str">
        <f t="shared" si="261"/>
        <v>Nike</v>
      </c>
      <c r="B2361" s="5" t="str">
        <f t="shared" si="256"/>
        <v>Pegasus 40</v>
      </c>
      <c r="C2361" s="3">
        <f t="shared" si="262"/>
        <v>45815</v>
      </c>
      <c r="D2361" s="4">
        <f t="shared" ca="1" si="257"/>
        <v>100</v>
      </c>
      <c r="E2361" s="2">
        <f t="shared" ca="1" si="258"/>
        <v>7770</v>
      </c>
      <c r="F2361" s="2">
        <f t="shared" ca="1" si="259"/>
        <v>25743</v>
      </c>
      <c r="G2361" s="2">
        <f t="shared" ca="1" si="260"/>
        <v>920</v>
      </c>
    </row>
    <row r="2362" spans="1:7" x14ac:dyDescent="0.3">
      <c r="A2362" s="5" t="str">
        <f t="shared" si="261"/>
        <v>Adidas</v>
      </c>
      <c r="B2362" s="5" t="str">
        <f t="shared" si="256"/>
        <v>Gazelle</v>
      </c>
      <c r="C2362" s="3">
        <f t="shared" si="262"/>
        <v>45815</v>
      </c>
      <c r="D2362" s="4">
        <f t="shared" ca="1" si="257"/>
        <v>38</v>
      </c>
      <c r="E2362" s="2">
        <f t="shared" ca="1" si="258"/>
        <v>2984</v>
      </c>
      <c r="F2362" s="2">
        <f t="shared" ca="1" si="259"/>
        <v>32884</v>
      </c>
      <c r="G2362" s="2">
        <f t="shared" ca="1" si="260"/>
        <v>2206</v>
      </c>
    </row>
    <row r="2363" spans="1:7" x14ac:dyDescent="0.3">
      <c r="A2363" s="5" t="str">
        <f t="shared" si="261"/>
        <v>Puma</v>
      </c>
      <c r="B2363" s="5" t="str">
        <f t="shared" si="256"/>
        <v>Slipstream</v>
      </c>
      <c r="C2363" s="3">
        <f t="shared" si="262"/>
        <v>45815</v>
      </c>
      <c r="D2363" s="4">
        <f t="shared" ca="1" si="257"/>
        <v>42</v>
      </c>
      <c r="E2363" s="2">
        <f t="shared" ca="1" si="258"/>
        <v>4977</v>
      </c>
      <c r="F2363" s="2">
        <f t="shared" ca="1" si="259"/>
        <v>34035</v>
      </c>
      <c r="G2363" s="2">
        <f t="shared" ca="1" si="260"/>
        <v>773</v>
      </c>
    </row>
    <row r="2364" spans="1:7" x14ac:dyDescent="0.3">
      <c r="A2364" s="5" t="str">
        <f t="shared" si="261"/>
        <v>New Balance</v>
      </c>
      <c r="B2364" s="5" t="str">
        <f t="shared" si="256"/>
        <v>550</v>
      </c>
      <c r="C2364" s="3">
        <f t="shared" si="262"/>
        <v>45815</v>
      </c>
      <c r="D2364" s="4">
        <f t="shared" ca="1" si="257"/>
        <v>215</v>
      </c>
      <c r="E2364" s="2">
        <f t="shared" ca="1" si="258"/>
        <v>6060</v>
      </c>
      <c r="F2364" s="2">
        <f t="shared" ca="1" si="259"/>
        <v>11726</v>
      </c>
      <c r="G2364" s="2">
        <f t="shared" ca="1" si="260"/>
        <v>733</v>
      </c>
    </row>
    <row r="2365" spans="1:7" x14ac:dyDescent="0.3">
      <c r="A2365" s="5" t="str">
        <f t="shared" si="261"/>
        <v>Reebok</v>
      </c>
      <c r="B2365" s="5" t="str">
        <f t="shared" si="256"/>
        <v>Classic Leather</v>
      </c>
      <c r="C2365" s="3">
        <f t="shared" si="262"/>
        <v>45815</v>
      </c>
      <c r="D2365" s="4">
        <f t="shared" ca="1" si="257"/>
        <v>95</v>
      </c>
      <c r="E2365" s="2">
        <f t="shared" ca="1" si="258"/>
        <v>10417</v>
      </c>
      <c r="F2365" s="2">
        <f t="shared" ca="1" si="259"/>
        <v>26262</v>
      </c>
      <c r="G2365" s="2">
        <f t="shared" ca="1" si="260"/>
        <v>741</v>
      </c>
    </row>
    <row r="2366" spans="1:7" x14ac:dyDescent="0.3">
      <c r="A2366" s="5" t="str">
        <f t="shared" si="261"/>
        <v>Nike</v>
      </c>
      <c r="B2366" s="5" t="str">
        <f t="shared" si="256"/>
        <v>Air Force 1</v>
      </c>
      <c r="C2366" s="3">
        <f t="shared" si="262"/>
        <v>45815</v>
      </c>
      <c r="D2366" s="4">
        <f t="shared" ca="1" si="257"/>
        <v>136</v>
      </c>
      <c r="E2366" s="2">
        <f t="shared" ca="1" si="258"/>
        <v>10684</v>
      </c>
      <c r="F2366" s="2">
        <f t="shared" ca="1" si="259"/>
        <v>21929</v>
      </c>
      <c r="G2366" s="2">
        <f t="shared" ca="1" si="260"/>
        <v>991</v>
      </c>
    </row>
    <row r="2367" spans="1:7" x14ac:dyDescent="0.3">
      <c r="A2367" s="5" t="str">
        <f t="shared" si="261"/>
        <v>Adidas</v>
      </c>
      <c r="B2367" s="5" t="str">
        <f t="shared" si="256"/>
        <v>Superstar</v>
      </c>
      <c r="C2367" s="3">
        <f t="shared" si="262"/>
        <v>45815</v>
      </c>
      <c r="D2367" s="4">
        <f t="shared" ca="1" si="257"/>
        <v>43</v>
      </c>
      <c r="E2367" s="2">
        <f t="shared" ca="1" si="258"/>
        <v>7288</v>
      </c>
      <c r="F2367" s="2">
        <f t="shared" ca="1" si="259"/>
        <v>32074</v>
      </c>
      <c r="G2367" s="2">
        <f t="shared" ca="1" si="260"/>
        <v>730</v>
      </c>
    </row>
    <row r="2368" spans="1:7" x14ac:dyDescent="0.3">
      <c r="A2368" s="5" t="str">
        <f t="shared" si="261"/>
        <v>Puma</v>
      </c>
      <c r="B2368" s="5" t="str">
        <f t="shared" si="256"/>
        <v>Rider Vintage</v>
      </c>
      <c r="C2368" s="3">
        <f t="shared" si="262"/>
        <v>45815</v>
      </c>
      <c r="D2368" s="4">
        <f t="shared" ca="1" si="257"/>
        <v>92</v>
      </c>
      <c r="E2368" s="2">
        <f t="shared" ca="1" si="258"/>
        <v>1482</v>
      </c>
      <c r="F2368" s="2">
        <f t="shared" ca="1" si="259"/>
        <v>30882</v>
      </c>
      <c r="G2368" s="2">
        <f t="shared" ca="1" si="260"/>
        <v>2072</v>
      </c>
    </row>
    <row r="2369" spans="1:7" x14ac:dyDescent="0.3">
      <c r="A2369" s="5" t="str">
        <f t="shared" si="261"/>
        <v>New Balance</v>
      </c>
      <c r="B2369" s="5" t="str">
        <f t="shared" si="256"/>
        <v>327</v>
      </c>
      <c r="C2369" s="3">
        <f t="shared" si="262"/>
        <v>45815</v>
      </c>
      <c r="D2369" s="4">
        <f t="shared" ca="1" si="257"/>
        <v>66</v>
      </c>
      <c r="E2369" s="2">
        <f t="shared" ca="1" si="258"/>
        <v>7437</v>
      </c>
      <c r="F2369" s="2">
        <f t="shared" ca="1" si="259"/>
        <v>9452</v>
      </c>
      <c r="G2369" s="2">
        <f t="shared" ca="1" si="260"/>
        <v>468</v>
      </c>
    </row>
    <row r="2370" spans="1:7" x14ac:dyDescent="0.3">
      <c r="A2370" s="5" t="str">
        <f t="shared" si="261"/>
        <v>Reebok</v>
      </c>
      <c r="B2370" s="5" t="str">
        <f t="shared" si="256"/>
        <v>Question Mid</v>
      </c>
      <c r="C2370" s="3">
        <f t="shared" si="262"/>
        <v>45815</v>
      </c>
      <c r="D2370" s="4">
        <f t="shared" ca="1" si="257"/>
        <v>185</v>
      </c>
      <c r="E2370" s="2">
        <f t="shared" ca="1" si="258"/>
        <v>8329</v>
      </c>
      <c r="F2370" s="2">
        <f t="shared" ca="1" si="259"/>
        <v>25910</v>
      </c>
      <c r="G2370" s="2">
        <f t="shared" ca="1" si="260"/>
        <v>889</v>
      </c>
    </row>
    <row r="2371" spans="1:7" x14ac:dyDescent="0.3">
      <c r="A2371" s="5" t="str">
        <f t="shared" si="261"/>
        <v>Nike</v>
      </c>
      <c r="B2371" s="5" t="str">
        <f t="shared" ref="B2371:B2434" si="263">IF(A2371="Nike",CHOOSE(MOD(ROW(A2370),6)+1,"Air Max 270","Air Force 1","Pegasus 40","Vaporfly 3","Cortez","Jordan 1"),
 IF(A2371="Adidas",CHOOSE(MOD(ROW(A2370),6)+1,"Ultraboost 23","Stan Smith","Superstar","Gazelle","Samba","NMD S1"),
 IF(A2371="Puma",CHOOSE(MOD(ROW(A2370),6)+1,"Suede Classic","RS-X","Cali Dream","Rider Vintage","Slipstream","Mayze"),
 IF(A2371="New Balance",CHOOSE(MOD(ROW(A2370),6)+1,"574 Core","990v6","2002R","9060","327","550"),
 IF(A2371="Reebok",CHOOSE(MOD(ROW(A2370),6)+1,"Classic Leather","Club C 85","Nano X3","Instapump Fury","Zig Kinetica","Question Mid"),"")))))</f>
        <v>Air Max 270</v>
      </c>
      <c r="C2371" s="3">
        <f t="shared" si="262"/>
        <v>45815</v>
      </c>
      <c r="D2371" s="4">
        <f t="shared" ref="D2371:D2434" ca="1" si="264">RANDBETWEEN(20,250)</f>
        <v>206</v>
      </c>
      <c r="E2371" s="2">
        <f t="shared" ref="E2371:E2434" ca="1" si="265">ROUND(RANDBETWEEN(1500,12000)+(RANDBETWEEN(-200,200)),2)</f>
        <v>1441</v>
      </c>
      <c r="F2371" s="2">
        <f t="shared" ref="F2371:F2434" ca="1" si="266">RANDBETWEEN(5000,35000)</f>
        <v>34427</v>
      </c>
      <c r="G2371" s="2">
        <f t="shared" ref="G2371:G2434" ca="1" si="267">RANDBETWEEN(ROUND(F2371*0.02,0),ROUND(F2371*0.08,0))</f>
        <v>1774</v>
      </c>
    </row>
    <row r="2372" spans="1:7" x14ac:dyDescent="0.3">
      <c r="A2372" s="5" t="str">
        <f t="shared" si="261"/>
        <v>Adidas</v>
      </c>
      <c r="B2372" s="5" t="str">
        <f t="shared" si="263"/>
        <v>Stan Smith</v>
      </c>
      <c r="C2372" s="3">
        <f t="shared" si="262"/>
        <v>45816</v>
      </c>
      <c r="D2372" s="4">
        <f t="shared" ca="1" si="264"/>
        <v>67</v>
      </c>
      <c r="E2372" s="2">
        <f t="shared" ca="1" si="265"/>
        <v>11228</v>
      </c>
      <c r="F2372" s="2">
        <f t="shared" ca="1" si="266"/>
        <v>10796</v>
      </c>
      <c r="G2372" s="2">
        <f t="shared" ca="1" si="267"/>
        <v>696</v>
      </c>
    </row>
    <row r="2373" spans="1:7" x14ac:dyDescent="0.3">
      <c r="A2373" s="5" t="str">
        <f t="shared" si="261"/>
        <v>Puma</v>
      </c>
      <c r="B2373" s="5" t="str">
        <f t="shared" si="263"/>
        <v>Cali Dream</v>
      </c>
      <c r="C2373" s="3">
        <f t="shared" si="262"/>
        <v>45816</v>
      </c>
      <c r="D2373" s="4">
        <f t="shared" ca="1" si="264"/>
        <v>88</v>
      </c>
      <c r="E2373" s="2">
        <f t="shared" ca="1" si="265"/>
        <v>6304</v>
      </c>
      <c r="F2373" s="2">
        <f t="shared" ca="1" si="266"/>
        <v>32902</v>
      </c>
      <c r="G2373" s="2">
        <f t="shared" ca="1" si="267"/>
        <v>917</v>
      </c>
    </row>
    <row r="2374" spans="1:7" x14ac:dyDescent="0.3">
      <c r="A2374" s="5" t="str">
        <f t="shared" si="261"/>
        <v>New Balance</v>
      </c>
      <c r="B2374" s="5" t="str">
        <f t="shared" si="263"/>
        <v>9060</v>
      </c>
      <c r="C2374" s="3">
        <f t="shared" si="262"/>
        <v>45816</v>
      </c>
      <c r="D2374" s="4">
        <f t="shared" ca="1" si="264"/>
        <v>27</v>
      </c>
      <c r="E2374" s="2">
        <f t="shared" ca="1" si="265"/>
        <v>9749</v>
      </c>
      <c r="F2374" s="2">
        <f t="shared" ca="1" si="266"/>
        <v>14266</v>
      </c>
      <c r="G2374" s="2">
        <f t="shared" ca="1" si="267"/>
        <v>442</v>
      </c>
    </row>
    <row r="2375" spans="1:7" x14ac:dyDescent="0.3">
      <c r="A2375" s="5" t="str">
        <f t="shared" si="261"/>
        <v>Reebok</v>
      </c>
      <c r="B2375" s="5" t="str">
        <f t="shared" si="263"/>
        <v>Zig Kinetica</v>
      </c>
      <c r="C2375" s="3">
        <f t="shared" si="262"/>
        <v>45816</v>
      </c>
      <c r="D2375" s="4">
        <f t="shared" ca="1" si="264"/>
        <v>47</v>
      </c>
      <c r="E2375" s="2">
        <f t="shared" ca="1" si="265"/>
        <v>10707</v>
      </c>
      <c r="F2375" s="2">
        <f t="shared" ca="1" si="266"/>
        <v>14646</v>
      </c>
      <c r="G2375" s="2">
        <f t="shared" ca="1" si="267"/>
        <v>628</v>
      </c>
    </row>
    <row r="2376" spans="1:7" x14ac:dyDescent="0.3">
      <c r="A2376" s="5" t="str">
        <f t="shared" si="261"/>
        <v>Nike</v>
      </c>
      <c r="B2376" s="5" t="str">
        <f t="shared" si="263"/>
        <v>Jordan 1</v>
      </c>
      <c r="C2376" s="3">
        <f t="shared" si="262"/>
        <v>45816</v>
      </c>
      <c r="D2376" s="4">
        <f t="shared" ca="1" si="264"/>
        <v>70</v>
      </c>
      <c r="E2376" s="2">
        <f t="shared" ca="1" si="265"/>
        <v>8810</v>
      </c>
      <c r="F2376" s="2">
        <f t="shared" ca="1" si="266"/>
        <v>25852</v>
      </c>
      <c r="G2376" s="2">
        <f t="shared" ca="1" si="267"/>
        <v>1851</v>
      </c>
    </row>
    <row r="2377" spans="1:7" x14ac:dyDescent="0.3">
      <c r="A2377" s="5" t="str">
        <f t="shared" si="261"/>
        <v>Adidas</v>
      </c>
      <c r="B2377" s="5" t="str">
        <f t="shared" si="263"/>
        <v>Ultraboost 23</v>
      </c>
      <c r="C2377" s="3">
        <f t="shared" si="262"/>
        <v>45816</v>
      </c>
      <c r="D2377" s="4">
        <f t="shared" ca="1" si="264"/>
        <v>237</v>
      </c>
      <c r="E2377" s="2">
        <f t="shared" ca="1" si="265"/>
        <v>5024</v>
      </c>
      <c r="F2377" s="2">
        <f t="shared" ca="1" si="266"/>
        <v>11561</v>
      </c>
      <c r="G2377" s="2">
        <f t="shared" ca="1" si="267"/>
        <v>643</v>
      </c>
    </row>
    <row r="2378" spans="1:7" x14ac:dyDescent="0.3">
      <c r="A2378" s="5" t="str">
        <f t="shared" si="261"/>
        <v>Puma</v>
      </c>
      <c r="B2378" s="5" t="str">
        <f t="shared" si="263"/>
        <v>RS-X</v>
      </c>
      <c r="C2378" s="3">
        <f t="shared" si="262"/>
        <v>45816</v>
      </c>
      <c r="D2378" s="4">
        <f t="shared" ca="1" si="264"/>
        <v>94</v>
      </c>
      <c r="E2378" s="2">
        <f t="shared" ca="1" si="265"/>
        <v>11811</v>
      </c>
      <c r="F2378" s="2">
        <f t="shared" ca="1" si="266"/>
        <v>29198</v>
      </c>
      <c r="G2378" s="2">
        <f t="shared" ca="1" si="267"/>
        <v>1303</v>
      </c>
    </row>
    <row r="2379" spans="1:7" x14ac:dyDescent="0.3">
      <c r="A2379" s="5" t="str">
        <f t="shared" si="261"/>
        <v>New Balance</v>
      </c>
      <c r="B2379" s="5" t="str">
        <f t="shared" si="263"/>
        <v>2002R</v>
      </c>
      <c r="C2379" s="3">
        <f t="shared" si="262"/>
        <v>45816</v>
      </c>
      <c r="D2379" s="4">
        <f t="shared" ca="1" si="264"/>
        <v>78</v>
      </c>
      <c r="E2379" s="2">
        <f t="shared" ca="1" si="265"/>
        <v>1355</v>
      </c>
      <c r="F2379" s="2">
        <f t="shared" ca="1" si="266"/>
        <v>20223</v>
      </c>
      <c r="G2379" s="2">
        <f t="shared" ca="1" si="267"/>
        <v>861</v>
      </c>
    </row>
    <row r="2380" spans="1:7" x14ac:dyDescent="0.3">
      <c r="A2380" s="5" t="str">
        <f t="shared" si="261"/>
        <v>Reebok</v>
      </c>
      <c r="B2380" s="5" t="str">
        <f t="shared" si="263"/>
        <v>Instapump Fury</v>
      </c>
      <c r="C2380" s="3">
        <f t="shared" si="262"/>
        <v>45816</v>
      </c>
      <c r="D2380" s="4">
        <f t="shared" ca="1" si="264"/>
        <v>228</v>
      </c>
      <c r="E2380" s="2">
        <f t="shared" ca="1" si="265"/>
        <v>6606</v>
      </c>
      <c r="F2380" s="2">
        <f t="shared" ca="1" si="266"/>
        <v>15756</v>
      </c>
      <c r="G2380" s="2">
        <f t="shared" ca="1" si="267"/>
        <v>662</v>
      </c>
    </row>
    <row r="2381" spans="1:7" x14ac:dyDescent="0.3">
      <c r="A2381" s="5" t="str">
        <f t="shared" si="261"/>
        <v>Nike</v>
      </c>
      <c r="B2381" s="5" t="str">
        <f t="shared" si="263"/>
        <v>Cortez</v>
      </c>
      <c r="C2381" s="3">
        <f t="shared" si="262"/>
        <v>45816</v>
      </c>
      <c r="D2381" s="4">
        <f t="shared" ca="1" si="264"/>
        <v>156</v>
      </c>
      <c r="E2381" s="2">
        <f t="shared" ca="1" si="265"/>
        <v>7476</v>
      </c>
      <c r="F2381" s="2">
        <f t="shared" ca="1" si="266"/>
        <v>34855</v>
      </c>
      <c r="G2381" s="2">
        <f t="shared" ca="1" si="267"/>
        <v>1377</v>
      </c>
    </row>
    <row r="2382" spans="1:7" x14ac:dyDescent="0.3">
      <c r="A2382" s="5" t="str">
        <f t="shared" si="261"/>
        <v>Adidas</v>
      </c>
      <c r="B2382" s="5" t="str">
        <f t="shared" si="263"/>
        <v>NMD S1</v>
      </c>
      <c r="C2382" s="3">
        <f t="shared" si="262"/>
        <v>45816</v>
      </c>
      <c r="D2382" s="4">
        <f t="shared" ca="1" si="264"/>
        <v>67</v>
      </c>
      <c r="E2382" s="2">
        <f t="shared" ca="1" si="265"/>
        <v>10264</v>
      </c>
      <c r="F2382" s="2">
        <f t="shared" ca="1" si="266"/>
        <v>26609</v>
      </c>
      <c r="G2382" s="2">
        <f t="shared" ca="1" si="267"/>
        <v>801</v>
      </c>
    </row>
    <row r="2383" spans="1:7" x14ac:dyDescent="0.3">
      <c r="A2383" s="5" t="str">
        <f t="shared" si="261"/>
        <v>Puma</v>
      </c>
      <c r="B2383" s="5" t="str">
        <f t="shared" si="263"/>
        <v>Suede Classic</v>
      </c>
      <c r="C2383" s="3">
        <f t="shared" si="262"/>
        <v>45816</v>
      </c>
      <c r="D2383" s="4">
        <f t="shared" ca="1" si="264"/>
        <v>70</v>
      </c>
      <c r="E2383" s="2">
        <f t="shared" ca="1" si="265"/>
        <v>2283</v>
      </c>
      <c r="F2383" s="2">
        <f t="shared" ca="1" si="266"/>
        <v>27550</v>
      </c>
      <c r="G2383" s="2">
        <f t="shared" ca="1" si="267"/>
        <v>1201</v>
      </c>
    </row>
    <row r="2384" spans="1:7" x14ac:dyDescent="0.3">
      <c r="A2384" s="5" t="str">
        <f t="shared" si="261"/>
        <v>New Balance</v>
      </c>
      <c r="B2384" s="5" t="str">
        <f t="shared" si="263"/>
        <v>990v6</v>
      </c>
      <c r="C2384" s="3">
        <f t="shared" si="262"/>
        <v>45816</v>
      </c>
      <c r="D2384" s="4">
        <f t="shared" ca="1" si="264"/>
        <v>23</v>
      </c>
      <c r="E2384" s="2">
        <f t="shared" ca="1" si="265"/>
        <v>4399</v>
      </c>
      <c r="F2384" s="2">
        <f t="shared" ca="1" si="266"/>
        <v>6442</v>
      </c>
      <c r="G2384" s="2">
        <f t="shared" ca="1" si="267"/>
        <v>217</v>
      </c>
    </row>
    <row r="2385" spans="1:7" x14ac:dyDescent="0.3">
      <c r="A2385" s="5" t="str">
        <f t="shared" si="261"/>
        <v>Reebok</v>
      </c>
      <c r="B2385" s="5" t="str">
        <f t="shared" si="263"/>
        <v>Nano X3</v>
      </c>
      <c r="C2385" s="3">
        <f t="shared" si="262"/>
        <v>45816</v>
      </c>
      <c r="D2385" s="4">
        <f t="shared" ca="1" si="264"/>
        <v>240</v>
      </c>
      <c r="E2385" s="2">
        <f t="shared" ca="1" si="265"/>
        <v>3817</v>
      </c>
      <c r="F2385" s="2">
        <f t="shared" ca="1" si="266"/>
        <v>7186</v>
      </c>
      <c r="G2385" s="2">
        <f t="shared" ca="1" si="267"/>
        <v>477</v>
      </c>
    </row>
    <row r="2386" spans="1:7" x14ac:dyDescent="0.3">
      <c r="A2386" s="5" t="str">
        <f t="shared" si="261"/>
        <v>Nike</v>
      </c>
      <c r="B2386" s="5" t="str">
        <f t="shared" si="263"/>
        <v>Vaporfly 3</v>
      </c>
      <c r="C2386" s="3">
        <f t="shared" si="262"/>
        <v>45816</v>
      </c>
      <c r="D2386" s="4">
        <f t="shared" ca="1" si="264"/>
        <v>20</v>
      </c>
      <c r="E2386" s="2">
        <f t="shared" ca="1" si="265"/>
        <v>5559</v>
      </c>
      <c r="F2386" s="2">
        <f t="shared" ca="1" si="266"/>
        <v>12544</v>
      </c>
      <c r="G2386" s="2">
        <f t="shared" ca="1" si="267"/>
        <v>708</v>
      </c>
    </row>
    <row r="2387" spans="1:7" x14ac:dyDescent="0.3">
      <c r="A2387" s="5" t="str">
        <f t="shared" si="261"/>
        <v>Adidas</v>
      </c>
      <c r="B2387" s="5" t="str">
        <f t="shared" si="263"/>
        <v>Samba</v>
      </c>
      <c r="C2387" s="3">
        <f t="shared" si="262"/>
        <v>45817</v>
      </c>
      <c r="D2387" s="4">
        <f t="shared" ca="1" si="264"/>
        <v>241</v>
      </c>
      <c r="E2387" s="2">
        <f t="shared" ca="1" si="265"/>
        <v>9720</v>
      </c>
      <c r="F2387" s="2">
        <f t="shared" ca="1" si="266"/>
        <v>12654</v>
      </c>
      <c r="G2387" s="2">
        <f t="shared" ca="1" si="267"/>
        <v>285</v>
      </c>
    </row>
    <row r="2388" spans="1:7" x14ac:dyDescent="0.3">
      <c r="A2388" s="5" t="str">
        <f t="shared" si="261"/>
        <v>Puma</v>
      </c>
      <c r="B2388" s="5" t="str">
        <f t="shared" si="263"/>
        <v>Mayze</v>
      </c>
      <c r="C2388" s="3">
        <f t="shared" si="262"/>
        <v>45817</v>
      </c>
      <c r="D2388" s="4">
        <f t="shared" ca="1" si="264"/>
        <v>27</v>
      </c>
      <c r="E2388" s="2">
        <f t="shared" ca="1" si="265"/>
        <v>4453</v>
      </c>
      <c r="F2388" s="2">
        <f t="shared" ca="1" si="266"/>
        <v>11547</v>
      </c>
      <c r="G2388" s="2">
        <f t="shared" ca="1" si="267"/>
        <v>437</v>
      </c>
    </row>
    <row r="2389" spans="1:7" x14ac:dyDescent="0.3">
      <c r="A2389" s="5" t="str">
        <f t="shared" si="261"/>
        <v>New Balance</v>
      </c>
      <c r="B2389" s="5" t="str">
        <f t="shared" si="263"/>
        <v>574 Core</v>
      </c>
      <c r="C2389" s="3">
        <f t="shared" si="262"/>
        <v>45817</v>
      </c>
      <c r="D2389" s="4">
        <f t="shared" ca="1" si="264"/>
        <v>83</v>
      </c>
      <c r="E2389" s="2">
        <f t="shared" ca="1" si="265"/>
        <v>3302</v>
      </c>
      <c r="F2389" s="2">
        <f t="shared" ca="1" si="266"/>
        <v>28086</v>
      </c>
      <c r="G2389" s="2">
        <f t="shared" ca="1" si="267"/>
        <v>2124</v>
      </c>
    </row>
    <row r="2390" spans="1:7" x14ac:dyDescent="0.3">
      <c r="A2390" s="5" t="str">
        <f t="shared" si="261"/>
        <v>Reebok</v>
      </c>
      <c r="B2390" s="5" t="str">
        <f t="shared" si="263"/>
        <v>Club C 85</v>
      </c>
      <c r="C2390" s="3">
        <f t="shared" si="262"/>
        <v>45817</v>
      </c>
      <c r="D2390" s="4">
        <f t="shared" ca="1" si="264"/>
        <v>61</v>
      </c>
      <c r="E2390" s="2">
        <f t="shared" ca="1" si="265"/>
        <v>4480</v>
      </c>
      <c r="F2390" s="2">
        <f t="shared" ca="1" si="266"/>
        <v>28944</v>
      </c>
      <c r="G2390" s="2">
        <f t="shared" ca="1" si="267"/>
        <v>625</v>
      </c>
    </row>
    <row r="2391" spans="1:7" x14ac:dyDescent="0.3">
      <c r="A2391" s="5" t="str">
        <f t="shared" si="261"/>
        <v>Nike</v>
      </c>
      <c r="B2391" s="5" t="str">
        <f t="shared" si="263"/>
        <v>Pegasus 40</v>
      </c>
      <c r="C2391" s="3">
        <f t="shared" si="262"/>
        <v>45817</v>
      </c>
      <c r="D2391" s="4">
        <f t="shared" ca="1" si="264"/>
        <v>105</v>
      </c>
      <c r="E2391" s="2">
        <f t="shared" ca="1" si="265"/>
        <v>4698</v>
      </c>
      <c r="F2391" s="2">
        <f t="shared" ca="1" si="266"/>
        <v>13966</v>
      </c>
      <c r="G2391" s="2">
        <f t="shared" ca="1" si="267"/>
        <v>533</v>
      </c>
    </row>
    <row r="2392" spans="1:7" x14ac:dyDescent="0.3">
      <c r="A2392" s="5" t="str">
        <f t="shared" si="261"/>
        <v>Adidas</v>
      </c>
      <c r="B2392" s="5" t="str">
        <f t="shared" si="263"/>
        <v>Gazelle</v>
      </c>
      <c r="C2392" s="3">
        <f t="shared" si="262"/>
        <v>45817</v>
      </c>
      <c r="D2392" s="4">
        <f t="shared" ca="1" si="264"/>
        <v>98</v>
      </c>
      <c r="E2392" s="2">
        <f t="shared" ca="1" si="265"/>
        <v>8826</v>
      </c>
      <c r="F2392" s="2">
        <f t="shared" ca="1" si="266"/>
        <v>6768</v>
      </c>
      <c r="G2392" s="2">
        <f t="shared" ca="1" si="267"/>
        <v>440</v>
      </c>
    </row>
    <row r="2393" spans="1:7" x14ac:dyDescent="0.3">
      <c r="A2393" s="5" t="str">
        <f t="shared" si="261"/>
        <v>Puma</v>
      </c>
      <c r="B2393" s="5" t="str">
        <f t="shared" si="263"/>
        <v>Slipstream</v>
      </c>
      <c r="C2393" s="3">
        <f t="shared" si="262"/>
        <v>45817</v>
      </c>
      <c r="D2393" s="4">
        <f t="shared" ca="1" si="264"/>
        <v>46</v>
      </c>
      <c r="E2393" s="2">
        <f t="shared" ca="1" si="265"/>
        <v>2686</v>
      </c>
      <c r="F2393" s="2">
        <f t="shared" ca="1" si="266"/>
        <v>20574</v>
      </c>
      <c r="G2393" s="2">
        <f t="shared" ca="1" si="267"/>
        <v>823</v>
      </c>
    </row>
    <row r="2394" spans="1:7" x14ac:dyDescent="0.3">
      <c r="A2394" s="5" t="str">
        <f t="shared" si="261"/>
        <v>New Balance</v>
      </c>
      <c r="B2394" s="5" t="str">
        <f t="shared" si="263"/>
        <v>550</v>
      </c>
      <c r="C2394" s="3">
        <f t="shared" si="262"/>
        <v>45817</v>
      </c>
      <c r="D2394" s="4">
        <f t="shared" ca="1" si="264"/>
        <v>21</v>
      </c>
      <c r="E2394" s="2">
        <f t="shared" ca="1" si="265"/>
        <v>10120</v>
      </c>
      <c r="F2394" s="2">
        <f t="shared" ca="1" si="266"/>
        <v>16546</v>
      </c>
      <c r="G2394" s="2">
        <f t="shared" ca="1" si="267"/>
        <v>492</v>
      </c>
    </row>
    <row r="2395" spans="1:7" x14ac:dyDescent="0.3">
      <c r="A2395" s="5" t="str">
        <f t="shared" si="261"/>
        <v>Reebok</v>
      </c>
      <c r="B2395" s="5" t="str">
        <f t="shared" si="263"/>
        <v>Classic Leather</v>
      </c>
      <c r="C2395" s="3">
        <f t="shared" si="262"/>
        <v>45817</v>
      </c>
      <c r="D2395" s="4">
        <f t="shared" ca="1" si="264"/>
        <v>45</v>
      </c>
      <c r="E2395" s="2">
        <f t="shared" ca="1" si="265"/>
        <v>8478</v>
      </c>
      <c r="F2395" s="2">
        <f t="shared" ca="1" si="266"/>
        <v>26389</v>
      </c>
      <c r="G2395" s="2">
        <f t="shared" ca="1" si="267"/>
        <v>815</v>
      </c>
    </row>
    <row r="2396" spans="1:7" x14ac:dyDescent="0.3">
      <c r="A2396" s="5" t="str">
        <f t="shared" si="261"/>
        <v>Nike</v>
      </c>
      <c r="B2396" s="5" t="str">
        <f t="shared" si="263"/>
        <v>Air Force 1</v>
      </c>
      <c r="C2396" s="3">
        <f t="shared" si="262"/>
        <v>45817</v>
      </c>
      <c r="D2396" s="4">
        <f t="shared" ca="1" si="264"/>
        <v>181</v>
      </c>
      <c r="E2396" s="2">
        <f t="shared" ca="1" si="265"/>
        <v>11066</v>
      </c>
      <c r="F2396" s="2">
        <f t="shared" ca="1" si="266"/>
        <v>8093</v>
      </c>
      <c r="G2396" s="2">
        <f t="shared" ca="1" si="267"/>
        <v>392</v>
      </c>
    </row>
    <row r="2397" spans="1:7" x14ac:dyDescent="0.3">
      <c r="A2397" s="5" t="str">
        <f t="shared" si="261"/>
        <v>Adidas</v>
      </c>
      <c r="B2397" s="5" t="str">
        <f t="shared" si="263"/>
        <v>Superstar</v>
      </c>
      <c r="C2397" s="3">
        <f t="shared" si="262"/>
        <v>45817</v>
      </c>
      <c r="D2397" s="4">
        <f t="shared" ca="1" si="264"/>
        <v>67</v>
      </c>
      <c r="E2397" s="2">
        <f t="shared" ca="1" si="265"/>
        <v>6496</v>
      </c>
      <c r="F2397" s="2">
        <f t="shared" ca="1" si="266"/>
        <v>7848</v>
      </c>
      <c r="G2397" s="2">
        <f t="shared" ca="1" si="267"/>
        <v>454</v>
      </c>
    </row>
    <row r="2398" spans="1:7" x14ac:dyDescent="0.3">
      <c r="A2398" s="5" t="str">
        <f t="shared" si="261"/>
        <v>Puma</v>
      </c>
      <c r="B2398" s="5" t="str">
        <f t="shared" si="263"/>
        <v>Rider Vintage</v>
      </c>
      <c r="C2398" s="3">
        <f t="shared" si="262"/>
        <v>45817</v>
      </c>
      <c r="D2398" s="4">
        <f t="shared" ca="1" si="264"/>
        <v>201</v>
      </c>
      <c r="E2398" s="2">
        <f t="shared" ca="1" si="265"/>
        <v>8641</v>
      </c>
      <c r="F2398" s="2">
        <f t="shared" ca="1" si="266"/>
        <v>34643</v>
      </c>
      <c r="G2398" s="2">
        <f t="shared" ca="1" si="267"/>
        <v>2563</v>
      </c>
    </row>
    <row r="2399" spans="1:7" x14ac:dyDescent="0.3">
      <c r="A2399" s="5" t="str">
        <f t="shared" si="261"/>
        <v>New Balance</v>
      </c>
      <c r="B2399" s="5" t="str">
        <f t="shared" si="263"/>
        <v>327</v>
      </c>
      <c r="C2399" s="3">
        <f t="shared" si="262"/>
        <v>45817</v>
      </c>
      <c r="D2399" s="4">
        <f t="shared" ca="1" si="264"/>
        <v>55</v>
      </c>
      <c r="E2399" s="2">
        <f t="shared" ca="1" si="265"/>
        <v>1969</v>
      </c>
      <c r="F2399" s="2">
        <f t="shared" ca="1" si="266"/>
        <v>17911</v>
      </c>
      <c r="G2399" s="2">
        <f t="shared" ca="1" si="267"/>
        <v>579</v>
      </c>
    </row>
    <row r="2400" spans="1:7" x14ac:dyDescent="0.3">
      <c r="A2400" s="5" t="str">
        <f t="shared" si="261"/>
        <v>Reebok</v>
      </c>
      <c r="B2400" s="5" t="str">
        <f t="shared" si="263"/>
        <v>Question Mid</v>
      </c>
      <c r="C2400" s="3">
        <f t="shared" si="262"/>
        <v>45817</v>
      </c>
      <c r="D2400" s="4">
        <f t="shared" ca="1" si="264"/>
        <v>25</v>
      </c>
      <c r="E2400" s="2">
        <f t="shared" ca="1" si="265"/>
        <v>4803</v>
      </c>
      <c r="F2400" s="2">
        <f t="shared" ca="1" si="266"/>
        <v>14894</v>
      </c>
      <c r="G2400" s="2">
        <f t="shared" ca="1" si="267"/>
        <v>908</v>
      </c>
    </row>
    <row r="2401" spans="1:7" x14ac:dyDescent="0.3">
      <c r="A2401" s="5" t="str">
        <f t="shared" si="261"/>
        <v>Nike</v>
      </c>
      <c r="B2401" s="5" t="str">
        <f t="shared" si="263"/>
        <v>Air Max 270</v>
      </c>
      <c r="C2401" s="3">
        <f t="shared" si="262"/>
        <v>45817</v>
      </c>
      <c r="D2401" s="4">
        <f t="shared" ca="1" si="264"/>
        <v>49</v>
      </c>
      <c r="E2401" s="2">
        <f t="shared" ca="1" si="265"/>
        <v>10240</v>
      </c>
      <c r="F2401" s="2">
        <f t="shared" ca="1" si="266"/>
        <v>24057</v>
      </c>
      <c r="G2401" s="2">
        <f t="shared" ca="1" si="267"/>
        <v>1177</v>
      </c>
    </row>
    <row r="2402" spans="1:7" x14ac:dyDescent="0.3">
      <c r="A2402" s="5" t="str">
        <f t="shared" si="261"/>
        <v>Adidas</v>
      </c>
      <c r="B2402" s="5" t="str">
        <f t="shared" si="263"/>
        <v>Stan Smith</v>
      </c>
      <c r="C2402" s="3">
        <f t="shared" si="262"/>
        <v>45818</v>
      </c>
      <c r="D2402" s="4">
        <f t="shared" ca="1" si="264"/>
        <v>34</v>
      </c>
      <c r="E2402" s="2">
        <f t="shared" ca="1" si="265"/>
        <v>3839</v>
      </c>
      <c r="F2402" s="2">
        <f t="shared" ca="1" si="266"/>
        <v>23290</v>
      </c>
      <c r="G2402" s="2">
        <f t="shared" ca="1" si="267"/>
        <v>584</v>
      </c>
    </row>
    <row r="2403" spans="1:7" x14ac:dyDescent="0.3">
      <c r="A2403" s="5" t="str">
        <f t="shared" si="261"/>
        <v>Puma</v>
      </c>
      <c r="B2403" s="5" t="str">
        <f t="shared" si="263"/>
        <v>Cali Dream</v>
      </c>
      <c r="C2403" s="3">
        <f t="shared" si="262"/>
        <v>45818</v>
      </c>
      <c r="D2403" s="4">
        <f t="shared" ca="1" si="264"/>
        <v>238</v>
      </c>
      <c r="E2403" s="2">
        <f t="shared" ca="1" si="265"/>
        <v>9238</v>
      </c>
      <c r="F2403" s="2">
        <f t="shared" ca="1" si="266"/>
        <v>24785</v>
      </c>
      <c r="G2403" s="2">
        <f t="shared" ca="1" si="267"/>
        <v>797</v>
      </c>
    </row>
    <row r="2404" spans="1:7" x14ac:dyDescent="0.3">
      <c r="A2404" s="5" t="str">
        <f t="shared" si="261"/>
        <v>New Balance</v>
      </c>
      <c r="B2404" s="5" t="str">
        <f t="shared" si="263"/>
        <v>9060</v>
      </c>
      <c r="C2404" s="3">
        <f t="shared" si="262"/>
        <v>45818</v>
      </c>
      <c r="D2404" s="4">
        <f t="shared" ca="1" si="264"/>
        <v>89</v>
      </c>
      <c r="E2404" s="2">
        <f t="shared" ca="1" si="265"/>
        <v>6166</v>
      </c>
      <c r="F2404" s="2">
        <f t="shared" ca="1" si="266"/>
        <v>5461</v>
      </c>
      <c r="G2404" s="2">
        <f t="shared" ca="1" si="267"/>
        <v>211</v>
      </c>
    </row>
    <row r="2405" spans="1:7" x14ac:dyDescent="0.3">
      <c r="A2405" s="5" t="str">
        <f t="shared" si="261"/>
        <v>Reebok</v>
      </c>
      <c r="B2405" s="5" t="str">
        <f t="shared" si="263"/>
        <v>Zig Kinetica</v>
      </c>
      <c r="C2405" s="3">
        <f t="shared" si="262"/>
        <v>45818</v>
      </c>
      <c r="D2405" s="4">
        <f t="shared" ca="1" si="264"/>
        <v>190</v>
      </c>
      <c r="E2405" s="2">
        <f t="shared" ca="1" si="265"/>
        <v>2390</v>
      </c>
      <c r="F2405" s="2">
        <f t="shared" ca="1" si="266"/>
        <v>24465</v>
      </c>
      <c r="G2405" s="2">
        <f t="shared" ca="1" si="267"/>
        <v>1530</v>
      </c>
    </row>
    <row r="2406" spans="1:7" x14ac:dyDescent="0.3">
      <c r="A2406" s="5" t="str">
        <f t="shared" si="261"/>
        <v>Nike</v>
      </c>
      <c r="B2406" s="5" t="str">
        <f t="shared" si="263"/>
        <v>Jordan 1</v>
      </c>
      <c r="C2406" s="3">
        <f t="shared" si="262"/>
        <v>45818</v>
      </c>
      <c r="D2406" s="4">
        <f t="shared" ca="1" si="264"/>
        <v>210</v>
      </c>
      <c r="E2406" s="2">
        <f t="shared" ca="1" si="265"/>
        <v>1677</v>
      </c>
      <c r="F2406" s="2">
        <f t="shared" ca="1" si="266"/>
        <v>9636</v>
      </c>
      <c r="G2406" s="2">
        <f t="shared" ca="1" si="267"/>
        <v>757</v>
      </c>
    </row>
    <row r="2407" spans="1:7" x14ac:dyDescent="0.3">
      <c r="A2407" s="5" t="str">
        <f t="shared" si="261"/>
        <v>Adidas</v>
      </c>
      <c r="B2407" s="5" t="str">
        <f t="shared" si="263"/>
        <v>Ultraboost 23</v>
      </c>
      <c r="C2407" s="3">
        <f t="shared" si="262"/>
        <v>45818</v>
      </c>
      <c r="D2407" s="4">
        <f t="shared" ca="1" si="264"/>
        <v>25</v>
      </c>
      <c r="E2407" s="2">
        <f t="shared" ca="1" si="265"/>
        <v>10695</v>
      </c>
      <c r="F2407" s="2">
        <f t="shared" ca="1" si="266"/>
        <v>27999</v>
      </c>
      <c r="G2407" s="2">
        <f t="shared" ca="1" si="267"/>
        <v>2195</v>
      </c>
    </row>
    <row r="2408" spans="1:7" x14ac:dyDescent="0.3">
      <c r="A2408" s="5" t="str">
        <f t="shared" si="261"/>
        <v>Puma</v>
      </c>
      <c r="B2408" s="5" t="str">
        <f t="shared" si="263"/>
        <v>RS-X</v>
      </c>
      <c r="C2408" s="3">
        <f t="shared" si="262"/>
        <v>45818</v>
      </c>
      <c r="D2408" s="4">
        <f t="shared" ca="1" si="264"/>
        <v>84</v>
      </c>
      <c r="E2408" s="2">
        <f t="shared" ca="1" si="265"/>
        <v>11661</v>
      </c>
      <c r="F2408" s="2">
        <f t="shared" ca="1" si="266"/>
        <v>19173</v>
      </c>
      <c r="G2408" s="2">
        <f t="shared" ca="1" si="267"/>
        <v>1487</v>
      </c>
    </row>
    <row r="2409" spans="1:7" x14ac:dyDescent="0.3">
      <c r="A2409" s="5" t="str">
        <f t="shared" si="261"/>
        <v>New Balance</v>
      </c>
      <c r="B2409" s="5" t="str">
        <f t="shared" si="263"/>
        <v>2002R</v>
      </c>
      <c r="C2409" s="3">
        <f t="shared" si="262"/>
        <v>45818</v>
      </c>
      <c r="D2409" s="4">
        <f t="shared" ca="1" si="264"/>
        <v>111</v>
      </c>
      <c r="E2409" s="2">
        <f t="shared" ca="1" si="265"/>
        <v>10448</v>
      </c>
      <c r="F2409" s="2">
        <f t="shared" ca="1" si="266"/>
        <v>22270</v>
      </c>
      <c r="G2409" s="2">
        <f t="shared" ca="1" si="267"/>
        <v>1152</v>
      </c>
    </row>
    <row r="2410" spans="1:7" x14ac:dyDescent="0.3">
      <c r="A2410" s="5" t="str">
        <f t="shared" si="261"/>
        <v>Reebok</v>
      </c>
      <c r="B2410" s="5" t="str">
        <f t="shared" si="263"/>
        <v>Instapump Fury</v>
      </c>
      <c r="C2410" s="3">
        <f t="shared" si="262"/>
        <v>45818</v>
      </c>
      <c r="D2410" s="4">
        <f t="shared" ca="1" si="264"/>
        <v>195</v>
      </c>
      <c r="E2410" s="2">
        <f t="shared" ca="1" si="265"/>
        <v>9602</v>
      </c>
      <c r="F2410" s="2">
        <f t="shared" ca="1" si="266"/>
        <v>9261</v>
      </c>
      <c r="G2410" s="2">
        <f t="shared" ca="1" si="267"/>
        <v>685</v>
      </c>
    </row>
    <row r="2411" spans="1:7" x14ac:dyDescent="0.3">
      <c r="A2411" s="5" t="str">
        <f t="shared" ref="A2411:A2474" si="268">CHOOSE(MOD(ROW(A2410),5)+1,"Nike","Adidas","Puma","New Balance","Reebok")</f>
        <v>Nike</v>
      </c>
      <c r="B2411" s="5" t="str">
        <f t="shared" si="263"/>
        <v>Cortez</v>
      </c>
      <c r="C2411" s="3">
        <f t="shared" ref="C2411:C2474" si="269">DATE(2025,1,1)+INT((ROW(A2411)-2)/15)</f>
        <v>45818</v>
      </c>
      <c r="D2411" s="4">
        <f t="shared" ca="1" si="264"/>
        <v>69</v>
      </c>
      <c r="E2411" s="2">
        <f t="shared" ca="1" si="265"/>
        <v>11271</v>
      </c>
      <c r="F2411" s="2">
        <f t="shared" ca="1" si="266"/>
        <v>32785</v>
      </c>
      <c r="G2411" s="2">
        <f t="shared" ca="1" si="267"/>
        <v>1788</v>
      </c>
    </row>
    <row r="2412" spans="1:7" x14ac:dyDescent="0.3">
      <c r="A2412" s="5" t="str">
        <f t="shared" si="268"/>
        <v>Adidas</v>
      </c>
      <c r="B2412" s="5" t="str">
        <f t="shared" si="263"/>
        <v>NMD S1</v>
      </c>
      <c r="C2412" s="3">
        <f t="shared" si="269"/>
        <v>45818</v>
      </c>
      <c r="D2412" s="4">
        <f t="shared" ca="1" si="264"/>
        <v>77</v>
      </c>
      <c r="E2412" s="2">
        <f t="shared" ca="1" si="265"/>
        <v>10570</v>
      </c>
      <c r="F2412" s="2">
        <f t="shared" ca="1" si="266"/>
        <v>23237</v>
      </c>
      <c r="G2412" s="2">
        <f t="shared" ca="1" si="267"/>
        <v>869</v>
      </c>
    </row>
    <row r="2413" spans="1:7" x14ac:dyDescent="0.3">
      <c r="A2413" s="5" t="str">
        <f t="shared" si="268"/>
        <v>Puma</v>
      </c>
      <c r="B2413" s="5" t="str">
        <f t="shared" si="263"/>
        <v>Suede Classic</v>
      </c>
      <c r="C2413" s="3">
        <f t="shared" si="269"/>
        <v>45818</v>
      </c>
      <c r="D2413" s="4">
        <f t="shared" ca="1" si="264"/>
        <v>248</v>
      </c>
      <c r="E2413" s="2">
        <f t="shared" ca="1" si="265"/>
        <v>11536</v>
      </c>
      <c r="F2413" s="2">
        <f t="shared" ca="1" si="266"/>
        <v>7233</v>
      </c>
      <c r="G2413" s="2">
        <f t="shared" ca="1" si="267"/>
        <v>225</v>
      </c>
    </row>
    <row r="2414" spans="1:7" x14ac:dyDescent="0.3">
      <c r="A2414" s="5" t="str">
        <f t="shared" si="268"/>
        <v>New Balance</v>
      </c>
      <c r="B2414" s="5" t="str">
        <f t="shared" si="263"/>
        <v>990v6</v>
      </c>
      <c r="C2414" s="3">
        <f t="shared" si="269"/>
        <v>45818</v>
      </c>
      <c r="D2414" s="4">
        <f t="shared" ca="1" si="264"/>
        <v>134</v>
      </c>
      <c r="E2414" s="2">
        <f t="shared" ca="1" si="265"/>
        <v>11648</v>
      </c>
      <c r="F2414" s="2">
        <f t="shared" ca="1" si="266"/>
        <v>5421</v>
      </c>
      <c r="G2414" s="2">
        <f t="shared" ca="1" si="267"/>
        <v>138</v>
      </c>
    </row>
    <row r="2415" spans="1:7" x14ac:dyDescent="0.3">
      <c r="A2415" s="5" t="str">
        <f t="shared" si="268"/>
        <v>Reebok</v>
      </c>
      <c r="B2415" s="5" t="str">
        <f t="shared" si="263"/>
        <v>Nano X3</v>
      </c>
      <c r="C2415" s="3">
        <f t="shared" si="269"/>
        <v>45818</v>
      </c>
      <c r="D2415" s="4">
        <f t="shared" ca="1" si="264"/>
        <v>182</v>
      </c>
      <c r="E2415" s="2">
        <f t="shared" ca="1" si="265"/>
        <v>6623</v>
      </c>
      <c r="F2415" s="2">
        <f t="shared" ca="1" si="266"/>
        <v>34452</v>
      </c>
      <c r="G2415" s="2">
        <f t="shared" ca="1" si="267"/>
        <v>1542</v>
      </c>
    </row>
    <row r="2416" spans="1:7" x14ac:dyDescent="0.3">
      <c r="A2416" s="5" t="str">
        <f t="shared" si="268"/>
        <v>Nike</v>
      </c>
      <c r="B2416" s="5" t="str">
        <f t="shared" si="263"/>
        <v>Vaporfly 3</v>
      </c>
      <c r="C2416" s="3">
        <f t="shared" si="269"/>
        <v>45818</v>
      </c>
      <c r="D2416" s="4">
        <f t="shared" ca="1" si="264"/>
        <v>154</v>
      </c>
      <c r="E2416" s="2">
        <f t="shared" ca="1" si="265"/>
        <v>7615</v>
      </c>
      <c r="F2416" s="2">
        <f t="shared" ca="1" si="266"/>
        <v>30300</v>
      </c>
      <c r="G2416" s="2">
        <f t="shared" ca="1" si="267"/>
        <v>1730</v>
      </c>
    </row>
    <row r="2417" spans="1:7" x14ac:dyDescent="0.3">
      <c r="A2417" s="5" t="str">
        <f t="shared" si="268"/>
        <v>Adidas</v>
      </c>
      <c r="B2417" s="5" t="str">
        <f t="shared" si="263"/>
        <v>Samba</v>
      </c>
      <c r="C2417" s="3">
        <f t="shared" si="269"/>
        <v>45819</v>
      </c>
      <c r="D2417" s="4">
        <f t="shared" ca="1" si="264"/>
        <v>137</v>
      </c>
      <c r="E2417" s="2">
        <f t="shared" ca="1" si="265"/>
        <v>3299</v>
      </c>
      <c r="F2417" s="2">
        <f t="shared" ca="1" si="266"/>
        <v>30639</v>
      </c>
      <c r="G2417" s="2">
        <f t="shared" ca="1" si="267"/>
        <v>1088</v>
      </c>
    </row>
    <row r="2418" spans="1:7" x14ac:dyDescent="0.3">
      <c r="A2418" s="5" t="str">
        <f t="shared" si="268"/>
        <v>Puma</v>
      </c>
      <c r="B2418" s="5" t="str">
        <f t="shared" si="263"/>
        <v>Mayze</v>
      </c>
      <c r="C2418" s="3">
        <f t="shared" si="269"/>
        <v>45819</v>
      </c>
      <c r="D2418" s="4">
        <f t="shared" ca="1" si="264"/>
        <v>153</v>
      </c>
      <c r="E2418" s="2">
        <f t="shared" ca="1" si="265"/>
        <v>6371</v>
      </c>
      <c r="F2418" s="2">
        <f t="shared" ca="1" si="266"/>
        <v>31003</v>
      </c>
      <c r="G2418" s="2">
        <f t="shared" ca="1" si="267"/>
        <v>1256</v>
      </c>
    </row>
    <row r="2419" spans="1:7" x14ac:dyDescent="0.3">
      <c r="A2419" s="5" t="str">
        <f t="shared" si="268"/>
        <v>New Balance</v>
      </c>
      <c r="B2419" s="5" t="str">
        <f t="shared" si="263"/>
        <v>574 Core</v>
      </c>
      <c r="C2419" s="3">
        <f t="shared" si="269"/>
        <v>45819</v>
      </c>
      <c r="D2419" s="4">
        <f t="shared" ca="1" si="264"/>
        <v>185</v>
      </c>
      <c r="E2419" s="2">
        <f t="shared" ca="1" si="265"/>
        <v>11840</v>
      </c>
      <c r="F2419" s="2">
        <f t="shared" ca="1" si="266"/>
        <v>16471</v>
      </c>
      <c r="G2419" s="2">
        <f t="shared" ca="1" si="267"/>
        <v>1240</v>
      </c>
    </row>
    <row r="2420" spans="1:7" x14ac:dyDescent="0.3">
      <c r="A2420" s="5" t="str">
        <f t="shared" si="268"/>
        <v>Reebok</v>
      </c>
      <c r="B2420" s="5" t="str">
        <f t="shared" si="263"/>
        <v>Club C 85</v>
      </c>
      <c r="C2420" s="3">
        <f t="shared" si="269"/>
        <v>45819</v>
      </c>
      <c r="D2420" s="4">
        <f t="shared" ca="1" si="264"/>
        <v>20</v>
      </c>
      <c r="E2420" s="2">
        <f t="shared" ca="1" si="265"/>
        <v>2564</v>
      </c>
      <c r="F2420" s="2">
        <f t="shared" ca="1" si="266"/>
        <v>25374</v>
      </c>
      <c r="G2420" s="2">
        <f t="shared" ca="1" si="267"/>
        <v>1666</v>
      </c>
    </row>
    <row r="2421" spans="1:7" x14ac:dyDescent="0.3">
      <c r="A2421" s="5" t="str">
        <f t="shared" si="268"/>
        <v>Nike</v>
      </c>
      <c r="B2421" s="5" t="str">
        <f t="shared" si="263"/>
        <v>Pegasus 40</v>
      </c>
      <c r="C2421" s="3">
        <f t="shared" si="269"/>
        <v>45819</v>
      </c>
      <c r="D2421" s="4">
        <f t="shared" ca="1" si="264"/>
        <v>150</v>
      </c>
      <c r="E2421" s="2">
        <f t="shared" ca="1" si="265"/>
        <v>5602</v>
      </c>
      <c r="F2421" s="2">
        <f t="shared" ca="1" si="266"/>
        <v>17495</v>
      </c>
      <c r="G2421" s="2">
        <f t="shared" ca="1" si="267"/>
        <v>484</v>
      </c>
    </row>
    <row r="2422" spans="1:7" x14ac:dyDescent="0.3">
      <c r="A2422" s="5" t="str">
        <f t="shared" si="268"/>
        <v>Adidas</v>
      </c>
      <c r="B2422" s="5" t="str">
        <f t="shared" si="263"/>
        <v>Gazelle</v>
      </c>
      <c r="C2422" s="3">
        <f t="shared" si="269"/>
        <v>45819</v>
      </c>
      <c r="D2422" s="4">
        <f t="shared" ca="1" si="264"/>
        <v>138</v>
      </c>
      <c r="E2422" s="2">
        <f t="shared" ca="1" si="265"/>
        <v>8949</v>
      </c>
      <c r="F2422" s="2">
        <f t="shared" ca="1" si="266"/>
        <v>13885</v>
      </c>
      <c r="G2422" s="2">
        <f t="shared" ca="1" si="267"/>
        <v>795</v>
      </c>
    </row>
    <row r="2423" spans="1:7" x14ac:dyDescent="0.3">
      <c r="A2423" s="5" t="str">
        <f t="shared" si="268"/>
        <v>Puma</v>
      </c>
      <c r="B2423" s="5" t="str">
        <f t="shared" si="263"/>
        <v>Slipstream</v>
      </c>
      <c r="C2423" s="3">
        <f t="shared" si="269"/>
        <v>45819</v>
      </c>
      <c r="D2423" s="4">
        <f t="shared" ca="1" si="264"/>
        <v>80</v>
      </c>
      <c r="E2423" s="2">
        <f t="shared" ca="1" si="265"/>
        <v>4952</v>
      </c>
      <c r="F2423" s="2">
        <f t="shared" ca="1" si="266"/>
        <v>11761</v>
      </c>
      <c r="G2423" s="2">
        <f t="shared" ca="1" si="267"/>
        <v>447</v>
      </c>
    </row>
    <row r="2424" spans="1:7" x14ac:dyDescent="0.3">
      <c r="A2424" s="5" t="str">
        <f t="shared" si="268"/>
        <v>New Balance</v>
      </c>
      <c r="B2424" s="5" t="str">
        <f t="shared" si="263"/>
        <v>550</v>
      </c>
      <c r="C2424" s="3">
        <f t="shared" si="269"/>
        <v>45819</v>
      </c>
      <c r="D2424" s="4">
        <f t="shared" ca="1" si="264"/>
        <v>102</v>
      </c>
      <c r="E2424" s="2">
        <f t="shared" ca="1" si="265"/>
        <v>2499</v>
      </c>
      <c r="F2424" s="2">
        <f t="shared" ca="1" si="266"/>
        <v>11230</v>
      </c>
      <c r="G2424" s="2">
        <f t="shared" ca="1" si="267"/>
        <v>370</v>
      </c>
    </row>
    <row r="2425" spans="1:7" x14ac:dyDescent="0.3">
      <c r="A2425" s="5" t="str">
        <f t="shared" si="268"/>
        <v>Reebok</v>
      </c>
      <c r="B2425" s="5" t="str">
        <f t="shared" si="263"/>
        <v>Classic Leather</v>
      </c>
      <c r="C2425" s="3">
        <f t="shared" si="269"/>
        <v>45819</v>
      </c>
      <c r="D2425" s="4">
        <f t="shared" ca="1" si="264"/>
        <v>186</v>
      </c>
      <c r="E2425" s="2">
        <f t="shared" ca="1" si="265"/>
        <v>5580</v>
      </c>
      <c r="F2425" s="2">
        <f t="shared" ca="1" si="266"/>
        <v>22359</v>
      </c>
      <c r="G2425" s="2">
        <f t="shared" ca="1" si="267"/>
        <v>827</v>
      </c>
    </row>
    <row r="2426" spans="1:7" x14ac:dyDescent="0.3">
      <c r="A2426" s="5" t="str">
        <f t="shared" si="268"/>
        <v>Nike</v>
      </c>
      <c r="B2426" s="5" t="str">
        <f t="shared" si="263"/>
        <v>Air Force 1</v>
      </c>
      <c r="C2426" s="3">
        <f t="shared" si="269"/>
        <v>45819</v>
      </c>
      <c r="D2426" s="4">
        <f t="shared" ca="1" si="264"/>
        <v>84</v>
      </c>
      <c r="E2426" s="2">
        <f t="shared" ca="1" si="265"/>
        <v>2111</v>
      </c>
      <c r="F2426" s="2">
        <f t="shared" ca="1" si="266"/>
        <v>12614</v>
      </c>
      <c r="G2426" s="2">
        <f t="shared" ca="1" si="267"/>
        <v>616</v>
      </c>
    </row>
    <row r="2427" spans="1:7" x14ac:dyDescent="0.3">
      <c r="A2427" s="5" t="str">
        <f t="shared" si="268"/>
        <v>Adidas</v>
      </c>
      <c r="B2427" s="5" t="str">
        <f t="shared" si="263"/>
        <v>Superstar</v>
      </c>
      <c r="C2427" s="3">
        <f t="shared" si="269"/>
        <v>45819</v>
      </c>
      <c r="D2427" s="4">
        <f t="shared" ca="1" si="264"/>
        <v>152</v>
      </c>
      <c r="E2427" s="2">
        <f t="shared" ca="1" si="265"/>
        <v>11027</v>
      </c>
      <c r="F2427" s="2">
        <f t="shared" ca="1" si="266"/>
        <v>11120</v>
      </c>
      <c r="G2427" s="2">
        <f t="shared" ca="1" si="267"/>
        <v>668</v>
      </c>
    </row>
    <row r="2428" spans="1:7" x14ac:dyDescent="0.3">
      <c r="A2428" s="5" t="str">
        <f t="shared" si="268"/>
        <v>Puma</v>
      </c>
      <c r="B2428" s="5" t="str">
        <f t="shared" si="263"/>
        <v>Rider Vintage</v>
      </c>
      <c r="C2428" s="3">
        <f t="shared" si="269"/>
        <v>45819</v>
      </c>
      <c r="D2428" s="4">
        <f t="shared" ca="1" si="264"/>
        <v>231</v>
      </c>
      <c r="E2428" s="2">
        <f t="shared" ca="1" si="265"/>
        <v>6319</v>
      </c>
      <c r="F2428" s="2">
        <f t="shared" ca="1" si="266"/>
        <v>23607</v>
      </c>
      <c r="G2428" s="2">
        <f t="shared" ca="1" si="267"/>
        <v>737</v>
      </c>
    </row>
    <row r="2429" spans="1:7" x14ac:dyDescent="0.3">
      <c r="A2429" s="5" t="str">
        <f t="shared" si="268"/>
        <v>New Balance</v>
      </c>
      <c r="B2429" s="5" t="str">
        <f t="shared" si="263"/>
        <v>327</v>
      </c>
      <c r="C2429" s="3">
        <f t="shared" si="269"/>
        <v>45819</v>
      </c>
      <c r="D2429" s="4">
        <f t="shared" ca="1" si="264"/>
        <v>124</v>
      </c>
      <c r="E2429" s="2">
        <f t="shared" ca="1" si="265"/>
        <v>2969</v>
      </c>
      <c r="F2429" s="2">
        <f t="shared" ca="1" si="266"/>
        <v>24364</v>
      </c>
      <c r="G2429" s="2">
        <f t="shared" ca="1" si="267"/>
        <v>888</v>
      </c>
    </row>
    <row r="2430" spans="1:7" x14ac:dyDescent="0.3">
      <c r="A2430" s="5" t="str">
        <f t="shared" si="268"/>
        <v>Reebok</v>
      </c>
      <c r="B2430" s="5" t="str">
        <f t="shared" si="263"/>
        <v>Question Mid</v>
      </c>
      <c r="C2430" s="3">
        <f t="shared" si="269"/>
        <v>45819</v>
      </c>
      <c r="D2430" s="4">
        <f t="shared" ca="1" si="264"/>
        <v>38</v>
      </c>
      <c r="E2430" s="2">
        <f t="shared" ca="1" si="265"/>
        <v>9899</v>
      </c>
      <c r="F2430" s="2">
        <f t="shared" ca="1" si="266"/>
        <v>6906</v>
      </c>
      <c r="G2430" s="2">
        <f t="shared" ca="1" si="267"/>
        <v>459</v>
      </c>
    </row>
    <row r="2431" spans="1:7" x14ac:dyDescent="0.3">
      <c r="A2431" s="5" t="str">
        <f t="shared" si="268"/>
        <v>Nike</v>
      </c>
      <c r="B2431" s="5" t="str">
        <f t="shared" si="263"/>
        <v>Air Max 270</v>
      </c>
      <c r="C2431" s="3">
        <f t="shared" si="269"/>
        <v>45819</v>
      </c>
      <c r="D2431" s="4">
        <f t="shared" ca="1" si="264"/>
        <v>89</v>
      </c>
      <c r="E2431" s="2">
        <f t="shared" ca="1" si="265"/>
        <v>1601</v>
      </c>
      <c r="F2431" s="2">
        <f t="shared" ca="1" si="266"/>
        <v>31754</v>
      </c>
      <c r="G2431" s="2">
        <f t="shared" ca="1" si="267"/>
        <v>748</v>
      </c>
    </row>
    <row r="2432" spans="1:7" x14ac:dyDescent="0.3">
      <c r="A2432" s="5" t="str">
        <f t="shared" si="268"/>
        <v>Adidas</v>
      </c>
      <c r="B2432" s="5" t="str">
        <f t="shared" si="263"/>
        <v>Stan Smith</v>
      </c>
      <c r="C2432" s="3">
        <f t="shared" si="269"/>
        <v>45820</v>
      </c>
      <c r="D2432" s="4">
        <f t="shared" ca="1" si="264"/>
        <v>140</v>
      </c>
      <c r="E2432" s="2">
        <f t="shared" ca="1" si="265"/>
        <v>9428</v>
      </c>
      <c r="F2432" s="2">
        <f t="shared" ca="1" si="266"/>
        <v>6748</v>
      </c>
      <c r="G2432" s="2">
        <f t="shared" ca="1" si="267"/>
        <v>453</v>
      </c>
    </row>
    <row r="2433" spans="1:7" x14ac:dyDescent="0.3">
      <c r="A2433" s="5" t="str">
        <f t="shared" si="268"/>
        <v>Puma</v>
      </c>
      <c r="B2433" s="5" t="str">
        <f t="shared" si="263"/>
        <v>Cali Dream</v>
      </c>
      <c r="C2433" s="3">
        <f t="shared" si="269"/>
        <v>45820</v>
      </c>
      <c r="D2433" s="4">
        <f t="shared" ca="1" si="264"/>
        <v>131</v>
      </c>
      <c r="E2433" s="2">
        <f t="shared" ca="1" si="265"/>
        <v>2959</v>
      </c>
      <c r="F2433" s="2">
        <f t="shared" ca="1" si="266"/>
        <v>16393</v>
      </c>
      <c r="G2433" s="2">
        <f t="shared" ca="1" si="267"/>
        <v>1186</v>
      </c>
    </row>
    <row r="2434" spans="1:7" x14ac:dyDescent="0.3">
      <c r="A2434" s="5" t="str">
        <f t="shared" si="268"/>
        <v>New Balance</v>
      </c>
      <c r="B2434" s="5" t="str">
        <f t="shared" si="263"/>
        <v>9060</v>
      </c>
      <c r="C2434" s="3">
        <f t="shared" si="269"/>
        <v>45820</v>
      </c>
      <c r="D2434" s="4">
        <f t="shared" ca="1" si="264"/>
        <v>174</v>
      </c>
      <c r="E2434" s="2">
        <f t="shared" ca="1" si="265"/>
        <v>7719</v>
      </c>
      <c r="F2434" s="2">
        <f t="shared" ca="1" si="266"/>
        <v>32740</v>
      </c>
      <c r="G2434" s="2">
        <f t="shared" ca="1" si="267"/>
        <v>1117</v>
      </c>
    </row>
    <row r="2435" spans="1:7" x14ac:dyDescent="0.3">
      <c r="A2435" s="5" t="str">
        <f t="shared" si="268"/>
        <v>Reebok</v>
      </c>
      <c r="B2435" s="5" t="str">
        <f t="shared" ref="B2435:B2498" si="270">IF(A2435="Nike",CHOOSE(MOD(ROW(A2434),6)+1,"Air Max 270","Air Force 1","Pegasus 40","Vaporfly 3","Cortez","Jordan 1"),
 IF(A2435="Adidas",CHOOSE(MOD(ROW(A2434),6)+1,"Ultraboost 23","Stan Smith","Superstar","Gazelle","Samba","NMD S1"),
 IF(A2435="Puma",CHOOSE(MOD(ROW(A2434),6)+1,"Suede Classic","RS-X","Cali Dream","Rider Vintage","Slipstream","Mayze"),
 IF(A2435="New Balance",CHOOSE(MOD(ROW(A2434),6)+1,"574 Core","990v6","2002R","9060","327","550"),
 IF(A2435="Reebok",CHOOSE(MOD(ROW(A2434),6)+1,"Classic Leather","Club C 85","Nano X3","Instapump Fury","Zig Kinetica","Question Mid"),"")))))</f>
        <v>Zig Kinetica</v>
      </c>
      <c r="C2435" s="3">
        <f t="shared" si="269"/>
        <v>45820</v>
      </c>
      <c r="D2435" s="4">
        <f t="shared" ref="D2435:D2498" ca="1" si="271">RANDBETWEEN(20,250)</f>
        <v>80</v>
      </c>
      <c r="E2435" s="2">
        <f t="shared" ref="E2435:E2498" ca="1" si="272">ROUND(RANDBETWEEN(1500,12000)+(RANDBETWEEN(-200,200)),2)</f>
        <v>10518</v>
      </c>
      <c r="F2435" s="2">
        <f t="shared" ref="F2435:F2498" ca="1" si="273">RANDBETWEEN(5000,35000)</f>
        <v>19524</v>
      </c>
      <c r="G2435" s="2">
        <f t="shared" ref="G2435:G2498" ca="1" si="274">RANDBETWEEN(ROUND(F2435*0.02,0),ROUND(F2435*0.08,0))</f>
        <v>1259</v>
      </c>
    </row>
    <row r="2436" spans="1:7" x14ac:dyDescent="0.3">
      <c r="A2436" s="5" t="str">
        <f t="shared" si="268"/>
        <v>Nike</v>
      </c>
      <c r="B2436" s="5" t="str">
        <f t="shared" si="270"/>
        <v>Jordan 1</v>
      </c>
      <c r="C2436" s="3">
        <f t="shared" si="269"/>
        <v>45820</v>
      </c>
      <c r="D2436" s="4">
        <f t="shared" ca="1" si="271"/>
        <v>231</v>
      </c>
      <c r="E2436" s="2">
        <f t="shared" ca="1" si="272"/>
        <v>7194</v>
      </c>
      <c r="F2436" s="2">
        <f t="shared" ca="1" si="273"/>
        <v>20348</v>
      </c>
      <c r="G2436" s="2">
        <f t="shared" ca="1" si="274"/>
        <v>1160</v>
      </c>
    </row>
    <row r="2437" spans="1:7" x14ac:dyDescent="0.3">
      <c r="A2437" s="5" t="str">
        <f t="shared" si="268"/>
        <v>Adidas</v>
      </c>
      <c r="B2437" s="5" t="str">
        <f t="shared" si="270"/>
        <v>Ultraboost 23</v>
      </c>
      <c r="C2437" s="3">
        <f t="shared" si="269"/>
        <v>45820</v>
      </c>
      <c r="D2437" s="4">
        <f t="shared" ca="1" si="271"/>
        <v>48</v>
      </c>
      <c r="E2437" s="2">
        <f t="shared" ca="1" si="272"/>
        <v>6619</v>
      </c>
      <c r="F2437" s="2">
        <f t="shared" ca="1" si="273"/>
        <v>6789</v>
      </c>
      <c r="G2437" s="2">
        <f t="shared" ca="1" si="274"/>
        <v>404</v>
      </c>
    </row>
    <row r="2438" spans="1:7" x14ac:dyDescent="0.3">
      <c r="A2438" s="5" t="str">
        <f t="shared" si="268"/>
        <v>Puma</v>
      </c>
      <c r="B2438" s="5" t="str">
        <f t="shared" si="270"/>
        <v>RS-X</v>
      </c>
      <c r="C2438" s="3">
        <f t="shared" si="269"/>
        <v>45820</v>
      </c>
      <c r="D2438" s="4">
        <f t="shared" ca="1" si="271"/>
        <v>47</v>
      </c>
      <c r="E2438" s="2">
        <f t="shared" ca="1" si="272"/>
        <v>8716</v>
      </c>
      <c r="F2438" s="2">
        <f t="shared" ca="1" si="273"/>
        <v>26406</v>
      </c>
      <c r="G2438" s="2">
        <f t="shared" ca="1" si="274"/>
        <v>1235</v>
      </c>
    </row>
    <row r="2439" spans="1:7" x14ac:dyDescent="0.3">
      <c r="A2439" s="5" t="str">
        <f t="shared" si="268"/>
        <v>New Balance</v>
      </c>
      <c r="B2439" s="5" t="str">
        <f t="shared" si="270"/>
        <v>2002R</v>
      </c>
      <c r="C2439" s="3">
        <f t="shared" si="269"/>
        <v>45820</v>
      </c>
      <c r="D2439" s="4">
        <f t="shared" ca="1" si="271"/>
        <v>235</v>
      </c>
      <c r="E2439" s="2">
        <f t="shared" ca="1" si="272"/>
        <v>5336</v>
      </c>
      <c r="F2439" s="2">
        <f t="shared" ca="1" si="273"/>
        <v>20128</v>
      </c>
      <c r="G2439" s="2">
        <f t="shared" ca="1" si="274"/>
        <v>1591</v>
      </c>
    </row>
    <row r="2440" spans="1:7" x14ac:dyDescent="0.3">
      <c r="A2440" s="5" t="str">
        <f t="shared" si="268"/>
        <v>Reebok</v>
      </c>
      <c r="B2440" s="5" t="str">
        <f t="shared" si="270"/>
        <v>Instapump Fury</v>
      </c>
      <c r="C2440" s="3">
        <f t="shared" si="269"/>
        <v>45820</v>
      </c>
      <c r="D2440" s="4">
        <f t="shared" ca="1" si="271"/>
        <v>34</v>
      </c>
      <c r="E2440" s="2">
        <f t="shared" ca="1" si="272"/>
        <v>10011</v>
      </c>
      <c r="F2440" s="2">
        <f t="shared" ca="1" si="273"/>
        <v>13591</v>
      </c>
      <c r="G2440" s="2">
        <f t="shared" ca="1" si="274"/>
        <v>329</v>
      </c>
    </row>
    <row r="2441" spans="1:7" x14ac:dyDescent="0.3">
      <c r="A2441" s="5" t="str">
        <f t="shared" si="268"/>
        <v>Nike</v>
      </c>
      <c r="B2441" s="5" t="str">
        <f t="shared" si="270"/>
        <v>Cortez</v>
      </c>
      <c r="C2441" s="3">
        <f t="shared" si="269"/>
        <v>45820</v>
      </c>
      <c r="D2441" s="4">
        <f t="shared" ca="1" si="271"/>
        <v>198</v>
      </c>
      <c r="E2441" s="2">
        <f t="shared" ca="1" si="272"/>
        <v>4294</v>
      </c>
      <c r="F2441" s="2">
        <f t="shared" ca="1" si="273"/>
        <v>21145</v>
      </c>
      <c r="G2441" s="2">
        <f t="shared" ca="1" si="274"/>
        <v>1349</v>
      </c>
    </row>
    <row r="2442" spans="1:7" x14ac:dyDescent="0.3">
      <c r="A2442" s="5" t="str">
        <f t="shared" si="268"/>
        <v>Adidas</v>
      </c>
      <c r="B2442" s="5" t="str">
        <f t="shared" si="270"/>
        <v>NMD S1</v>
      </c>
      <c r="C2442" s="3">
        <f t="shared" si="269"/>
        <v>45820</v>
      </c>
      <c r="D2442" s="4">
        <f t="shared" ca="1" si="271"/>
        <v>237</v>
      </c>
      <c r="E2442" s="2">
        <f t="shared" ca="1" si="272"/>
        <v>2604</v>
      </c>
      <c r="F2442" s="2">
        <f t="shared" ca="1" si="273"/>
        <v>24850</v>
      </c>
      <c r="G2442" s="2">
        <f t="shared" ca="1" si="274"/>
        <v>998</v>
      </c>
    </row>
    <row r="2443" spans="1:7" x14ac:dyDescent="0.3">
      <c r="A2443" s="5" t="str">
        <f t="shared" si="268"/>
        <v>Puma</v>
      </c>
      <c r="B2443" s="5" t="str">
        <f t="shared" si="270"/>
        <v>Suede Classic</v>
      </c>
      <c r="C2443" s="3">
        <f t="shared" si="269"/>
        <v>45820</v>
      </c>
      <c r="D2443" s="4">
        <f t="shared" ca="1" si="271"/>
        <v>43</v>
      </c>
      <c r="E2443" s="2">
        <f t="shared" ca="1" si="272"/>
        <v>2594</v>
      </c>
      <c r="F2443" s="2">
        <f t="shared" ca="1" si="273"/>
        <v>19839</v>
      </c>
      <c r="G2443" s="2">
        <f t="shared" ca="1" si="274"/>
        <v>503</v>
      </c>
    </row>
    <row r="2444" spans="1:7" x14ac:dyDescent="0.3">
      <c r="A2444" s="5" t="str">
        <f t="shared" si="268"/>
        <v>New Balance</v>
      </c>
      <c r="B2444" s="5" t="str">
        <f t="shared" si="270"/>
        <v>990v6</v>
      </c>
      <c r="C2444" s="3">
        <f t="shared" si="269"/>
        <v>45820</v>
      </c>
      <c r="D2444" s="4">
        <f t="shared" ca="1" si="271"/>
        <v>141</v>
      </c>
      <c r="E2444" s="2">
        <f t="shared" ca="1" si="272"/>
        <v>8167</v>
      </c>
      <c r="F2444" s="2">
        <f t="shared" ca="1" si="273"/>
        <v>14208</v>
      </c>
      <c r="G2444" s="2">
        <f t="shared" ca="1" si="274"/>
        <v>367</v>
      </c>
    </row>
    <row r="2445" spans="1:7" x14ac:dyDescent="0.3">
      <c r="A2445" s="5" t="str">
        <f t="shared" si="268"/>
        <v>Reebok</v>
      </c>
      <c r="B2445" s="5" t="str">
        <f t="shared" si="270"/>
        <v>Nano X3</v>
      </c>
      <c r="C2445" s="3">
        <f t="shared" si="269"/>
        <v>45820</v>
      </c>
      <c r="D2445" s="4">
        <f t="shared" ca="1" si="271"/>
        <v>96</v>
      </c>
      <c r="E2445" s="2">
        <f t="shared" ca="1" si="272"/>
        <v>5264</v>
      </c>
      <c r="F2445" s="2">
        <f t="shared" ca="1" si="273"/>
        <v>14591</v>
      </c>
      <c r="G2445" s="2">
        <f t="shared" ca="1" si="274"/>
        <v>418</v>
      </c>
    </row>
    <row r="2446" spans="1:7" x14ac:dyDescent="0.3">
      <c r="A2446" s="5" t="str">
        <f t="shared" si="268"/>
        <v>Nike</v>
      </c>
      <c r="B2446" s="5" t="str">
        <f t="shared" si="270"/>
        <v>Vaporfly 3</v>
      </c>
      <c r="C2446" s="3">
        <f t="shared" si="269"/>
        <v>45820</v>
      </c>
      <c r="D2446" s="4">
        <f t="shared" ca="1" si="271"/>
        <v>79</v>
      </c>
      <c r="E2446" s="2">
        <f t="shared" ca="1" si="272"/>
        <v>8859</v>
      </c>
      <c r="F2446" s="2">
        <f t="shared" ca="1" si="273"/>
        <v>15616</v>
      </c>
      <c r="G2446" s="2">
        <f t="shared" ca="1" si="274"/>
        <v>427</v>
      </c>
    </row>
    <row r="2447" spans="1:7" x14ac:dyDescent="0.3">
      <c r="A2447" s="5" t="str">
        <f t="shared" si="268"/>
        <v>Adidas</v>
      </c>
      <c r="B2447" s="5" t="str">
        <f t="shared" si="270"/>
        <v>Samba</v>
      </c>
      <c r="C2447" s="3">
        <f t="shared" si="269"/>
        <v>45821</v>
      </c>
      <c r="D2447" s="4">
        <f t="shared" ca="1" si="271"/>
        <v>212</v>
      </c>
      <c r="E2447" s="2">
        <f t="shared" ca="1" si="272"/>
        <v>11491</v>
      </c>
      <c r="F2447" s="2">
        <f t="shared" ca="1" si="273"/>
        <v>18045</v>
      </c>
      <c r="G2447" s="2">
        <f t="shared" ca="1" si="274"/>
        <v>1149</v>
      </c>
    </row>
    <row r="2448" spans="1:7" x14ac:dyDescent="0.3">
      <c r="A2448" s="5" t="str">
        <f t="shared" si="268"/>
        <v>Puma</v>
      </c>
      <c r="B2448" s="5" t="str">
        <f t="shared" si="270"/>
        <v>Mayze</v>
      </c>
      <c r="C2448" s="3">
        <f t="shared" si="269"/>
        <v>45821</v>
      </c>
      <c r="D2448" s="4">
        <f t="shared" ca="1" si="271"/>
        <v>68</v>
      </c>
      <c r="E2448" s="2">
        <f t="shared" ca="1" si="272"/>
        <v>7502</v>
      </c>
      <c r="F2448" s="2">
        <f t="shared" ca="1" si="273"/>
        <v>30851</v>
      </c>
      <c r="G2448" s="2">
        <f t="shared" ca="1" si="274"/>
        <v>1627</v>
      </c>
    </row>
    <row r="2449" spans="1:7" x14ac:dyDescent="0.3">
      <c r="A2449" s="5" t="str">
        <f t="shared" si="268"/>
        <v>New Balance</v>
      </c>
      <c r="B2449" s="5" t="str">
        <f t="shared" si="270"/>
        <v>574 Core</v>
      </c>
      <c r="C2449" s="3">
        <f t="shared" si="269"/>
        <v>45821</v>
      </c>
      <c r="D2449" s="4">
        <f t="shared" ca="1" si="271"/>
        <v>57</v>
      </c>
      <c r="E2449" s="2">
        <f t="shared" ca="1" si="272"/>
        <v>9660</v>
      </c>
      <c r="F2449" s="2">
        <f t="shared" ca="1" si="273"/>
        <v>7204</v>
      </c>
      <c r="G2449" s="2">
        <f t="shared" ca="1" si="274"/>
        <v>270</v>
      </c>
    </row>
    <row r="2450" spans="1:7" x14ac:dyDescent="0.3">
      <c r="A2450" s="5" t="str">
        <f t="shared" si="268"/>
        <v>Reebok</v>
      </c>
      <c r="B2450" s="5" t="str">
        <f t="shared" si="270"/>
        <v>Club C 85</v>
      </c>
      <c r="C2450" s="3">
        <f t="shared" si="269"/>
        <v>45821</v>
      </c>
      <c r="D2450" s="4">
        <f t="shared" ca="1" si="271"/>
        <v>213</v>
      </c>
      <c r="E2450" s="2">
        <f t="shared" ca="1" si="272"/>
        <v>11520</v>
      </c>
      <c r="F2450" s="2">
        <f t="shared" ca="1" si="273"/>
        <v>34350</v>
      </c>
      <c r="G2450" s="2">
        <f t="shared" ca="1" si="274"/>
        <v>1763</v>
      </c>
    </row>
    <row r="2451" spans="1:7" x14ac:dyDescent="0.3">
      <c r="A2451" s="5" t="str">
        <f t="shared" si="268"/>
        <v>Nike</v>
      </c>
      <c r="B2451" s="5" t="str">
        <f t="shared" si="270"/>
        <v>Pegasus 40</v>
      </c>
      <c r="C2451" s="3">
        <f t="shared" si="269"/>
        <v>45821</v>
      </c>
      <c r="D2451" s="4">
        <f t="shared" ca="1" si="271"/>
        <v>66</v>
      </c>
      <c r="E2451" s="2">
        <f t="shared" ca="1" si="272"/>
        <v>9262</v>
      </c>
      <c r="F2451" s="2">
        <f t="shared" ca="1" si="273"/>
        <v>16315</v>
      </c>
      <c r="G2451" s="2">
        <f t="shared" ca="1" si="274"/>
        <v>922</v>
      </c>
    </row>
    <row r="2452" spans="1:7" x14ac:dyDescent="0.3">
      <c r="A2452" s="5" t="str">
        <f t="shared" si="268"/>
        <v>Adidas</v>
      </c>
      <c r="B2452" s="5" t="str">
        <f t="shared" si="270"/>
        <v>Gazelle</v>
      </c>
      <c r="C2452" s="3">
        <f t="shared" si="269"/>
        <v>45821</v>
      </c>
      <c r="D2452" s="4">
        <f t="shared" ca="1" si="271"/>
        <v>206</v>
      </c>
      <c r="E2452" s="2">
        <f t="shared" ca="1" si="272"/>
        <v>1623</v>
      </c>
      <c r="F2452" s="2">
        <f t="shared" ca="1" si="273"/>
        <v>33606</v>
      </c>
      <c r="G2452" s="2">
        <f t="shared" ca="1" si="274"/>
        <v>2457</v>
      </c>
    </row>
    <row r="2453" spans="1:7" x14ac:dyDescent="0.3">
      <c r="A2453" s="5" t="str">
        <f t="shared" si="268"/>
        <v>Puma</v>
      </c>
      <c r="B2453" s="5" t="str">
        <f t="shared" si="270"/>
        <v>Slipstream</v>
      </c>
      <c r="C2453" s="3">
        <f t="shared" si="269"/>
        <v>45821</v>
      </c>
      <c r="D2453" s="4">
        <f t="shared" ca="1" si="271"/>
        <v>193</v>
      </c>
      <c r="E2453" s="2">
        <f t="shared" ca="1" si="272"/>
        <v>3161</v>
      </c>
      <c r="F2453" s="2">
        <f t="shared" ca="1" si="273"/>
        <v>17644</v>
      </c>
      <c r="G2453" s="2">
        <f t="shared" ca="1" si="274"/>
        <v>422</v>
      </c>
    </row>
    <row r="2454" spans="1:7" x14ac:dyDescent="0.3">
      <c r="A2454" s="5" t="str">
        <f t="shared" si="268"/>
        <v>New Balance</v>
      </c>
      <c r="B2454" s="5" t="str">
        <f t="shared" si="270"/>
        <v>550</v>
      </c>
      <c r="C2454" s="3">
        <f t="shared" si="269"/>
        <v>45821</v>
      </c>
      <c r="D2454" s="4">
        <f t="shared" ca="1" si="271"/>
        <v>79</v>
      </c>
      <c r="E2454" s="2">
        <f t="shared" ca="1" si="272"/>
        <v>7636</v>
      </c>
      <c r="F2454" s="2">
        <f t="shared" ca="1" si="273"/>
        <v>23464</v>
      </c>
      <c r="G2454" s="2">
        <f t="shared" ca="1" si="274"/>
        <v>1866</v>
      </c>
    </row>
    <row r="2455" spans="1:7" x14ac:dyDescent="0.3">
      <c r="A2455" s="5" t="str">
        <f t="shared" si="268"/>
        <v>Reebok</v>
      </c>
      <c r="B2455" s="5" t="str">
        <f t="shared" si="270"/>
        <v>Classic Leather</v>
      </c>
      <c r="C2455" s="3">
        <f t="shared" si="269"/>
        <v>45821</v>
      </c>
      <c r="D2455" s="4">
        <f t="shared" ca="1" si="271"/>
        <v>85</v>
      </c>
      <c r="E2455" s="2">
        <f t="shared" ca="1" si="272"/>
        <v>9878</v>
      </c>
      <c r="F2455" s="2">
        <f t="shared" ca="1" si="273"/>
        <v>11269</v>
      </c>
      <c r="G2455" s="2">
        <f t="shared" ca="1" si="274"/>
        <v>617</v>
      </c>
    </row>
    <row r="2456" spans="1:7" x14ac:dyDescent="0.3">
      <c r="A2456" s="5" t="str">
        <f t="shared" si="268"/>
        <v>Nike</v>
      </c>
      <c r="B2456" s="5" t="str">
        <f t="shared" si="270"/>
        <v>Air Force 1</v>
      </c>
      <c r="C2456" s="3">
        <f t="shared" si="269"/>
        <v>45821</v>
      </c>
      <c r="D2456" s="4">
        <f t="shared" ca="1" si="271"/>
        <v>195</v>
      </c>
      <c r="E2456" s="2">
        <f t="shared" ca="1" si="272"/>
        <v>11638</v>
      </c>
      <c r="F2456" s="2">
        <f t="shared" ca="1" si="273"/>
        <v>34514</v>
      </c>
      <c r="G2456" s="2">
        <f t="shared" ca="1" si="274"/>
        <v>1079</v>
      </c>
    </row>
    <row r="2457" spans="1:7" x14ac:dyDescent="0.3">
      <c r="A2457" s="5" t="str">
        <f t="shared" si="268"/>
        <v>Adidas</v>
      </c>
      <c r="B2457" s="5" t="str">
        <f t="shared" si="270"/>
        <v>Superstar</v>
      </c>
      <c r="C2457" s="3">
        <f t="shared" si="269"/>
        <v>45821</v>
      </c>
      <c r="D2457" s="4">
        <f t="shared" ca="1" si="271"/>
        <v>80</v>
      </c>
      <c r="E2457" s="2">
        <f t="shared" ca="1" si="272"/>
        <v>9989</v>
      </c>
      <c r="F2457" s="2">
        <f t="shared" ca="1" si="273"/>
        <v>24033</v>
      </c>
      <c r="G2457" s="2">
        <f t="shared" ca="1" si="274"/>
        <v>1395</v>
      </c>
    </row>
    <row r="2458" spans="1:7" x14ac:dyDescent="0.3">
      <c r="A2458" s="5" t="str">
        <f t="shared" si="268"/>
        <v>Puma</v>
      </c>
      <c r="B2458" s="5" t="str">
        <f t="shared" si="270"/>
        <v>Rider Vintage</v>
      </c>
      <c r="C2458" s="3">
        <f t="shared" si="269"/>
        <v>45821</v>
      </c>
      <c r="D2458" s="4">
        <f t="shared" ca="1" si="271"/>
        <v>59</v>
      </c>
      <c r="E2458" s="2">
        <f t="shared" ca="1" si="272"/>
        <v>10848</v>
      </c>
      <c r="F2458" s="2">
        <f t="shared" ca="1" si="273"/>
        <v>11119</v>
      </c>
      <c r="G2458" s="2">
        <f t="shared" ca="1" si="274"/>
        <v>676</v>
      </c>
    </row>
    <row r="2459" spans="1:7" x14ac:dyDescent="0.3">
      <c r="A2459" s="5" t="str">
        <f t="shared" si="268"/>
        <v>New Balance</v>
      </c>
      <c r="B2459" s="5" t="str">
        <f t="shared" si="270"/>
        <v>327</v>
      </c>
      <c r="C2459" s="3">
        <f t="shared" si="269"/>
        <v>45821</v>
      </c>
      <c r="D2459" s="4">
        <f t="shared" ca="1" si="271"/>
        <v>212</v>
      </c>
      <c r="E2459" s="2">
        <f t="shared" ca="1" si="272"/>
        <v>10115</v>
      </c>
      <c r="F2459" s="2">
        <f t="shared" ca="1" si="273"/>
        <v>33923</v>
      </c>
      <c r="G2459" s="2">
        <f t="shared" ca="1" si="274"/>
        <v>1584</v>
      </c>
    </row>
    <row r="2460" spans="1:7" x14ac:dyDescent="0.3">
      <c r="A2460" s="5" t="str">
        <f t="shared" si="268"/>
        <v>Reebok</v>
      </c>
      <c r="B2460" s="5" t="str">
        <f t="shared" si="270"/>
        <v>Question Mid</v>
      </c>
      <c r="C2460" s="3">
        <f t="shared" si="269"/>
        <v>45821</v>
      </c>
      <c r="D2460" s="4">
        <f t="shared" ca="1" si="271"/>
        <v>108</v>
      </c>
      <c r="E2460" s="2">
        <f t="shared" ca="1" si="272"/>
        <v>2506</v>
      </c>
      <c r="F2460" s="2">
        <f t="shared" ca="1" si="273"/>
        <v>30549</v>
      </c>
      <c r="G2460" s="2">
        <f t="shared" ca="1" si="274"/>
        <v>1597</v>
      </c>
    </row>
    <row r="2461" spans="1:7" x14ac:dyDescent="0.3">
      <c r="A2461" s="5" t="str">
        <f t="shared" si="268"/>
        <v>Nike</v>
      </c>
      <c r="B2461" s="5" t="str">
        <f t="shared" si="270"/>
        <v>Air Max 270</v>
      </c>
      <c r="C2461" s="3">
        <f t="shared" si="269"/>
        <v>45821</v>
      </c>
      <c r="D2461" s="4">
        <f t="shared" ca="1" si="271"/>
        <v>87</v>
      </c>
      <c r="E2461" s="2">
        <f t="shared" ca="1" si="272"/>
        <v>8932</v>
      </c>
      <c r="F2461" s="2">
        <f t="shared" ca="1" si="273"/>
        <v>10221</v>
      </c>
      <c r="G2461" s="2">
        <f t="shared" ca="1" si="274"/>
        <v>215</v>
      </c>
    </row>
    <row r="2462" spans="1:7" x14ac:dyDescent="0.3">
      <c r="A2462" s="5" t="str">
        <f t="shared" si="268"/>
        <v>Adidas</v>
      </c>
      <c r="B2462" s="5" t="str">
        <f t="shared" si="270"/>
        <v>Stan Smith</v>
      </c>
      <c r="C2462" s="3">
        <f t="shared" si="269"/>
        <v>45822</v>
      </c>
      <c r="D2462" s="4">
        <f t="shared" ca="1" si="271"/>
        <v>243</v>
      </c>
      <c r="E2462" s="2">
        <f t="shared" ca="1" si="272"/>
        <v>10205</v>
      </c>
      <c r="F2462" s="2">
        <f t="shared" ca="1" si="273"/>
        <v>32703</v>
      </c>
      <c r="G2462" s="2">
        <f t="shared" ca="1" si="274"/>
        <v>2501</v>
      </c>
    </row>
    <row r="2463" spans="1:7" x14ac:dyDescent="0.3">
      <c r="A2463" s="5" t="str">
        <f t="shared" si="268"/>
        <v>Puma</v>
      </c>
      <c r="B2463" s="5" t="str">
        <f t="shared" si="270"/>
        <v>Cali Dream</v>
      </c>
      <c r="C2463" s="3">
        <f t="shared" si="269"/>
        <v>45822</v>
      </c>
      <c r="D2463" s="4">
        <f t="shared" ca="1" si="271"/>
        <v>86</v>
      </c>
      <c r="E2463" s="2">
        <f t="shared" ca="1" si="272"/>
        <v>2854</v>
      </c>
      <c r="F2463" s="2">
        <f t="shared" ca="1" si="273"/>
        <v>28273</v>
      </c>
      <c r="G2463" s="2">
        <f t="shared" ca="1" si="274"/>
        <v>1459</v>
      </c>
    </row>
    <row r="2464" spans="1:7" x14ac:dyDescent="0.3">
      <c r="A2464" s="5" t="str">
        <f t="shared" si="268"/>
        <v>New Balance</v>
      </c>
      <c r="B2464" s="5" t="str">
        <f t="shared" si="270"/>
        <v>9060</v>
      </c>
      <c r="C2464" s="3">
        <f t="shared" si="269"/>
        <v>45822</v>
      </c>
      <c r="D2464" s="4">
        <f t="shared" ca="1" si="271"/>
        <v>64</v>
      </c>
      <c r="E2464" s="2">
        <f t="shared" ca="1" si="272"/>
        <v>2750</v>
      </c>
      <c r="F2464" s="2">
        <f t="shared" ca="1" si="273"/>
        <v>22823</v>
      </c>
      <c r="G2464" s="2">
        <f t="shared" ca="1" si="274"/>
        <v>533</v>
      </c>
    </row>
    <row r="2465" spans="1:7" x14ac:dyDescent="0.3">
      <c r="A2465" s="5" t="str">
        <f t="shared" si="268"/>
        <v>Reebok</v>
      </c>
      <c r="B2465" s="5" t="str">
        <f t="shared" si="270"/>
        <v>Zig Kinetica</v>
      </c>
      <c r="C2465" s="3">
        <f t="shared" si="269"/>
        <v>45822</v>
      </c>
      <c r="D2465" s="4">
        <f t="shared" ca="1" si="271"/>
        <v>69</v>
      </c>
      <c r="E2465" s="2">
        <f t="shared" ca="1" si="272"/>
        <v>5420</v>
      </c>
      <c r="F2465" s="2">
        <f t="shared" ca="1" si="273"/>
        <v>19452</v>
      </c>
      <c r="G2465" s="2">
        <f t="shared" ca="1" si="274"/>
        <v>1412</v>
      </c>
    </row>
    <row r="2466" spans="1:7" x14ac:dyDescent="0.3">
      <c r="A2466" s="5" t="str">
        <f t="shared" si="268"/>
        <v>Nike</v>
      </c>
      <c r="B2466" s="5" t="str">
        <f t="shared" si="270"/>
        <v>Jordan 1</v>
      </c>
      <c r="C2466" s="3">
        <f t="shared" si="269"/>
        <v>45822</v>
      </c>
      <c r="D2466" s="4">
        <f t="shared" ca="1" si="271"/>
        <v>236</v>
      </c>
      <c r="E2466" s="2">
        <f t="shared" ca="1" si="272"/>
        <v>4168</v>
      </c>
      <c r="F2466" s="2">
        <f t="shared" ca="1" si="273"/>
        <v>28545</v>
      </c>
      <c r="G2466" s="2">
        <f t="shared" ca="1" si="274"/>
        <v>1237</v>
      </c>
    </row>
    <row r="2467" spans="1:7" x14ac:dyDescent="0.3">
      <c r="A2467" s="5" t="str">
        <f t="shared" si="268"/>
        <v>Adidas</v>
      </c>
      <c r="B2467" s="5" t="str">
        <f t="shared" si="270"/>
        <v>Ultraboost 23</v>
      </c>
      <c r="C2467" s="3">
        <f t="shared" si="269"/>
        <v>45822</v>
      </c>
      <c r="D2467" s="4">
        <f t="shared" ca="1" si="271"/>
        <v>87</v>
      </c>
      <c r="E2467" s="2">
        <f t="shared" ca="1" si="272"/>
        <v>10895</v>
      </c>
      <c r="F2467" s="2">
        <f t="shared" ca="1" si="273"/>
        <v>7305</v>
      </c>
      <c r="G2467" s="2">
        <f t="shared" ca="1" si="274"/>
        <v>536</v>
      </c>
    </row>
    <row r="2468" spans="1:7" x14ac:dyDescent="0.3">
      <c r="A2468" s="5" t="str">
        <f t="shared" si="268"/>
        <v>Puma</v>
      </c>
      <c r="B2468" s="5" t="str">
        <f t="shared" si="270"/>
        <v>RS-X</v>
      </c>
      <c r="C2468" s="3">
        <f t="shared" si="269"/>
        <v>45822</v>
      </c>
      <c r="D2468" s="4">
        <f t="shared" ca="1" si="271"/>
        <v>201</v>
      </c>
      <c r="E2468" s="2">
        <f t="shared" ca="1" si="272"/>
        <v>3118</v>
      </c>
      <c r="F2468" s="2">
        <f t="shared" ca="1" si="273"/>
        <v>23022</v>
      </c>
      <c r="G2468" s="2">
        <f t="shared" ca="1" si="274"/>
        <v>1526</v>
      </c>
    </row>
    <row r="2469" spans="1:7" x14ac:dyDescent="0.3">
      <c r="A2469" s="5" t="str">
        <f t="shared" si="268"/>
        <v>New Balance</v>
      </c>
      <c r="B2469" s="5" t="str">
        <f t="shared" si="270"/>
        <v>2002R</v>
      </c>
      <c r="C2469" s="3">
        <f t="shared" si="269"/>
        <v>45822</v>
      </c>
      <c r="D2469" s="4">
        <f t="shared" ca="1" si="271"/>
        <v>215</v>
      </c>
      <c r="E2469" s="2">
        <f t="shared" ca="1" si="272"/>
        <v>8458</v>
      </c>
      <c r="F2469" s="2">
        <f t="shared" ca="1" si="273"/>
        <v>13397</v>
      </c>
      <c r="G2469" s="2">
        <f t="shared" ca="1" si="274"/>
        <v>819</v>
      </c>
    </row>
    <row r="2470" spans="1:7" x14ac:dyDescent="0.3">
      <c r="A2470" s="5" t="str">
        <f t="shared" si="268"/>
        <v>Reebok</v>
      </c>
      <c r="B2470" s="5" t="str">
        <f t="shared" si="270"/>
        <v>Instapump Fury</v>
      </c>
      <c r="C2470" s="3">
        <f t="shared" si="269"/>
        <v>45822</v>
      </c>
      <c r="D2470" s="4">
        <f t="shared" ca="1" si="271"/>
        <v>155</v>
      </c>
      <c r="E2470" s="2">
        <f t="shared" ca="1" si="272"/>
        <v>9665</v>
      </c>
      <c r="F2470" s="2">
        <f t="shared" ca="1" si="273"/>
        <v>10859</v>
      </c>
      <c r="G2470" s="2">
        <f t="shared" ca="1" si="274"/>
        <v>631</v>
      </c>
    </row>
    <row r="2471" spans="1:7" x14ac:dyDescent="0.3">
      <c r="A2471" s="5" t="str">
        <f t="shared" si="268"/>
        <v>Nike</v>
      </c>
      <c r="B2471" s="5" t="str">
        <f t="shared" si="270"/>
        <v>Cortez</v>
      </c>
      <c r="C2471" s="3">
        <f t="shared" si="269"/>
        <v>45822</v>
      </c>
      <c r="D2471" s="4">
        <f t="shared" ca="1" si="271"/>
        <v>165</v>
      </c>
      <c r="E2471" s="2">
        <f t="shared" ca="1" si="272"/>
        <v>4197</v>
      </c>
      <c r="F2471" s="2">
        <f t="shared" ca="1" si="273"/>
        <v>30777</v>
      </c>
      <c r="G2471" s="2">
        <f t="shared" ca="1" si="274"/>
        <v>1643</v>
      </c>
    </row>
    <row r="2472" spans="1:7" x14ac:dyDescent="0.3">
      <c r="A2472" s="5" t="str">
        <f t="shared" si="268"/>
        <v>Adidas</v>
      </c>
      <c r="B2472" s="5" t="str">
        <f t="shared" si="270"/>
        <v>NMD S1</v>
      </c>
      <c r="C2472" s="3">
        <f t="shared" si="269"/>
        <v>45822</v>
      </c>
      <c r="D2472" s="4">
        <f t="shared" ca="1" si="271"/>
        <v>219</v>
      </c>
      <c r="E2472" s="2">
        <f t="shared" ca="1" si="272"/>
        <v>6252</v>
      </c>
      <c r="F2472" s="2">
        <f t="shared" ca="1" si="273"/>
        <v>27522</v>
      </c>
      <c r="G2472" s="2">
        <f t="shared" ca="1" si="274"/>
        <v>1883</v>
      </c>
    </row>
    <row r="2473" spans="1:7" x14ac:dyDescent="0.3">
      <c r="A2473" s="5" t="str">
        <f t="shared" si="268"/>
        <v>Puma</v>
      </c>
      <c r="B2473" s="5" t="str">
        <f t="shared" si="270"/>
        <v>Suede Classic</v>
      </c>
      <c r="C2473" s="3">
        <f t="shared" si="269"/>
        <v>45822</v>
      </c>
      <c r="D2473" s="4">
        <f t="shared" ca="1" si="271"/>
        <v>44</v>
      </c>
      <c r="E2473" s="2">
        <f t="shared" ca="1" si="272"/>
        <v>3412</v>
      </c>
      <c r="F2473" s="2">
        <f t="shared" ca="1" si="273"/>
        <v>34249</v>
      </c>
      <c r="G2473" s="2">
        <f t="shared" ca="1" si="274"/>
        <v>1595</v>
      </c>
    </row>
    <row r="2474" spans="1:7" x14ac:dyDescent="0.3">
      <c r="A2474" s="5" t="str">
        <f t="shared" si="268"/>
        <v>New Balance</v>
      </c>
      <c r="B2474" s="5" t="str">
        <f t="shared" si="270"/>
        <v>990v6</v>
      </c>
      <c r="C2474" s="3">
        <f t="shared" si="269"/>
        <v>45822</v>
      </c>
      <c r="D2474" s="4">
        <f t="shared" ca="1" si="271"/>
        <v>238</v>
      </c>
      <c r="E2474" s="2">
        <f t="shared" ca="1" si="272"/>
        <v>8391</v>
      </c>
      <c r="F2474" s="2">
        <f t="shared" ca="1" si="273"/>
        <v>26274</v>
      </c>
      <c r="G2474" s="2">
        <f t="shared" ca="1" si="274"/>
        <v>2024</v>
      </c>
    </row>
    <row r="2475" spans="1:7" x14ac:dyDescent="0.3">
      <c r="A2475" s="5" t="str">
        <f t="shared" ref="A2475:A2538" si="275">CHOOSE(MOD(ROW(A2474),5)+1,"Nike","Adidas","Puma","New Balance","Reebok")</f>
        <v>Reebok</v>
      </c>
      <c r="B2475" s="5" t="str">
        <f t="shared" si="270"/>
        <v>Nano X3</v>
      </c>
      <c r="C2475" s="3">
        <f t="shared" ref="C2475:C2538" si="276">DATE(2025,1,1)+INT((ROW(A2475)-2)/15)</f>
        <v>45822</v>
      </c>
      <c r="D2475" s="4">
        <f t="shared" ca="1" si="271"/>
        <v>179</v>
      </c>
      <c r="E2475" s="2">
        <f t="shared" ca="1" si="272"/>
        <v>3320</v>
      </c>
      <c r="F2475" s="2">
        <f t="shared" ca="1" si="273"/>
        <v>8399</v>
      </c>
      <c r="G2475" s="2">
        <f t="shared" ca="1" si="274"/>
        <v>605</v>
      </c>
    </row>
    <row r="2476" spans="1:7" x14ac:dyDescent="0.3">
      <c r="A2476" s="5" t="str">
        <f t="shared" si="275"/>
        <v>Nike</v>
      </c>
      <c r="B2476" s="5" t="str">
        <f t="shared" si="270"/>
        <v>Vaporfly 3</v>
      </c>
      <c r="C2476" s="3">
        <f t="shared" si="276"/>
        <v>45822</v>
      </c>
      <c r="D2476" s="4">
        <f t="shared" ca="1" si="271"/>
        <v>114</v>
      </c>
      <c r="E2476" s="2">
        <f t="shared" ca="1" si="272"/>
        <v>6914</v>
      </c>
      <c r="F2476" s="2">
        <f t="shared" ca="1" si="273"/>
        <v>18880</v>
      </c>
      <c r="G2476" s="2">
        <f t="shared" ca="1" si="274"/>
        <v>480</v>
      </c>
    </row>
    <row r="2477" spans="1:7" x14ac:dyDescent="0.3">
      <c r="A2477" s="5" t="str">
        <f t="shared" si="275"/>
        <v>Adidas</v>
      </c>
      <c r="B2477" s="5" t="str">
        <f t="shared" si="270"/>
        <v>Samba</v>
      </c>
      <c r="C2477" s="3">
        <f t="shared" si="276"/>
        <v>45823</v>
      </c>
      <c r="D2477" s="4">
        <f t="shared" ca="1" si="271"/>
        <v>90</v>
      </c>
      <c r="E2477" s="2">
        <f t="shared" ca="1" si="272"/>
        <v>10603</v>
      </c>
      <c r="F2477" s="2">
        <f t="shared" ca="1" si="273"/>
        <v>28068</v>
      </c>
      <c r="G2477" s="2">
        <f t="shared" ca="1" si="274"/>
        <v>803</v>
      </c>
    </row>
    <row r="2478" spans="1:7" x14ac:dyDescent="0.3">
      <c r="A2478" s="5" t="str">
        <f t="shared" si="275"/>
        <v>Puma</v>
      </c>
      <c r="B2478" s="5" t="str">
        <f t="shared" si="270"/>
        <v>Mayze</v>
      </c>
      <c r="C2478" s="3">
        <f t="shared" si="276"/>
        <v>45823</v>
      </c>
      <c r="D2478" s="4">
        <f t="shared" ca="1" si="271"/>
        <v>91</v>
      </c>
      <c r="E2478" s="2">
        <f t="shared" ca="1" si="272"/>
        <v>7054</v>
      </c>
      <c r="F2478" s="2">
        <f t="shared" ca="1" si="273"/>
        <v>15185</v>
      </c>
      <c r="G2478" s="2">
        <f t="shared" ca="1" si="274"/>
        <v>668</v>
      </c>
    </row>
    <row r="2479" spans="1:7" x14ac:dyDescent="0.3">
      <c r="A2479" s="5" t="str">
        <f t="shared" si="275"/>
        <v>New Balance</v>
      </c>
      <c r="B2479" s="5" t="str">
        <f t="shared" si="270"/>
        <v>574 Core</v>
      </c>
      <c r="C2479" s="3">
        <f t="shared" si="276"/>
        <v>45823</v>
      </c>
      <c r="D2479" s="4">
        <f t="shared" ca="1" si="271"/>
        <v>35</v>
      </c>
      <c r="E2479" s="2">
        <f t="shared" ca="1" si="272"/>
        <v>4653</v>
      </c>
      <c r="F2479" s="2">
        <f t="shared" ca="1" si="273"/>
        <v>7782</v>
      </c>
      <c r="G2479" s="2">
        <f t="shared" ca="1" si="274"/>
        <v>384</v>
      </c>
    </row>
    <row r="2480" spans="1:7" x14ac:dyDescent="0.3">
      <c r="A2480" s="5" t="str">
        <f t="shared" si="275"/>
        <v>Reebok</v>
      </c>
      <c r="B2480" s="5" t="str">
        <f t="shared" si="270"/>
        <v>Club C 85</v>
      </c>
      <c r="C2480" s="3">
        <f t="shared" si="276"/>
        <v>45823</v>
      </c>
      <c r="D2480" s="4">
        <f t="shared" ca="1" si="271"/>
        <v>204</v>
      </c>
      <c r="E2480" s="2">
        <f t="shared" ca="1" si="272"/>
        <v>12153</v>
      </c>
      <c r="F2480" s="2">
        <f t="shared" ca="1" si="273"/>
        <v>8151</v>
      </c>
      <c r="G2480" s="2">
        <f t="shared" ca="1" si="274"/>
        <v>316</v>
      </c>
    </row>
    <row r="2481" spans="1:7" x14ac:dyDescent="0.3">
      <c r="A2481" s="5" t="str">
        <f t="shared" si="275"/>
        <v>Nike</v>
      </c>
      <c r="B2481" s="5" t="str">
        <f t="shared" si="270"/>
        <v>Pegasus 40</v>
      </c>
      <c r="C2481" s="3">
        <f t="shared" si="276"/>
        <v>45823</v>
      </c>
      <c r="D2481" s="4">
        <f t="shared" ca="1" si="271"/>
        <v>99</v>
      </c>
      <c r="E2481" s="2">
        <f t="shared" ca="1" si="272"/>
        <v>9878</v>
      </c>
      <c r="F2481" s="2">
        <f t="shared" ca="1" si="273"/>
        <v>30973</v>
      </c>
      <c r="G2481" s="2">
        <f t="shared" ca="1" si="274"/>
        <v>972</v>
      </c>
    </row>
    <row r="2482" spans="1:7" x14ac:dyDescent="0.3">
      <c r="A2482" s="5" t="str">
        <f t="shared" si="275"/>
        <v>Adidas</v>
      </c>
      <c r="B2482" s="5" t="str">
        <f t="shared" si="270"/>
        <v>Gazelle</v>
      </c>
      <c r="C2482" s="3">
        <f t="shared" si="276"/>
        <v>45823</v>
      </c>
      <c r="D2482" s="4">
        <f t="shared" ca="1" si="271"/>
        <v>92</v>
      </c>
      <c r="E2482" s="2">
        <f t="shared" ca="1" si="272"/>
        <v>11622</v>
      </c>
      <c r="F2482" s="2">
        <f t="shared" ca="1" si="273"/>
        <v>10774</v>
      </c>
      <c r="G2482" s="2">
        <f t="shared" ca="1" si="274"/>
        <v>692</v>
      </c>
    </row>
    <row r="2483" spans="1:7" x14ac:dyDescent="0.3">
      <c r="A2483" s="5" t="str">
        <f t="shared" si="275"/>
        <v>Puma</v>
      </c>
      <c r="B2483" s="5" t="str">
        <f t="shared" si="270"/>
        <v>Slipstream</v>
      </c>
      <c r="C2483" s="3">
        <f t="shared" si="276"/>
        <v>45823</v>
      </c>
      <c r="D2483" s="4">
        <f t="shared" ca="1" si="271"/>
        <v>160</v>
      </c>
      <c r="E2483" s="2">
        <f t="shared" ca="1" si="272"/>
        <v>9924</v>
      </c>
      <c r="F2483" s="2">
        <f t="shared" ca="1" si="273"/>
        <v>19580</v>
      </c>
      <c r="G2483" s="2">
        <f t="shared" ca="1" si="274"/>
        <v>439</v>
      </c>
    </row>
    <row r="2484" spans="1:7" x14ac:dyDescent="0.3">
      <c r="A2484" s="5" t="str">
        <f t="shared" si="275"/>
        <v>New Balance</v>
      </c>
      <c r="B2484" s="5" t="str">
        <f t="shared" si="270"/>
        <v>550</v>
      </c>
      <c r="C2484" s="3">
        <f t="shared" si="276"/>
        <v>45823</v>
      </c>
      <c r="D2484" s="4">
        <f t="shared" ca="1" si="271"/>
        <v>158</v>
      </c>
      <c r="E2484" s="2">
        <f t="shared" ca="1" si="272"/>
        <v>5331</v>
      </c>
      <c r="F2484" s="2">
        <f t="shared" ca="1" si="273"/>
        <v>20166</v>
      </c>
      <c r="G2484" s="2">
        <f t="shared" ca="1" si="274"/>
        <v>1161</v>
      </c>
    </row>
    <row r="2485" spans="1:7" x14ac:dyDescent="0.3">
      <c r="A2485" s="5" t="str">
        <f t="shared" si="275"/>
        <v>Reebok</v>
      </c>
      <c r="B2485" s="5" t="str">
        <f t="shared" si="270"/>
        <v>Classic Leather</v>
      </c>
      <c r="C2485" s="3">
        <f t="shared" si="276"/>
        <v>45823</v>
      </c>
      <c r="D2485" s="4">
        <f t="shared" ca="1" si="271"/>
        <v>141</v>
      </c>
      <c r="E2485" s="2">
        <f t="shared" ca="1" si="272"/>
        <v>6680</v>
      </c>
      <c r="F2485" s="2">
        <f t="shared" ca="1" si="273"/>
        <v>7122</v>
      </c>
      <c r="G2485" s="2">
        <f t="shared" ca="1" si="274"/>
        <v>474</v>
      </c>
    </row>
    <row r="2486" spans="1:7" x14ac:dyDescent="0.3">
      <c r="A2486" s="5" t="str">
        <f t="shared" si="275"/>
        <v>Nike</v>
      </c>
      <c r="B2486" s="5" t="str">
        <f t="shared" si="270"/>
        <v>Air Force 1</v>
      </c>
      <c r="C2486" s="3">
        <f t="shared" si="276"/>
        <v>45823</v>
      </c>
      <c r="D2486" s="4">
        <f t="shared" ca="1" si="271"/>
        <v>160</v>
      </c>
      <c r="E2486" s="2">
        <f t="shared" ca="1" si="272"/>
        <v>2351</v>
      </c>
      <c r="F2486" s="2">
        <f t="shared" ca="1" si="273"/>
        <v>11457</v>
      </c>
      <c r="G2486" s="2">
        <f t="shared" ca="1" si="274"/>
        <v>288</v>
      </c>
    </row>
    <row r="2487" spans="1:7" x14ac:dyDescent="0.3">
      <c r="A2487" s="5" t="str">
        <f t="shared" si="275"/>
        <v>Adidas</v>
      </c>
      <c r="B2487" s="5" t="str">
        <f t="shared" si="270"/>
        <v>Superstar</v>
      </c>
      <c r="C2487" s="3">
        <f t="shared" si="276"/>
        <v>45823</v>
      </c>
      <c r="D2487" s="4">
        <f t="shared" ca="1" si="271"/>
        <v>112</v>
      </c>
      <c r="E2487" s="2">
        <f t="shared" ca="1" si="272"/>
        <v>10227</v>
      </c>
      <c r="F2487" s="2">
        <f t="shared" ca="1" si="273"/>
        <v>11046</v>
      </c>
      <c r="G2487" s="2">
        <f t="shared" ca="1" si="274"/>
        <v>692</v>
      </c>
    </row>
    <row r="2488" spans="1:7" x14ac:dyDescent="0.3">
      <c r="A2488" s="5" t="str">
        <f t="shared" si="275"/>
        <v>Puma</v>
      </c>
      <c r="B2488" s="5" t="str">
        <f t="shared" si="270"/>
        <v>Rider Vintage</v>
      </c>
      <c r="C2488" s="3">
        <f t="shared" si="276"/>
        <v>45823</v>
      </c>
      <c r="D2488" s="4">
        <f t="shared" ca="1" si="271"/>
        <v>188</v>
      </c>
      <c r="E2488" s="2">
        <f t="shared" ca="1" si="272"/>
        <v>4422</v>
      </c>
      <c r="F2488" s="2">
        <f t="shared" ca="1" si="273"/>
        <v>29335</v>
      </c>
      <c r="G2488" s="2">
        <f t="shared" ca="1" si="274"/>
        <v>2238</v>
      </c>
    </row>
    <row r="2489" spans="1:7" x14ac:dyDescent="0.3">
      <c r="A2489" s="5" t="str">
        <f t="shared" si="275"/>
        <v>New Balance</v>
      </c>
      <c r="B2489" s="5" t="str">
        <f t="shared" si="270"/>
        <v>327</v>
      </c>
      <c r="C2489" s="3">
        <f t="shared" si="276"/>
        <v>45823</v>
      </c>
      <c r="D2489" s="4">
        <f t="shared" ca="1" si="271"/>
        <v>177</v>
      </c>
      <c r="E2489" s="2">
        <f t="shared" ca="1" si="272"/>
        <v>2878</v>
      </c>
      <c r="F2489" s="2">
        <f t="shared" ca="1" si="273"/>
        <v>10657</v>
      </c>
      <c r="G2489" s="2">
        <f t="shared" ca="1" si="274"/>
        <v>464</v>
      </c>
    </row>
    <row r="2490" spans="1:7" x14ac:dyDescent="0.3">
      <c r="A2490" s="5" t="str">
        <f t="shared" si="275"/>
        <v>Reebok</v>
      </c>
      <c r="B2490" s="5" t="str">
        <f t="shared" si="270"/>
        <v>Question Mid</v>
      </c>
      <c r="C2490" s="3">
        <f t="shared" si="276"/>
        <v>45823</v>
      </c>
      <c r="D2490" s="4">
        <f t="shared" ca="1" si="271"/>
        <v>240</v>
      </c>
      <c r="E2490" s="2">
        <f t="shared" ca="1" si="272"/>
        <v>4401</v>
      </c>
      <c r="F2490" s="2">
        <f t="shared" ca="1" si="273"/>
        <v>33357</v>
      </c>
      <c r="G2490" s="2">
        <f t="shared" ca="1" si="274"/>
        <v>1834</v>
      </c>
    </row>
    <row r="2491" spans="1:7" x14ac:dyDescent="0.3">
      <c r="A2491" s="5" t="str">
        <f t="shared" si="275"/>
        <v>Nike</v>
      </c>
      <c r="B2491" s="5" t="str">
        <f t="shared" si="270"/>
        <v>Air Max 270</v>
      </c>
      <c r="C2491" s="3">
        <f t="shared" si="276"/>
        <v>45823</v>
      </c>
      <c r="D2491" s="4">
        <f t="shared" ca="1" si="271"/>
        <v>161</v>
      </c>
      <c r="E2491" s="2">
        <f t="shared" ca="1" si="272"/>
        <v>11440</v>
      </c>
      <c r="F2491" s="2">
        <f t="shared" ca="1" si="273"/>
        <v>6822</v>
      </c>
      <c r="G2491" s="2">
        <f t="shared" ca="1" si="274"/>
        <v>314</v>
      </c>
    </row>
    <row r="2492" spans="1:7" x14ac:dyDescent="0.3">
      <c r="A2492" s="5" t="str">
        <f t="shared" si="275"/>
        <v>Adidas</v>
      </c>
      <c r="B2492" s="5" t="str">
        <f t="shared" si="270"/>
        <v>Stan Smith</v>
      </c>
      <c r="C2492" s="3">
        <f t="shared" si="276"/>
        <v>45824</v>
      </c>
      <c r="D2492" s="4">
        <f t="shared" ca="1" si="271"/>
        <v>87</v>
      </c>
      <c r="E2492" s="2">
        <f t="shared" ca="1" si="272"/>
        <v>11271</v>
      </c>
      <c r="F2492" s="2">
        <f t="shared" ca="1" si="273"/>
        <v>22533</v>
      </c>
      <c r="G2492" s="2">
        <f t="shared" ca="1" si="274"/>
        <v>981</v>
      </c>
    </row>
    <row r="2493" spans="1:7" x14ac:dyDescent="0.3">
      <c r="A2493" s="5" t="str">
        <f t="shared" si="275"/>
        <v>Puma</v>
      </c>
      <c r="B2493" s="5" t="str">
        <f t="shared" si="270"/>
        <v>Cali Dream</v>
      </c>
      <c r="C2493" s="3">
        <f t="shared" si="276"/>
        <v>45824</v>
      </c>
      <c r="D2493" s="4">
        <f t="shared" ca="1" si="271"/>
        <v>24</v>
      </c>
      <c r="E2493" s="2">
        <f t="shared" ca="1" si="272"/>
        <v>5386</v>
      </c>
      <c r="F2493" s="2">
        <f t="shared" ca="1" si="273"/>
        <v>26458</v>
      </c>
      <c r="G2493" s="2">
        <f t="shared" ca="1" si="274"/>
        <v>870</v>
      </c>
    </row>
    <row r="2494" spans="1:7" x14ac:dyDescent="0.3">
      <c r="A2494" s="5" t="str">
        <f t="shared" si="275"/>
        <v>New Balance</v>
      </c>
      <c r="B2494" s="5" t="str">
        <f t="shared" si="270"/>
        <v>9060</v>
      </c>
      <c r="C2494" s="3">
        <f t="shared" si="276"/>
        <v>45824</v>
      </c>
      <c r="D2494" s="4">
        <f t="shared" ca="1" si="271"/>
        <v>20</v>
      </c>
      <c r="E2494" s="2">
        <f t="shared" ca="1" si="272"/>
        <v>6516</v>
      </c>
      <c r="F2494" s="2">
        <f t="shared" ca="1" si="273"/>
        <v>26055</v>
      </c>
      <c r="G2494" s="2">
        <f t="shared" ca="1" si="274"/>
        <v>1239</v>
      </c>
    </row>
    <row r="2495" spans="1:7" x14ac:dyDescent="0.3">
      <c r="A2495" s="5" t="str">
        <f t="shared" si="275"/>
        <v>Reebok</v>
      </c>
      <c r="B2495" s="5" t="str">
        <f t="shared" si="270"/>
        <v>Zig Kinetica</v>
      </c>
      <c r="C2495" s="3">
        <f t="shared" si="276"/>
        <v>45824</v>
      </c>
      <c r="D2495" s="4">
        <f t="shared" ca="1" si="271"/>
        <v>219</v>
      </c>
      <c r="E2495" s="2">
        <f t="shared" ca="1" si="272"/>
        <v>11986</v>
      </c>
      <c r="F2495" s="2">
        <f t="shared" ca="1" si="273"/>
        <v>10358</v>
      </c>
      <c r="G2495" s="2">
        <f t="shared" ca="1" si="274"/>
        <v>621</v>
      </c>
    </row>
    <row r="2496" spans="1:7" x14ac:dyDescent="0.3">
      <c r="A2496" s="5" t="str">
        <f t="shared" si="275"/>
        <v>Nike</v>
      </c>
      <c r="B2496" s="5" t="str">
        <f t="shared" si="270"/>
        <v>Jordan 1</v>
      </c>
      <c r="C2496" s="3">
        <f t="shared" si="276"/>
        <v>45824</v>
      </c>
      <c r="D2496" s="4">
        <f t="shared" ca="1" si="271"/>
        <v>57</v>
      </c>
      <c r="E2496" s="2">
        <f t="shared" ca="1" si="272"/>
        <v>1591</v>
      </c>
      <c r="F2496" s="2">
        <f t="shared" ca="1" si="273"/>
        <v>21831</v>
      </c>
      <c r="G2496" s="2">
        <f t="shared" ca="1" si="274"/>
        <v>1153</v>
      </c>
    </row>
    <row r="2497" spans="1:7" x14ac:dyDescent="0.3">
      <c r="A2497" s="5" t="str">
        <f t="shared" si="275"/>
        <v>Adidas</v>
      </c>
      <c r="B2497" s="5" t="str">
        <f t="shared" si="270"/>
        <v>Ultraboost 23</v>
      </c>
      <c r="C2497" s="3">
        <f t="shared" si="276"/>
        <v>45824</v>
      </c>
      <c r="D2497" s="4">
        <f t="shared" ca="1" si="271"/>
        <v>169</v>
      </c>
      <c r="E2497" s="2">
        <f t="shared" ca="1" si="272"/>
        <v>10162</v>
      </c>
      <c r="F2497" s="2">
        <f t="shared" ca="1" si="273"/>
        <v>19127</v>
      </c>
      <c r="G2497" s="2">
        <f t="shared" ca="1" si="274"/>
        <v>1504</v>
      </c>
    </row>
    <row r="2498" spans="1:7" x14ac:dyDescent="0.3">
      <c r="A2498" s="5" t="str">
        <f t="shared" si="275"/>
        <v>Puma</v>
      </c>
      <c r="B2498" s="5" t="str">
        <f t="shared" si="270"/>
        <v>RS-X</v>
      </c>
      <c r="C2498" s="3">
        <f t="shared" si="276"/>
        <v>45824</v>
      </c>
      <c r="D2498" s="4">
        <f t="shared" ca="1" si="271"/>
        <v>162</v>
      </c>
      <c r="E2498" s="2">
        <f t="shared" ca="1" si="272"/>
        <v>11511</v>
      </c>
      <c r="F2498" s="2">
        <f t="shared" ca="1" si="273"/>
        <v>10330</v>
      </c>
      <c r="G2498" s="2">
        <f t="shared" ca="1" si="274"/>
        <v>650</v>
      </c>
    </row>
    <row r="2499" spans="1:7" x14ac:dyDescent="0.3">
      <c r="A2499" s="5" t="str">
        <f t="shared" si="275"/>
        <v>New Balance</v>
      </c>
      <c r="B2499" s="5" t="str">
        <f t="shared" ref="B2499:B2562" si="277">IF(A2499="Nike",CHOOSE(MOD(ROW(A2498),6)+1,"Air Max 270","Air Force 1","Pegasus 40","Vaporfly 3","Cortez","Jordan 1"),
 IF(A2499="Adidas",CHOOSE(MOD(ROW(A2498),6)+1,"Ultraboost 23","Stan Smith","Superstar","Gazelle","Samba","NMD S1"),
 IF(A2499="Puma",CHOOSE(MOD(ROW(A2498),6)+1,"Suede Classic","RS-X","Cali Dream","Rider Vintage","Slipstream","Mayze"),
 IF(A2499="New Balance",CHOOSE(MOD(ROW(A2498),6)+1,"574 Core","990v6","2002R","9060","327","550"),
 IF(A2499="Reebok",CHOOSE(MOD(ROW(A2498),6)+1,"Classic Leather","Club C 85","Nano X3","Instapump Fury","Zig Kinetica","Question Mid"),"")))))</f>
        <v>2002R</v>
      </c>
      <c r="C2499" s="3">
        <f t="shared" si="276"/>
        <v>45824</v>
      </c>
      <c r="D2499" s="4">
        <f t="shared" ref="D2499:D2562" ca="1" si="278">RANDBETWEEN(20,250)</f>
        <v>53</v>
      </c>
      <c r="E2499" s="2">
        <f t="shared" ref="E2499:E2562" ca="1" si="279">ROUND(RANDBETWEEN(1500,12000)+(RANDBETWEEN(-200,200)),2)</f>
        <v>1991</v>
      </c>
      <c r="F2499" s="2">
        <f t="shared" ref="F2499:F2562" ca="1" si="280">RANDBETWEEN(5000,35000)</f>
        <v>33423</v>
      </c>
      <c r="G2499" s="2">
        <f t="shared" ref="G2499:G2562" ca="1" si="281">RANDBETWEEN(ROUND(F2499*0.02,0),ROUND(F2499*0.08,0))</f>
        <v>1121</v>
      </c>
    </row>
    <row r="2500" spans="1:7" x14ac:dyDescent="0.3">
      <c r="A2500" s="5" t="str">
        <f t="shared" si="275"/>
        <v>Reebok</v>
      </c>
      <c r="B2500" s="5" t="str">
        <f t="shared" si="277"/>
        <v>Instapump Fury</v>
      </c>
      <c r="C2500" s="3">
        <f t="shared" si="276"/>
        <v>45824</v>
      </c>
      <c r="D2500" s="4">
        <f t="shared" ca="1" si="278"/>
        <v>215</v>
      </c>
      <c r="E2500" s="2">
        <f t="shared" ca="1" si="279"/>
        <v>4493</v>
      </c>
      <c r="F2500" s="2">
        <f t="shared" ca="1" si="280"/>
        <v>29149</v>
      </c>
      <c r="G2500" s="2">
        <f t="shared" ca="1" si="281"/>
        <v>1942</v>
      </c>
    </row>
    <row r="2501" spans="1:7" x14ac:dyDescent="0.3">
      <c r="A2501" s="5" t="str">
        <f t="shared" si="275"/>
        <v>Nike</v>
      </c>
      <c r="B2501" s="5" t="str">
        <f t="shared" si="277"/>
        <v>Cortez</v>
      </c>
      <c r="C2501" s="3">
        <f t="shared" si="276"/>
        <v>45824</v>
      </c>
      <c r="D2501" s="4">
        <f t="shared" ca="1" si="278"/>
        <v>243</v>
      </c>
      <c r="E2501" s="2">
        <f t="shared" ca="1" si="279"/>
        <v>2131</v>
      </c>
      <c r="F2501" s="2">
        <f t="shared" ca="1" si="280"/>
        <v>15480</v>
      </c>
      <c r="G2501" s="2">
        <f t="shared" ca="1" si="281"/>
        <v>1210</v>
      </c>
    </row>
    <row r="2502" spans="1:7" x14ac:dyDescent="0.3">
      <c r="A2502" s="5" t="str">
        <f t="shared" si="275"/>
        <v>Adidas</v>
      </c>
      <c r="B2502" s="5" t="str">
        <f t="shared" si="277"/>
        <v>NMD S1</v>
      </c>
      <c r="C2502" s="3">
        <f t="shared" si="276"/>
        <v>45824</v>
      </c>
      <c r="D2502" s="4">
        <f t="shared" ca="1" si="278"/>
        <v>106</v>
      </c>
      <c r="E2502" s="2">
        <f t="shared" ca="1" si="279"/>
        <v>1928</v>
      </c>
      <c r="F2502" s="2">
        <f t="shared" ca="1" si="280"/>
        <v>32052</v>
      </c>
      <c r="G2502" s="2">
        <f t="shared" ca="1" si="281"/>
        <v>2346</v>
      </c>
    </row>
    <row r="2503" spans="1:7" x14ac:dyDescent="0.3">
      <c r="A2503" s="5" t="str">
        <f t="shared" si="275"/>
        <v>Puma</v>
      </c>
      <c r="B2503" s="5" t="str">
        <f t="shared" si="277"/>
        <v>Suede Classic</v>
      </c>
      <c r="C2503" s="3">
        <f t="shared" si="276"/>
        <v>45824</v>
      </c>
      <c r="D2503" s="4">
        <f t="shared" ca="1" si="278"/>
        <v>21</v>
      </c>
      <c r="E2503" s="2">
        <f t="shared" ca="1" si="279"/>
        <v>4065</v>
      </c>
      <c r="F2503" s="2">
        <f t="shared" ca="1" si="280"/>
        <v>25285</v>
      </c>
      <c r="G2503" s="2">
        <f t="shared" ca="1" si="281"/>
        <v>1371</v>
      </c>
    </row>
    <row r="2504" spans="1:7" x14ac:dyDescent="0.3">
      <c r="A2504" s="5" t="str">
        <f t="shared" si="275"/>
        <v>New Balance</v>
      </c>
      <c r="B2504" s="5" t="str">
        <f t="shared" si="277"/>
        <v>990v6</v>
      </c>
      <c r="C2504" s="3">
        <f t="shared" si="276"/>
        <v>45824</v>
      </c>
      <c r="D2504" s="4">
        <f t="shared" ca="1" si="278"/>
        <v>90</v>
      </c>
      <c r="E2504" s="2">
        <f t="shared" ca="1" si="279"/>
        <v>10056</v>
      </c>
      <c r="F2504" s="2">
        <f t="shared" ca="1" si="280"/>
        <v>20188</v>
      </c>
      <c r="G2504" s="2">
        <f t="shared" ca="1" si="281"/>
        <v>1175</v>
      </c>
    </row>
    <row r="2505" spans="1:7" x14ac:dyDescent="0.3">
      <c r="A2505" s="5" t="str">
        <f t="shared" si="275"/>
        <v>Reebok</v>
      </c>
      <c r="B2505" s="5" t="str">
        <f t="shared" si="277"/>
        <v>Nano X3</v>
      </c>
      <c r="C2505" s="3">
        <f t="shared" si="276"/>
        <v>45824</v>
      </c>
      <c r="D2505" s="4">
        <f t="shared" ca="1" si="278"/>
        <v>95</v>
      </c>
      <c r="E2505" s="2">
        <f t="shared" ca="1" si="279"/>
        <v>6294</v>
      </c>
      <c r="F2505" s="2">
        <f t="shared" ca="1" si="280"/>
        <v>13303</v>
      </c>
      <c r="G2505" s="2">
        <f t="shared" ca="1" si="281"/>
        <v>812</v>
      </c>
    </row>
    <row r="2506" spans="1:7" x14ac:dyDescent="0.3">
      <c r="A2506" s="5" t="str">
        <f t="shared" si="275"/>
        <v>Nike</v>
      </c>
      <c r="B2506" s="5" t="str">
        <f t="shared" si="277"/>
        <v>Vaporfly 3</v>
      </c>
      <c r="C2506" s="3">
        <f t="shared" si="276"/>
        <v>45824</v>
      </c>
      <c r="D2506" s="4">
        <f t="shared" ca="1" si="278"/>
        <v>98</v>
      </c>
      <c r="E2506" s="2">
        <f t="shared" ca="1" si="279"/>
        <v>1867</v>
      </c>
      <c r="F2506" s="2">
        <f t="shared" ca="1" si="280"/>
        <v>17345</v>
      </c>
      <c r="G2506" s="2">
        <f t="shared" ca="1" si="281"/>
        <v>920</v>
      </c>
    </row>
    <row r="2507" spans="1:7" x14ac:dyDescent="0.3">
      <c r="A2507" s="5" t="str">
        <f t="shared" si="275"/>
        <v>Adidas</v>
      </c>
      <c r="B2507" s="5" t="str">
        <f t="shared" si="277"/>
        <v>Samba</v>
      </c>
      <c r="C2507" s="3">
        <f t="shared" si="276"/>
        <v>45825</v>
      </c>
      <c r="D2507" s="4">
        <f t="shared" ca="1" si="278"/>
        <v>27</v>
      </c>
      <c r="E2507" s="2">
        <f t="shared" ca="1" si="279"/>
        <v>4542</v>
      </c>
      <c r="F2507" s="2">
        <f t="shared" ca="1" si="280"/>
        <v>30469</v>
      </c>
      <c r="G2507" s="2">
        <f t="shared" ca="1" si="281"/>
        <v>780</v>
      </c>
    </row>
    <row r="2508" spans="1:7" x14ac:dyDescent="0.3">
      <c r="A2508" s="5" t="str">
        <f t="shared" si="275"/>
        <v>Puma</v>
      </c>
      <c r="B2508" s="5" t="str">
        <f t="shared" si="277"/>
        <v>Mayze</v>
      </c>
      <c r="C2508" s="3">
        <f t="shared" si="276"/>
        <v>45825</v>
      </c>
      <c r="D2508" s="4">
        <f t="shared" ca="1" si="278"/>
        <v>57</v>
      </c>
      <c r="E2508" s="2">
        <f t="shared" ca="1" si="279"/>
        <v>8772</v>
      </c>
      <c r="F2508" s="2">
        <f t="shared" ca="1" si="280"/>
        <v>28264</v>
      </c>
      <c r="G2508" s="2">
        <f t="shared" ca="1" si="281"/>
        <v>1183</v>
      </c>
    </row>
    <row r="2509" spans="1:7" x14ac:dyDescent="0.3">
      <c r="A2509" s="5" t="str">
        <f t="shared" si="275"/>
        <v>New Balance</v>
      </c>
      <c r="B2509" s="5" t="str">
        <f t="shared" si="277"/>
        <v>574 Core</v>
      </c>
      <c r="C2509" s="3">
        <f t="shared" si="276"/>
        <v>45825</v>
      </c>
      <c r="D2509" s="4">
        <f t="shared" ca="1" si="278"/>
        <v>56</v>
      </c>
      <c r="E2509" s="2">
        <f t="shared" ca="1" si="279"/>
        <v>5396</v>
      </c>
      <c r="F2509" s="2">
        <f t="shared" ca="1" si="280"/>
        <v>10042</v>
      </c>
      <c r="G2509" s="2">
        <f t="shared" ca="1" si="281"/>
        <v>460</v>
      </c>
    </row>
    <row r="2510" spans="1:7" x14ac:dyDescent="0.3">
      <c r="A2510" s="5" t="str">
        <f t="shared" si="275"/>
        <v>Reebok</v>
      </c>
      <c r="B2510" s="5" t="str">
        <f t="shared" si="277"/>
        <v>Club C 85</v>
      </c>
      <c r="C2510" s="3">
        <f t="shared" si="276"/>
        <v>45825</v>
      </c>
      <c r="D2510" s="4">
        <f t="shared" ca="1" si="278"/>
        <v>20</v>
      </c>
      <c r="E2510" s="2">
        <f t="shared" ca="1" si="279"/>
        <v>3737</v>
      </c>
      <c r="F2510" s="2">
        <f t="shared" ca="1" si="280"/>
        <v>9199</v>
      </c>
      <c r="G2510" s="2">
        <f t="shared" ca="1" si="281"/>
        <v>346</v>
      </c>
    </row>
    <row r="2511" spans="1:7" x14ac:dyDescent="0.3">
      <c r="A2511" s="5" t="str">
        <f t="shared" si="275"/>
        <v>Nike</v>
      </c>
      <c r="B2511" s="5" t="str">
        <f t="shared" si="277"/>
        <v>Pegasus 40</v>
      </c>
      <c r="C2511" s="3">
        <f t="shared" si="276"/>
        <v>45825</v>
      </c>
      <c r="D2511" s="4">
        <f t="shared" ca="1" si="278"/>
        <v>70</v>
      </c>
      <c r="E2511" s="2">
        <f t="shared" ca="1" si="279"/>
        <v>6993</v>
      </c>
      <c r="F2511" s="2">
        <f t="shared" ca="1" si="280"/>
        <v>23446</v>
      </c>
      <c r="G2511" s="2">
        <f t="shared" ca="1" si="281"/>
        <v>1595</v>
      </c>
    </row>
    <row r="2512" spans="1:7" x14ac:dyDescent="0.3">
      <c r="A2512" s="5" t="str">
        <f t="shared" si="275"/>
        <v>Adidas</v>
      </c>
      <c r="B2512" s="5" t="str">
        <f t="shared" si="277"/>
        <v>Gazelle</v>
      </c>
      <c r="C2512" s="3">
        <f t="shared" si="276"/>
        <v>45825</v>
      </c>
      <c r="D2512" s="4">
        <f t="shared" ca="1" si="278"/>
        <v>231</v>
      </c>
      <c r="E2512" s="2">
        <f t="shared" ca="1" si="279"/>
        <v>11386</v>
      </c>
      <c r="F2512" s="2">
        <f t="shared" ca="1" si="280"/>
        <v>28272</v>
      </c>
      <c r="G2512" s="2">
        <f t="shared" ca="1" si="281"/>
        <v>640</v>
      </c>
    </row>
    <row r="2513" spans="1:7" x14ac:dyDescent="0.3">
      <c r="A2513" s="5" t="str">
        <f t="shared" si="275"/>
        <v>Puma</v>
      </c>
      <c r="B2513" s="5" t="str">
        <f t="shared" si="277"/>
        <v>Slipstream</v>
      </c>
      <c r="C2513" s="3">
        <f t="shared" si="276"/>
        <v>45825</v>
      </c>
      <c r="D2513" s="4">
        <f t="shared" ca="1" si="278"/>
        <v>223</v>
      </c>
      <c r="E2513" s="2">
        <f t="shared" ca="1" si="279"/>
        <v>8475</v>
      </c>
      <c r="F2513" s="2">
        <f t="shared" ca="1" si="280"/>
        <v>14630</v>
      </c>
      <c r="G2513" s="2">
        <f t="shared" ca="1" si="281"/>
        <v>958</v>
      </c>
    </row>
    <row r="2514" spans="1:7" x14ac:dyDescent="0.3">
      <c r="A2514" s="5" t="str">
        <f t="shared" si="275"/>
        <v>New Balance</v>
      </c>
      <c r="B2514" s="5" t="str">
        <f t="shared" si="277"/>
        <v>550</v>
      </c>
      <c r="C2514" s="3">
        <f t="shared" si="276"/>
        <v>45825</v>
      </c>
      <c r="D2514" s="4">
        <f t="shared" ca="1" si="278"/>
        <v>97</v>
      </c>
      <c r="E2514" s="2">
        <f t="shared" ca="1" si="279"/>
        <v>2176</v>
      </c>
      <c r="F2514" s="2">
        <f t="shared" ca="1" si="280"/>
        <v>21909</v>
      </c>
      <c r="G2514" s="2">
        <f t="shared" ca="1" si="281"/>
        <v>1692</v>
      </c>
    </row>
    <row r="2515" spans="1:7" x14ac:dyDescent="0.3">
      <c r="A2515" s="5" t="str">
        <f t="shared" si="275"/>
        <v>Reebok</v>
      </c>
      <c r="B2515" s="5" t="str">
        <f t="shared" si="277"/>
        <v>Classic Leather</v>
      </c>
      <c r="C2515" s="3">
        <f t="shared" si="276"/>
        <v>45825</v>
      </c>
      <c r="D2515" s="4">
        <f t="shared" ca="1" si="278"/>
        <v>242</v>
      </c>
      <c r="E2515" s="2">
        <f t="shared" ca="1" si="279"/>
        <v>6039</v>
      </c>
      <c r="F2515" s="2">
        <f t="shared" ca="1" si="280"/>
        <v>17107</v>
      </c>
      <c r="G2515" s="2">
        <f t="shared" ca="1" si="281"/>
        <v>1255</v>
      </c>
    </row>
    <row r="2516" spans="1:7" x14ac:dyDescent="0.3">
      <c r="A2516" s="5" t="str">
        <f t="shared" si="275"/>
        <v>Nike</v>
      </c>
      <c r="B2516" s="5" t="str">
        <f t="shared" si="277"/>
        <v>Air Force 1</v>
      </c>
      <c r="C2516" s="3">
        <f t="shared" si="276"/>
        <v>45825</v>
      </c>
      <c r="D2516" s="4">
        <f t="shared" ca="1" si="278"/>
        <v>233</v>
      </c>
      <c r="E2516" s="2">
        <f t="shared" ca="1" si="279"/>
        <v>8390</v>
      </c>
      <c r="F2516" s="2">
        <f t="shared" ca="1" si="280"/>
        <v>23162</v>
      </c>
      <c r="G2516" s="2">
        <f t="shared" ca="1" si="281"/>
        <v>1660</v>
      </c>
    </row>
    <row r="2517" spans="1:7" x14ac:dyDescent="0.3">
      <c r="A2517" s="5" t="str">
        <f t="shared" si="275"/>
        <v>Adidas</v>
      </c>
      <c r="B2517" s="5" t="str">
        <f t="shared" si="277"/>
        <v>Superstar</v>
      </c>
      <c r="C2517" s="3">
        <f t="shared" si="276"/>
        <v>45825</v>
      </c>
      <c r="D2517" s="4">
        <f t="shared" ca="1" si="278"/>
        <v>33</v>
      </c>
      <c r="E2517" s="2">
        <f t="shared" ca="1" si="279"/>
        <v>10707</v>
      </c>
      <c r="F2517" s="2">
        <f t="shared" ca="1" si="280"/>
        <v>32775</v>
      </c>
      <c r="G2517" s="2">
        <f t="shared" ca="1" si="281"/>
        <v>1042</v>
      </c>
    </row>
    <row r="2518" spans="1:7" x14ac:dyDescent="0.3">
      <c r="A2518" s="5" t="str">
        <f t="shared" si="275"/>
        <v>Puma</v>
      </c>
      <c r="B2518" s="5" t="str">
        <f t="shared" si="277"/>
        <v>Rider Vintage</v>
      </c>
      <c r="C2518" s="3">
        <f t="shared" si="276"/>
        <v>45825</v>
      </c>
      <c r="D2518" s="4">
        <f t="shared" ca="1" si="278"/>
        <v>151</v>
      </c>
      <c r="E2518" s="2">
        <f t="shared" ca="1" si="279"/>
        <v>4829</v>
      </c>
      <c r="F2518" s="2">
        <f t="shared" ca="1" si="280"/>
        <v>7004</v>
      </c>
      <c r="G2518" s="2">
        <f t="shared" ca="1" si="281"/>
        <v>485</v>
      </c>
    </row>
    <row r="2519" spans="1:7" x14ac:dyDescent="0.3">
      <c r="A2519" s="5" t="str">
        <f t="shared" si="275"/>
        <v>New Balance</v>
      </c>
      <c r="B2519" s="5" t="str">
        <f t="shared" si="277"/>
        <v>327</v>
      </c>
      <c r="C2519" s="3">
        <f t="shared" si="276"/>
        <v>45825</v>
      </c>
      <c r="D2519" s="4">
        <f t="shared" ca="1" si="278"/>
        <v>179</v>
      </c>
      <c r="E2519" s="2">
        <f t="shared" ca="1" si="279"/>
        <v>6430</v>
      </c>
      <c r="F2519" s="2">
        <f t="shared" ca="1" si="280"/>
        <v>16867</v>
      </c>
      <c r="G2519" s="2">
        <f t="shared" ca="1" si="281"/>
        <v>1070</v>
      </c>
    </row>
    <row r="2520" spans="1:7" x14ac:dyDescent="0.3">
      <c r="A2520" s="5" t="str">
        <f t="shared" si="275"/>
        <v>Reebok</v>
      </c>
      <c r="B2520" s="5" t="str">
        <f t="shared" si="277"/>
        <v>Question Mid</v>
      </c>
      <c r="C2520" s="3">
        <f t="shared" si="276"/>
        <v>45825</v>
      </c>
      <c r="D2520" s="4">
        <f t="shared" ca="1" si="278"/>
        <v>26</v>
      </c>
      <c r="E2520" s="2">
        <f t="shared" ca="1" si="279"/>
        <v>10263</v>
      </c>
      <c r="F2520" s="2">
        <f t="shared" ca="1" si="280"/>
        <v>15463</v>
      </c>
      <c r="G2520" s="2">
        <f t="shared" ca="1" si="281"/>
        <v>431</v>
      </c>
    </row>
    <row r="2521" spans="1:7" x14ac:dyDescent="0.3">
      <c r="A2521" s="5" t="str">
        <f t="shared" si="275"/>
        <v>Nike</v>
      </c>
      <c r="B2521" s="5" t="str">
        <f t="shared" si="277"/>
        <v>Air Max 270</v>
      </c>
      <c r="C2521" s="3">
        <f t="shared" si="276"/>
        <v>45825</v>
      </c>
      <c r="D2521" s="4">
        <f t="shared" ca="1" si="278"/>
        <v>250</v>
      </c>
      <c r="E2521" s="2">
        <f t="shared" ca="1" si="279"/>
        <v>2373</v>
      </c>
      <c r="F2521" s="2">
        <f t="shared" ca="1" si="280"/>
        <v>18003</v>
      </c>
      <c r="G2521" s="2">
        <f t="shared" ca="1" si="281"/>
        <v>1149</v>
      </c>
    </row>
    <row r="2522" spans="1:7" x14ac:dyDescent="0.3">
      <c r="A2522" s="5" t="str">
        <f t="shared" si="275"/>
        <v>Adidas</v>
      </c>
      <c r="B2522" s="5" t="str">
        <f t="shared" si="277"/>
        <v>Stan Smith</v>
      </c>
      <c r="C2522" s="3">
        <f t="shared" si="276"/>
        <v>45826</v>
      </c>
      <c r="D2522" s="4">
        <f t="shared" ca="1" si="278"/>
        <v>250</v>
      </c>
      <c r="E2522" s="2">
        <f t="shared" ca="1" si="279"/>
        <v>11540</v>
      </c>
      <c r="F2522" s="2">
        <f t="shared" ca="1" si="280"/>
        <v>26175</v>
      </c>
      <c r="G2522" s="2">
        <f t="shared" ca="1" si="281"/>
        <v>750</v>
      </c>
    </row>
    <row r="2523" spans="1:7" x14ac:dyDescent="0.3">
      <c r="A2523" s="5" t="str">
        <f t="shared" si="275"/>
        <v>Puma</v>
      </c>
      <c r="B2523" s="5" t="str">
        <f t="shared" si="277"/>
        <v>Cali Dream</v>
      </c>
      <c r="C2523" s="3">
        <f t="shared" si="276"/>
        <v>45826</v>
      </c>
      <c r="D2523" s="4">
        <f t="shared" ca="1" si="278"/>
        <v>60</v>
      </c>
      <c r="E2523" s="2">
        <f t="shared" ca="1" si="279"/>
        <v>5839</v>
      </c>
      <c r="F2523" s="2">
        <f t="shared" ca="1" si="280"/>
        <v>11777</v>
      </c>
      <c r="G2523" s="2">
        <f t="shared" ca="1" si="281"/>
        <v>678</v>
      </c>
    </row>
    <row r="2524" spans="1:7" x14ac:dyDescent="0.3">
      <c r="A2524" s="5" t="str">
        <f t="shared" si="275"/>
        <v>New Balance</v>
      </c>
      <c r="B2524" s="5" t="str">
        <f t="shared" si="277"/>
        <v>9060</v>
      </c>
      <c r="C2524" s="3">
        <f t="shared" si="276"/>
        <v>45826</v>
      </c>
      <c r="D2524" s="4">
        <f t="shared" ca="1" si="278"/>
        <v>90</v>
      </c>
      <c r="E2524" s="2">
        <f t="shared" ca="1" si="279"/>
        <v>3512</v>
      </c>
      <c r="F2524" s="2">
        <f t="shared" ca="1" si="280"/>
        <v>24979</v>
      </c>
      <c r="G2524" s="2">
        <f t="shared" ca="1" si="281"/>
        <v>1247</v>
      </c>
    </row>
    <row r="2525" spans="1:7" x14ac:dyDescent="0.3">
      <c r="A2525" s="5" t="str">
        <f t="shared" si="275"/>
        <v>Reebok</v>
      </c>
      <c r="B2525" s="5" t="str">
        <f t="shared" si="277"/>
        <v>Zig Kinetica</v>
      </c>
      <c r="C2525" s="3">
        <f t="shared" si="276"/>
        <v>45826</v>
      </c>
      <c r="D2525" s="4">
        <f t="shared" ca="1" si="278"/>
        <v>236</v>
      </c>
      <c r="E2525" s="2">
        <f t="shared" ca="1" si="279"/>
        <v>9909</v>
      </c>
      <c r="F2525" s="2">
        <f t="shared" ca="1" si="280"/>
        <v>33121</v>
      </c>
      <c r="G2525" s="2">
        <f t="shared" ca="1" si="281"/>
        <v>1681</v>
      </c>
    </row>
    <row r="2526" spans="1:7" x14ac:dyDescent="0.3">
      <c r="A2526" s="5" t="str">
        <f t="shared" si="275"/>
        <v>Nike</v>
      </c>
      <c r="B2526" s="5" t="str">
        <f t="shared" si="277"/>
        <v>Jordan 1</v>
      </c>
      <c r="C2526" s="3">
        <f t="shared" si="276"/>
        <v>45826</v>
      </c>
      <c r="D2526" s="4">
        <f t="shared" ca="1" si="278"/>
        <v>196</v>
      </c>
      <c r="E2526" s="2">
        <f t="shared" ca="1" si="279"/>
        <v>6458</v>
      </c>
      <c r="F2526" s="2">
        <f t="shared" ca="1" si="280"/>
        <v>31095</v>
      </c>
      <c r="G2526" s="2">
        <f t="shared" ca="1" si="281"/>
        <v>1135</v>
      </c>
    </row>
    <row r="2527" spans="1:7" x14ac:dyDescent="0.3">
      <c r="A2527" s="5" t="str">
        <f t="shared" si="275"/>
        <v>Adidas</v>
      </c>
      <c r="B2527" s="5" t="str">
        <f t="shared" si="277"/>
        <v>Ultraboost 23</v>
      </c>
      <c r="C2527" s="3">
        <f t="shared" si="276"/>
        <v>45826</v>
      </c>
      <c r="D2527" s="4">
        <f t="shared" ca="1" si="278"/>
        <v>106</v>
      </c>
      <c r="E2527" s="2">
        <f t="shared" ca="1" si="279"/>
        <v>3413</v>
      </c>
      <c r="F2527" s="2">
        <f t="shared" ca="1" si="280"/>
        <v>23074</v>
      </c>
      <c r="G2527" s="2">
        <f t="shared" ca="1" si="281"/>
        <v>1224</v>
      </c>
    </row>
    <row r="2528" spans="1:7" x14ac:dyDescent="0.3">
      <c r="A2528" s="5" t="str">
        <f t="shared" si="275"/>
        <v>Puma</v>
      </c>
      <c r="B2528" s="5" t="str">
        <f t="shared" si="277"/>
        <v>RS-X</v>
      </c>
      <c r="C2528" s="3">
        <f t="shared" si="276"/>
        <v>45826</v>
      </c>
      <c r="D2528" s="4">
        <f t="shared" ca="1" si="278"/>
        <v>131</v>
      </c>
      <c r="E2528" s="2">
        <f t="shared" ca="1" si="279"/>
        <v>4414</v>
      </c>
      <c r="F2528" s="2">
        <f t="shared" ca="1" si="280"/>
        <v>10249</v>
      </c>
      <c r="G2528" s="2">
        <f t="shared" ca="1" si="281"/>
        <v>292</v>
      </c>
    </row>
    <row r="2529" spans="1:7" x14ac:dyDescent="0.3">
      <c r="A2529" s="5" t="str">
        <f t="shared" si="275"/>
        <v>New Balance</v>
      </c>
      <c r="B2529" s="5" t="str">
        <f t="shared" si="277"/>
        <v>2002R</v>
      </c>
      <c r="C2529" s="3">
        <f t="shared" si="276"/>
        <v>45826</v>
      </c>
      <c r="D2529" s="4">
        <f t="shared" ca="1" si="278"/>
        <v>208</v>
      </c>
      <c r="E2529" s="2">
        <f t="shared" ca="1" si="279"/>
        <v>11291</v>
      </c>
      <c r="F2529" s="2">
        <f t="shared" ca="1" si="280"/>
        <v>10601</v>
      </c>
      <c r="G2529" s="2">
        <f t="shared" ca="1" si="281"/>
        <v>621</v>
      </c>
    </row>
    <row r="2530" spans="1:7" x14ac:dyDescent="0.3">
      <c r="A2530" s="5" t="str">
        <f t="shared" si="275"/>
        <v>Reebok</v>
      </c>
      <c r="B2530" s="5" t="str">
        <f t="shared" si="277"/>
        <v>Instapump Fury</v>
      </c>
      <c r="C2530" s="3">
        <f t="shared" si="276"/>
        <v>45826</v>
      </c>
      <c r="D2530" s="4">
        <f t="shared" ca="1" si="278"/>
        <v>233</v>
      </c>
      <c r="E2530" s="2">
        <f t="shared" ca="1" si="279"/>
        <v>6688</v>
      </c>
      <c r="F2530" s="2">
        <f t="shared" ca="1" si="280"/>
        <v>19698</v>
      </c>
      <c r="G2530" s="2">
        <f t="shared" ca="1" si="281"/>
        <v>913</v>
      </c>
    </row>
    <row r="2531" spans="1:7" x14ac:dyDescent="0.3">
      <c r="A2531" s="5" t="str">
        <f t="shared" si="275"/>
        <v>Nike</v>
      </c>
      <c r="B2531" s="5" t="str">
        <f t="shared" si="277"/>
        <v>Cortez</v>
      </c>
      <c r="C2531" s="3">
        <f t="shared" si="276"/>
        <v>45826</v>
      </c>
      <c r="D2531" s="4">
        <f t="shared" ca="1" si="278"/>
        <v>83</v>
      </c>
      <c r="E2531" s="2">
        <f t="shared" ca="1" si="279"/>
        <v>9538</v>
      </c>
      <c r="F2531" s="2">
        <f t="shared" ca="1" si="280"/>
        <v>16751</v>
      </c>
      <c r="G2531" s="2">
        <f t="shared" ca="1" si="281"/>
        <v>1156</v>
      </c>
    </row>
    <row r="2532" spans="1:7" x14ac:dyDescent="0.3">
      <c r="A2532" s="5" t="str">
        <f t="shared" si="275"/>
        <v>Adidas</v>
      </c>
      <c r="B2532" s="5" t="str">
        <f t="shared" si="277"/>
        <v>NMD S1</v>
      </c>
      <c r="C2532" s="3">
        <f t="shared" si="276"/>
        <v>45826</v>
      </c>
      <c r="D2532" s="4">
        <f t="shared" ca="1" si="278"/>
        <v>156</v>
      </c>
      <c r="E2532" s="2">
        <f t="shared" ca="1" si="279"/>
        <v>8168</v>
      </c>
      <c r="F2532" s="2">
        <f t="shared" ca="1" si="280"/>
        <v>33126</v>
      </c>
      <c r="G2532" s="2">
        <f t="shared" ca="1" si="281"/>
        <v>2633</v>
      </c>
    </row>
    <row r="2533" spans="1:7" x14ac:dyDescent="0.3">
      <c r="A2533" s="5" t="str">
        <f t="shared" si="275"/>
        <v>Puma</v>
      </c>
      <c r="B2533" s="5" t="str">
        <f t="shared" si="277"/>
        <v>Suede Classic</v>
      </c>
      <c r="C2533" s="3">
        <f t="shared" si="276"/>
        <v>45826</v>
      </c>
      <c r="D2533" s="4">
        <f t="shared" ca="1" si="278"/>
        <v>75</v>
      </c>
      <c r="E2533" s="2">
        <f t="shared" ca="1" si="279"/>
        <v>7917</v>
      </c>
      <c r="F2533" s="2">
        <f t="shared" ca="1" si="280"/>
        <v>8806</v>
      </c>
      <c r="G2533" s="2">
        <f t="shared" ca="1" si="281"/>
        <v>502</v>
      </c>
    </row>
    <row r="2534" spans="1:7" x14ac:dyDescent="0.3">
      <c r="A2534" s="5" t="str">
        <f t="shared" si="275"/>
        <v>New Balance</v>
      </c>
      <c r="B2534" s="5" t="str">
        <f t="shared" si="277"/>
        <v>990v6</v>
      </c>
      <c r="C2534" s="3">
        <f t="shared" si="276"/>
        <v>45826</v>
      </c>
      <c r="D2534" s="4">
        <f t="shared" ca="1" si="278"/>
        <v>236</v>
      </c>
      <c r="E2534" s="2">
        <f t="shared" ca="1" si="279"/>
        <v>10751</v>
      </c>
      <c r="F2534" s="2">
        <f t="shared" ca="1" si="280"/>
        <v>5533</v>
      </c>
      <c r="G2534" s="2">
        <f t="shared" ca="1" si="281"/>
        <v>163</v>
      </c>
    </row>
    <row r="2535" spans="1:7" x14ac:dyDescent="0.3">
      <c r="A2535" s="5" t="str">
        <f t="shared" si="275"/>
        <v>Reebok</v>
      </c>
      <c r="B2535" s="5" t="str">
        <f t="shared" si="277"/>
        <v>Nano X3</v>
      </c>
      <c r="C2535" s="3">
        <f t="shared" si="276"/>
        <v>45826</v>
      </c>
      <c r="D2535" s="4">
        <f t="shared" ca="1" si="278"/>
        <v>214</v>
      </c>
      <c r="E2535" s="2">
        <f t="shared" ca="1" si="279"/>
        <v>10276</v>
      </c>
      <c r="F2535" s="2">
        <f t="shared" ca="1" si="280"/>
        <v>12276</v>
      </c>
      <c r="G2535" s="2">
        <f t="shared" ca="1" si="281"/>
        <v>659</v>
      </c>
    </row>
    <row r="2536" spans="1:7" x14ac:dyDescent="0.3">
      <c r="A2536" s="5" t="str">
        <f t="shared" si="275"/>
        <v>Nike</v>
      </c>
      <c r="B2536" s="5" t="str">
        <f t="shared" si="277"/>
        <v>Vaporfly 3</v>
      </c>
      <c r="C2536" s="3">
        <f t="shared" si="276"/>
        <v>45826</v>
      </c>
      <c r="D2536" s="4">
        <f t="shared" ca="1" si="278"/>
        <v>87</v>
      </c>
      <c r="E2536" s="2">
        <f t="shared" ca="1" si="279"/>
        <v>6067</v>
      </c>
      <c r="F2536" s="2">
        <f t="shared" ca="1" si="280"/>
        <v>32636</v>
      </c>
      <c r="G2536" s="2">
        <f t="shared" ca="1" si="281"/>
        <v>671</v>
      </c>
    </row>
    <row r="2537" spans="1:7" x14ac:dyDescent="0.3">
      <c r="A2537" s="5" t="str">
        <f t="shared" si="275"/>
        <v>Adidas</v>
      </c>
      <c r="B2537" s="5" t="str">
        <f t="shared" si="277"/>
        <v>Samba</v>
      </c>
      <c r="C2537" s="3">
        <f t="shared" si="276"/>
        <v>45827</v>
      </c>
      <c r="D2537" s="4">
        <f t="shared" ca="1" si="278"/>
        <v>193</v>
      </c>
      <c r="E2537" s="2">
        <f t="shared" ca="1" si="279"/>
        <v>2403</v>
      </c>
      <c r="F2537" s="2">
        <f t="shared" ca="1" si="280"/>
        <v>33222</v>
      </c>
      <c r="G2537" s="2">
        <f t="shared" ca="1" si="281"/>
        <v>851</v>
      </c>
    </row>
    <row r="2538" spans="1:7" x14ac:dyDescent="0.3">
      <c r="A2538" s="5" t="str">
        <f t="shared" si="275"/>
        <v>Puma</v>
      </c>
      <c r="B2538" s="5" t="str">
        <f t="shared" si="277"/>
        <v>Mayze</v>
      </c>
      <c r="C2538" s="3">
        <f t="shared" si="276"/>
        <v>45827</v>
      </c>
      <c r="D2538" s="4">
        <f t="shared" ca="1" si="278"/>
        <v>209</v>
      </c>
      <c r="E2538" s="2">
        <f t="shared" ca="1" si="279"/>
        <v>6654</v>
      </c>
      <c r="F2538" s="2">
        <f t="shared" ca="1" si="280"/>
        <v>11279</v>
      </c>
      <c r="G2538" s="2">
        <f t="shared" ca="1" si="281"/>
        <v>349</v>
      </c>
    </row>
    <row r="2539" spans="1:7" x14ac:dyDescent="0.3">
      <c r="A2539" s="5" t="str">
        <f t="shared" ref="A2539:A2602" si="282">CHOOSE(MOD(ROW(A2538),5)+1,"Nike","Adidas","Puma","New Balance","Reebok")</f>
        <v>New Balance</v>
      </c>
      <c r="B2539" s="5" t="str">
        <f t="shared" si="277"/>
        <v>574 Core</v>
      </c>
      <c r="C2539" s="3">
        <f t="shared" ref="C2539:C2602" si="283">DATE(2025,1,1)+INT((ROW(A2539)-2)/15)</f>
        <v>45827</v>
      </c>
      <c r="D2539" s="4">
        <f t="shared" ca="1" si="278"/>
        <v>127</v>
      </c>
      <c r="E2539" s="2">
        <f t="shared" ca="1" si="279"/>
        <v>8070</v>
      </c>
      <c r="F2539" s="2">
        <f t="shared" ca="1" si="280"/>
        <v>6076</v>
      </c>
      <c r="G2539" s="2">
        <f t="shared" ca="1" si="281"/>
        <v>365</v>
      </c>
    </row>
    <row r="2540" spans="1:7" x14ac:dyDescent="0.3">
      <c r="A2540" s="5" t="str">
        <f t="shared" si="282"/>
        <v>Reebok</v>
      </c>
      <c r="B2540" s="5" t="str">
        <f t="shared" si="277"/>
        <v>Club C 85</v>
      </c>
      <c r="C2540" s="3">
        <f t="shared" si="283"/>
        <v>45827</v>
      </c>
      <c r="D2540" s="4">
        <f t="shared" ca="1" si="278"/>
        <v>59</v>
      </c>
      <c r="E2540" s="2">
        <f t="shared" ca="1" si="279"/>
        <v>10033</v>
      </c>
      <c r="F2540" s="2">
        <f t="shared" ca="1" si="280"/>
        <v>26577</v>
      </c>
      <c r="G2540" s="2">
        <f t="shared" ca="1" si="281"/>
        <v>1178</v>
      </c>
    </row>
    <row r="2541" spans="1:7" x14ac:dyDescent="0.3">
      <c r="A2541" s="5" t="str">
        <f t="shared" si="282"/>
        <v>Nike</v>
      </c>
      <c r="B2541" s="5" t="str">
        <f t="shared" si="277"/>
        <v>Pegasus 40</v>
      </c>
      <c r="C2541" s="3">
        <f t="shared" si="283"/>
        <v>45827</v>
      </c>
      <c r="D2541" s="4">
        <f t="shared" ca="1" si="278"/>
        <v>46</v>
      </c>
      <c r="E2541" s="2">
        <f t="shared" ca="1" si="279"/>
        <v>2121</v>
      </c>
      <c r="F2541" s="2">
        <f t="shared" ca="1" si="280"/>
        <v>22911</v>
      </c>
      <c r="G2541" s="2">
        <f t="shared" ca="1" si="281"/>
        <v>1768</v>
      </c>
    </row>
    <row r="2542" spans="1:7" x14ac:dyDescent="0.3">
      <c r="A2542" s="5" t="str">
        <f t="shared" si="282"/>
        <v>Adidas</v>
      </c>
      <c r="B2542" s="5" t="str">
        <f t="shared" si="277"/>
        <v>Gazelle</v>
      </c>
      <c r="C2542" s="3">
        <f t="shared" si="283"/>
        <v>45827</v>
      </c>
      <c r="D2542" s="4">
        <f t="shared" ca="1" si="278"/>
        <v>51</v>
      </c>
      <c r="E2542" s="2">
        <f t="shared" ca="1" si="279"/>
        <v>3807</v>
      </c>
      <c r="F2542" s="2">
        <f t="shared" ca="1" si="280"/>
        <v>18747</v>
      </c>
      <c r="G2542" s="2">
        <f t="shared" ca="1" si="281"/>
        <v>777</v>
      </c>
    </row>
    <row r="2543" spans="1:7" x14ac:dyDescent="0.3">
      <c r="A2543" s="5" t="str">
        <f t="shared" si="282"/>
        <v>Puma</v>
      </c>
      <c r="B2543" s="5" t="str">
        <f t="shared" si="277"/>
        <v>Slipstream</v>
      </c>
      <c r="C2543" s="3">
        <f t="shared" si="283"/>
        <v>45827</v>
      </c>
      <c r="D2543" s="4">
        <f t="shared" ca="1" si="278"/>
        <v>208</v>
      </c>
      <c r="E2543" s="2">
        <f t="shared" ca="1" si="279"/>
        <v>9039</v>
      </c>
      <c r="F2543" s="2">
        <f t="shared" ca="1" si="280"/>
        <v>13389</v>
      </c>
      <c r="G2543" s="2">
        <f t="shared" ca="1" si="281"/>
        <v>966</v>
      </c>
    </row>
    <row r="2544" spans="1:7" x14ac:dyDescent="0.3">
      <c r="A2544" s="5" t="str">
        <f t="shared" si="282"/>
        <v>New Balance</v>
      </c>
      <c r="B2544" s="5" t="str">
        <f t="shared" si="277"/>
        <v>550</v>
      </c>
      <c r="C2544" s="3">
        <f t="shared" si="283"/>
        <v>45827</v>
      </c>
      <c r="D2544" s="4">
        <f t="shared" ca="1" si="278"/>
        <v>186</v>
      </c>
      <c r="E2544" s="2">
        <f t="shared" ca="1" si="279"/>
        <v>3672</v>
      </c>
      <c r="F2544" s="2">
        <f t="shared" ca="1" si="280"/>
        <v>17196</v>
      </c>
      <c r="G2544" s="2">
        <f t="shared" ca="1" si="281"/>
        <v>806</v>
      </c>
    </row>
    <row r="2545" spans="1:7" x14ac:dyDescent="0.3">
      <c r="A2545" s="5" t="str">
        <f t="shared" si="282"/>
        <v>Reebok</v>
      </c>
      <c r="B2545" s="5" t="str">
        <f t="shared" si="277"/>
        <v>Classic Leather</v>
      </c>
      <c r="C2545" s="3">
        <f t="shared" si="283"/>
        <v>45827</v>
      </c>
      <c r="D2545" s="4">
        <f t="shared" ca="1" si="278"/>
        <v>233</v>
      </c>
      <c r="E2545" s="2">
        <f t="shared" ca="1" si="279"/>
        <v>5710</v>
      </c>
      <c r="F2545" s="2">
        <f t="shared" ca="1" si="280"/>
        <v>22359</v>
      </c>
      <c r="G2545" s="2">
        <f t="shared" ca="1" si="281"/>
        <v>574</v>
      </c>
    </row>
    <row r="2546" spans="1:7" x14ac:dyDescent="0.3">
      <c r="A2546" s="5" t="str">
        <f t="shared" si="282"/>
        <v>Nike</v>
      </c>
      <c r="B2546" s="5" t="str">
        <f t="shared" si="277"/>
        <v>Air Force 1</v>
      </c>
      <c r="C2546" s="3">
        <f t="shared" si="283"/>
        <v>45827</v>
      </c>
      <c r="D2546" s="4">
        <f t="shared" ca="1" si="278"/>
        <v>55</v>
      </c>
      <c r="E2546" s="2">
        <f t="shared" ca="1" si="279"/>
        <v>5853</v>
      </c>
      <c r="F2546" s="2">
        <f t="shared" ca="1" si="280"/>
        <v>12871</v>
      </c>
      <c r="G2546" s="2">
        <f t="shared" ca="1" si="281"/>
        <v>613</v>
      </c>
    </row>
    <row r="2547" spans="1:7" x14ac:dyDescent="0.3">
      <c r="A2547" s="5" t="str">
        <f t="shared" si="282"/>
        <v>Adidas</v>
      </c>
      <c r="B2547" s="5" t="str">
        <f t="shared" si="277"/>
        <v>Superstar</v>
      </c>
      <c r="C2547" s="3">
        <f t="shared" si="283"/>
        <v>45827</v>
      </c>
      <c r="D2547" s="4">
        <f t="shared" ca="1" si="278"/>
        <v>126</v>
      </c>
      <c r="E2547" s="2">
        <f t="shared" ca="1" si="279"/>
        <v>1885</v>
      </c>
      <c r="F2547" s="2">
        <f t="shared" ca="1" si="280"/>
        <v>29740</v>
      </c>
      <c r="G2547" s="2">
        <f t="shared" ca="1" si="281"/>
        <v>1092</v>
      </c>
    </row>
    <row r="2548" spans="1:7" x14ac:dyDescent="0.3">
      <c r="A2548" s="5" t="str">
        <f t="shared" si="282"/>
        <v>Puma</v>
      </c>
      <c r="B2548" s="5" t="str">
        <f t="shared" si="277"/>
        <v>Rider Vintage</v>
      </c>
      <c r="C2548" s="3">
        <f t="shared" si="283"/>
        <v>45827</v>
      </c>
      <c r="D2548" s="4">
        <f t="shared" ca="1" si="278"/>
        <v>83</v>
      </c>
      <c r="E2548" s="2">
        <f t="shared" ca="1" si="279"/>
        <v>4047</v>
      </c>
      <c r="F2548" s="2">
        <f t="shared" ca="1" si="280"/>
        <v>15311</v>
      </c>
      <c r="G2548" s="2">
        <f t="shared" ca="1" si="281"/>
        <v>1096</v>
      </c>
    </row>
    <row r="2549" spans="1:7" x14ac:dyDescent="0.3">
      <c r="A2549" s="5" t="str">
        <f t="shared" si="282"/>
        <v>New Balance</v>
      </c>
      <c r="B2549" s="5" t="str">
        <f t="shared" si="277"/>
        <v>327</v>
      </c>
      <c r="C2549" s="3">
        <f t="shared" si="283"/>
        <v>45827</v>
      </c>
      <c r="D2549" s="4">
        <f t="shared" ca="1" si="278"/>
        <v>196</v>
      </c>
      <c r="E2549" s="2">
        <f t="shared" ca="1" si="279"/>
        <v>6500</v>
      </c>
      <c r="F2549" s="2">
        <f t="shared" ca="1" si="280"/>
        <v>26000</v>
      </c>
      <c r="G2549" s="2">
        <f t="shared" ca="1" si="281"/>
        <v>669</v>
      </c>
    </row>
    <row r="2550" spans="1:7" x14ac:dyDescent="0.3">
      <c r="A2550" s="5" t="str">
        <f t="shared" si="282"/>
        <v>Reebok</v>
      </c>
      <c r="B2550" s="5" t="str">
        <f t="shared" si="277"/>
        <v>Question Mid</v>
      </c>
      <c r="C2550" s="3">
        <f t="shared" si="283"/>
        <v>45827</v>
      </c>
      <c r="D2550" s="4">
        <f t="shared" ca="1" si="278"/>
        <v>221</v>
      </c>
      <c r="E2550" s="2">
        <f t="shared" ca="1" si="279"/>
        <v>4798</v>
      </c>
      <c r="F2550" s="2">
        <f t="shared" ca="1" si="280"/>
        <v>33100</v>
      </c>
      <c r="G2550" s="2">
        <f t="shared" ca="1" si="281"/>
        <v>2006</v>
      </c>
    </row>
    <row r="2551" spans="1:7" x14ac:dyDescent="0.3">
      <c r="A2551" s="5" t="str">
        <f t="shared" si="282"/>
        <v>Nike</v>
      </c>
      <c r="B2551" s="5" t="str">
        <f t="shared" si="277"/>
        <v>Air Max 270</v>
      </c>
      <c r="C2551" s="3">
        <f t="shared" si="283"/>
        <v>45827</v>
      </c>
      <c r="D2551" s="4">
        <f t="shared" ca="1" si="278"/>
        <v>196</v>
      </c>
      <c r="E2551" s="2">
        <f t="shared" ca="1" si="279"/>
        <v>3484</v>
      </c>
      <c r="F2551" s="2">
        <f t="shared" ca="1" si="280"/>
        <v>26819</v>
      </c>
      <c r="G2551" s="2">
        <f t="shared" ca="1" si="281"/>
        <v>1696</v>
      </c>
    </row>
    <row r="2552" spans="1:7" x14ac:dyDescent="0.3">
      <c r="A2552" s="5" t="str">
        <f t="shared" si="282"/>
        <v>Adidas</v>
      </c>
      <c r="B2552" s="5" t="str">
        <f t="shared" si="277"/>
        <v>Stan Smith</v>
      </c>
      <c r="C2552" s="3">
        <f t="shared" si="283"/>
        <v>45828</v>
      </c>
      <c r="D2552" s="4">
        <f t="shared" ca="1" si="278"/>
        <v>98</v>
      </c>
      <c r="E2552" s="2">
        <f t="shared" ca="1" si="279"/>
        <v>2773</v>
      </c>
      <c r="F2552" s="2">
        <f t="shared" ca="1" si="280"/>
        <v>27917</v>
      </c>
      <c r="G2552" s="2">
        <f t="shared" ca="1" si="281"/>
        <v>1960</v>
      </c>
    </row>
    <row r="2553" spans="1:7" x14ac:dyDescent="0.3">
      <c r="A2553" s="5" t="str">
        <f t="shared" si="282"/>
        <v>Puma</v>
      </c>
      <c r="B2553" s="5" t="str">
        <f t="shared" si="277"/>
        <v>Cali Dream</v>
      </c>
      <c r="C2553" s="3">
        <f t="shared" si="283"/>
        <v>45828</v>
      </c>
      <c r="D2553" s="4">
        <f t="shared" ca="1" si="278"/>
        <v>176</v>
      </c>
      <c r="E2553" s="2">
        <f t="shared" ca="1" si="279"/>
        <v>4667</v>
      </c>
      <c r="F2553" s="2">
        <f t="shared" ca="1" si="280"/>
        <v>26742</v>
      </c>
      <c r="G2553" s="2">
        <f t="shared" ca="1" si="281"/>
        <v>1791</v>
      </c>
    </row>
    <row r="2554" spans="1:7" x14ac:dyDescent="0.3">
      <c r="A2554" s="5" t="str">
        <f t="shared" si="282"/>
        <v>New Balance</v>
      </c>
      <c r="B2554" s="5" t="str">
        <f t="shared" si="277"/>
        <v>9060</v>
      </c>
      <c r="C2554" s="3">
        <f t="shared" si="283"/>
        <v>45828</v>
      </c>
      <c r="D2554" s="4">
        <f t="shared" ca="1" si="278"/>
        <v>46</v>
      </c>
      <c r="E2554" s="2">
        <f t="shared" ca="1" si="279"/>
        <v>5607</v>
      </c>
      <c r="F2554" s="2">
        <f t="shared" ca="1" si="280"/>
        <v>5737</v>
      </c>
      <c r="G2554" s="2">
        <f t="shared" ca="1" si="281"/>
        <v>371</v>
      </c>
    </row>
    <row r="2555" spans="1:7" x14ac:dyDescent="0.3">
      <c r="A2555" s="5" t="str">
        <f t="shared" si="282"/>
        <v>Reebok</v>
      </c>
      <c r="B2555" s="5" t="str">
        <f t="shared" si="277"/>
        <v>Zig Kinetica</v>
      </c>
      <c r="C2555" s="3">
        <f t="shared" si="283"/>
        <v>45828</v>
      </c>
      <c r="D2555" s="4">
        <f t="shared" ca="1" si="278"/>
        <v>220</v>
      </c>
      <c r="E2555" s="2">
        <f t="shared" ca="1" si="279"/>
        <v>3391</v>
      </c>
      <c r="F2555" s="2">
        <f t="shared" ca="1" si="280"/>
        <v>19443</v>
      </c>
      <c r="G2555" s="2">
        <f t="shared" ca="1" si="281"/>
        <v>780</v>
      </c>
    </row>
    <row r="2556" spans="1:7" x14ac:dyDescent="0.3">
      <c r="A2556" s="5" t="str">
        <f t="shared" si="282"/>
        <v>Nike</v>
      </c>
      <c r="B2556" s="5" t="str">
        <f t="shared" si="277"/>
        <v>Jordan 1</v>
      </c>
      <c r="C2556" s="3">
        <f t="shared" si="283"/>
        <v>45828</v>
      </c>
      <c r="D2556" s="4">
        <f t="shared" ca="1" si="278"/>
        <v>92</v>
      </c>
      <c r="E2556" s="2">
        <f t="shared" ca="1" si="279"/>
        <v>7703</v>
      </c>
      <c r="F2556" s="2">
        <f t="shared" ca="1" si="280"/>
        <v>34025</v>
      </c>
      <c r="G2556" s="2">
        <f t="shared" ca="1" si="281"/>
        <v>2510</v>
      </c>
    </row>
    <row r="2557" spans="1:7" x14ac:dyDescent="0.3">
      <c r="A2557" s="5" t="str">
        <f t="shared" si="282"/>
        <v>Adidas</v>
      </c>
      <c r="B2557" s="5" t="str">
        <f t="shared" si="277"/>
        <v>Ultraboost 23</v>
      </c>
      <c r="C2557" s="3">
        <f t="shared" si="283"/>
        <v>45828</v>
      </c>
      <c r="D2557" s="4">
        <f t="shared" ca="1" si="278"/>
        <v>135</v>
      </c>
      <c r="E2557" s="2">
        <f t="shared" ca="1" si="279"/>
        <v>7714</v>
      </c>
      <c r="F2557" s="2">
        <f t="shared" ca="1" si="280"/>
        <v>9207</v>
      </c>
      <c r="G2557" s="2">
        <f t="shared" ca="1" si="281"/>
        <v>430</v>
      </c>
    </row>
    <row r="2558" spans="1:7" x14ac:dyDescent="0.3">
      <c r="A2558" s="5" t="str">
        <f t="shared" si="282"/>
        <v>Puma</v>
      </c>
      <c r="B2558" s="5" t="str">
        <f t="shared" si="277"/>
        <v>RS-X</v>
      </c>
      <c r="C2558" s="3">
        <f t="shared" si="283"/>
        <v>45828</v>
      </c>
      <c r="D2558" s="4">
        <f t="shared" ca="1" si="278"/>
        <v>205</v>
      </c>
      <c r="E2558" s="2">
        <f t="shared" ca="1" si="279"/>
        <v>8054</v>
      </c>
      <c r="F2558" s="2">
        <f t="shared" ca="1" si="280"/>
        <v>11203</v>
      </c>
      <c r="G2558" s="2">
        <f t="shared" ca="1" si="281"/>
        <v>510</v>
      </c>
    </row>
    <row r="2559" spans="1:7" x14ac:dyDescent="0.3">
      <c r="A2559" s="5" t="str">
        <f t="shared" si="282"/>
        <v>New Balance</v>
      </c>
      <c r="B2559" s="5" t="str">
        <f t="shared" si="277"/>
        <v>2002R</v>
      </c>
      <c r="C2559" s="3">
        <f t="shared" si="283"/>
        <v>45828</v>
      </c>
      <c r="D2559" s="4">
        <f t="shared" ca="1" si="278"/>
        <v>146</v>
      </c>
      <c r="E2559" s="2">
        <f t="shared" ca="1" si="279"/>
        <v>11504</v>
      </c>
      <c r="F2559" s="2">
        <f t="shared" ca="1" si="280"/>
        <v>19745</v>
      </c>
      <c r="G2559" s="2">
        <f t="shared" ca="1" si="281"/>
        <v>1468</v>
      </c>
    </row>
    <row r="2560" spans="1:7" x14ac:dyDescent="0.3">
      <c r="A2560" s="5" t="str">
        <f t="shared" si="282"/>
        <v>Reebok</v>
      </c>
      <c r="B2560" s="5" t="str">
        <f t="shared" si="277"/>
        <v>Instapump Fury</v>
      </c>
      <c r="C2560" s="3">
        <f t="shared" si="283"/>
        <v>45828</v>
      </c>
      <c r="D2560" s="4">
        <f t="shared" ca="1" si="278"/>
        <v>126</v>
      </c>
      <c r="E2560" s="2">
        <f t="shared" ca="1" si="279"/>
        <v>2051</v>
      </c>
      <c r="F2560" s="2">
        <f t="shared" ca="1" si="280"/>
        <v>10868</v>
      </c>
      <c r="G2560" s="2">
        <f t="shared" ca="1" si="281"/>
        <v>275</v>
      </c>
    </row>
    <row r="2561" spans="1:7" x14ac:dyDescent="0.3">
      <c r="A2561" s="5" t="str">
        <f t="shared" si="282"/>
        <v>Nike</v>
      </c>
      <c r="B2561" s="5" t="str">
        <f t="shared" si="277"/>
        <v>Cortez</v>
      </c>
      <c r="C2561" s="3">
        <f t="shared" si="283"/>
        <v>45828</v>
      </c>
      <c r="D2561" s="4">
        <f t="shared" ca="1" si="278"/>
        <v>40</v>
      </c>
      <c r="E2561" s="2">
        <f t="shared" ca="1" si="279"/>
        <v>6708</v>
      </c>
      <c r="F2561" s="2">
        <f t="shared" ca="1" si="280"/>
        <v>21881</v>
      </c>
      <c r="G2561" s="2">
        <f t="shared" ca="1" si="281"/>
        <v>1637</v>
      </c>
    </row>
    <row r="2562" spans="1:7" x14ac:dyDescent="0.3">
      <c r="A2562" s="5" t="str">
        <f t="shared" si="282"/>
        <v>Adidas</v>
      </c>
      <c r="B2562" s="5" t="str">
        <f t="shared" si="277"/>
        <v>NMD S1</v>
      </c>
      <c r="C2562" s="3">
        <f t="shared" si="283"/>
        <v>45828</v>
      </c>
      <c r="D2562" s="4">
        <f t="shared" ca="1" si="278"/>
        <v>80</v>
      </c>
      <c r="E2562" s="2">
        <f t="shared" ca="1" si="279"/>
        <v>2258</v>
      </c>
      <c r="F2562" s="2">
        <f t="shared" ca="1" si="280"/>
        <v>24873</v>
      </c>
      <c r="G2562" s="2">
        <f t="shared" ca="1" si="281"/>
        <v>1088</v>
      </c>
    </row>
    <row r="2563" spans="1:7" x14ac:dyDescent="0.3">
      <c r="A2563" s="5" t="str">
        <f t="shared" si="282"/>
        <v>Puma</v>
      </c>
      <c r="B2563" s="5" t="str">
        <f t="shared" ref="B2563:B2626" si="284">IF(A2563="Nike",CHOOSE(MOD(ROW(A2562),6)+1,"Air Max 270","Air Force 1","Pegasus 40","Vaporfly 3","Cortez","Jordan 1"),
 IF(A2563="Adidas",CHOOSE(MOD(ROW(A2562),6)+1,"Ultraboost 23","Stan Smith","Superstar","Gazelle","Samba","NMD S1"),
 IF(A2563="Puma",CHOOSE(MOD(ROW(A2562),6)+1,"Suede Classic","RS-X","Cali Dream","Rider Vintage","Slipstream","Mayze"),
 IF(A2563="New Balance",CHOOSE(MOD(ROW(A2562),6)+1,"574 Core","990v6","2002R","9060","327","550"),
 IF(A2563="Reebok",CHOOSE(MOD(ROW(A2562),6)+1,"Classic Leather","Club C 85","Nano X3","Instapump Fury","Zig Kinetica","Question Mid"),"")))))</f>
        <v>Suede Classic</v>
      </c>
      <c r="C2563" s="3">
        <f t="shared" si="283"/>
        <v>45828</v>
      </c>
      <c r="D2563" s="4">
        <f t="shared" ref="D2563:D2626" ca="1" si="285">RANDBETWEEN(20,250)</f>
        <v>139</v>
      </c>
      <c r="E2563" s="2">
        <f t="shared" ref="E2563:E2626" ca="1" si="286">ROUND(RANDBETWEEN(1500,12000)+(RANDBETWEEN(-200,200)),2)</f>
        <v>3106</v>
      </c>
      <c r="F2563" s="2">
        <f t="shared" ref="F2563:F2626" ca="1" si="287">RANDBETWEEN(5000,35000)</f>
        <v>32116</v>
      </c>
      <c r="G2563" s="2">
        <f t="shared" ref="G2563:G2626" ca="1" si="288">RANDBETWEEN(ROUND(F2563*0.02,0),ROUND(F2563*0.08,0))</f>
        <v>1432</v>
      </c>
    </row>
    <row r="2564" spans="1:7" x14ac:dyDescent="0.3">
      <c r="A2564" s="5" t="str">
        <f t="shared" si="282"/>
        <v>New Balance</v>
      </c>
      <c r="B2564" s="5" t="str">
        <f t="shared" si="284"/>
        <v>990v6</v>
      </c>
      <c r="C2564" s="3">
        <f t="shared" si="283"/>
        <v>45828</v>
      </c>
      <c r="D2564" s="4">
        <f t="shared" ca="1" si="285"/>
        <v>67</v>
      </c>
      <c r="E2564" s="2">
        <f t="shared" ca="1" si="286"/>
        <v>7039</v>
      </c>
      <c r="F2564" s="2">
        <f t="shared" ca="1" si="287"/>
        <v>10096</v>
      </c>
      <c r="G2564" s="2">
        <f t="shared" ca="1" si="288"/>
        <v>421</v>
      </c>
    </row>
    <row r="2565" spans="1:7" x14ac:dyDescent="0.3">
      <c r="A2565" s="5" t="str">
        <f t="shared" si="282"/>
        <v>Reebok</v>
      </c>
      <c r="B2565" s="5" t="str">
        <f t="shared" si="284"/>
        <v>Nano X3</v>
      </c>
      <c r="C2565" s="3">
        <f t="shared" si="283"/>
        <v>45828</v>
      </c>
      <c r="D2565" s="4">
        <f t="shared" ca="1" si="285"/>
        <v>241</v>
      </c>
      <c r="E2565" s="2">
        <f t="shared" ca="1" si="286"/>
        <v>8088</v>
      </c>
      <c r="F2565" s="2">
        <f t="shared" ca="1" si="287"/>
        <v>5856</v>
      </c>
      <c r="G2565" s="2">
        <f t="shared" ca="1" si="288"/>
        <v>247</v>
      </c>
    </row>
    <row r="2566" spans="1:7" x14ac:dyDescent="0.3">
      <c r="A2566" s="5" t="str">
        <f t="shared" si="282"/>
        <v>Nike</v>
      </c>
      <c r="B2566" s="5" t="str">
        <f t="shared" si="284"/>
        <v>Vaporfly 3</v>
      </c>
      <c r="C2566" s="3">
        <f t="shared" si="283"/>
        <v>45828</v>
      </c>
      <c r="D2566" s="4">
        <f t="shared" ca="1" si="285"/>
        <v>183</v>
      </c>
      <c r="E2566" s="2">
        <f t="shared" ca="1" si="286"/>
        <v>7142</v>
      </c>
      <c r="F2566" s="2">
        <f t="shared" ca="1" si="287"/>
        <v>9579</v>
      </c>
      <c r="G2566" s="2">
        <f t="shared" ca="1" si="288"/>
        <v>217</v>
      </c>
    </row>
    <row r="2567" spans="1:7" x14ac:dyDescent="0.3">
      <c r="A2567" s="5" t="str">
        <f t="shared" si="282"/>
        <v>Adidas</v>
      </c>
      <c r="B2567" s="5" t="str">
        <f t="shared" si="284"/>
        <v>Samba</v>
      </c>
      <c r="C2567" s="3">
        <f t="shared" si="283"/>
        <v>45829</v>
      </c>
      <c r="D2567" s="4">
        <f t="shared" ca="1" si="285"/>
        <v>172</v>
      </c>
      <c r="E2567" s="2">
        <f t="shared" ca="1" si="286"/>
        <v>11623</v>
      </c>
      <c r="F2567" s="2">
        <f t="shared" ca="1" si="287"/>
        <v>10754</v>
      </c>
      <c r="G2567" s="2">
        <f t="shared" ca="1" si="288"/>
        <v>531</v>
      </c>
    </row>
    <row r="2568" spans="1:7" x14ac:dyDescent="0.3">
      <c r="A2568" s="5" t="str">
        <f t="shared" si="282"/>
        <v>Puma</v>
      </c>
      <c r="B2568" s="5" t="str">
        <f t="shared" si="284"/>
        <v>Mayze</v>
      </c>
      <c r="C2568" s="3">
        <f t="shared" si="283"/>
        <v>45829</v>
      </c>
      <c r="D2568" s="4">
        <f t="shared" ca="1" si="285"/>
        <v>103</v>
      </c>
      <c r="E2568" s="2">
        <f t="shared" ca="1" si="286"/>
        <v>6162</v>
      </c>
      <c r="F2568" s="2">
        <f t="shared" ca="1" si="287"/>
        <v>15916</v>
      </c>
      <c r="G2568" s="2">
        <f t="shared" ca="1" si="288"/>
        <v>358</v>
      </c>
    </row>
    <row r="2569" spans="1:7" x14ac:dyDescent="0.3">
      <c r="A2569" s="5" t="str">
        <f t="shared" si="282"/>
        <v>New Balance</v>
      </c>
      <c r="B2569" s="5" t="str">
        <f t="shared" si="284"/>
        <v>574 Core</v>
      </c>
      <c r="C2569" s="3">
        <f t="shared" si="283"/>
        <v>45829</v>
      </c>
      <c r="D2569" s="4">
        <f t="shared" ca="1" si="285"/>
        <v>38</v>
      </c>
      <c r="E2569" s="2">
        <f t="shared" ca="1" si="286"/>
        <v>8301</v>
      </c>
      <c r="F2569" s="2">
        <f t="shared" ca="1" si="287"/>
        <v>19916</v>
      </c>
      <c r="G2569" s="2">
        <f t="shared" ca="1" si="288"/>
        <v>800</v>
      </c>
    </row>
    <row r="2570" spans="1:7" x14ac:dyDescent="0.3">
      <c r="A2570" s="5" t="str">
        <f t="shared" si="282"/>
        <v>Reebok</v>
      </c>
      <c r="B2570" s="5" t="str">
        <f t="shared" si="284"/>
        <v>Club C 85</v>
      </c>
      <c r="C2570" s="3">
        <f t="shared" si="283"/>
        <v>45829</v>
      </c>
      <c r="D2570" s="4">
        <f t="shared" ca="1" si="285"/>
        <v>105</v>
      </c>
      <c r="E2570" s="2">
        <f t="shared" ca="1" si="286"/>
        <v>6844</v>
      </c>
      <c r="F2570" s="2">
        <f t="shared" ca="1" si="287"/>
        <v>32704</v>
      </c>
      <c r="G2570" s="2">
        <f t="shared" ca="1" si="288"/>
        <v>1797</v>
      </c>
    </row>
    <row r="2571" spans="1:7" x14ac:dyDescent="0.3">
      <c r="A2571" s="5" t="str">
        <f t="shared" si="282"/>
        <v>Nike</v>
      </c>
      <c r="B2571" s="5" t="str">
        <f t="shared" si="284"/>
        <v>Pegasus 40</v>
      </c>
      <c r="C2571" s="3">
        <f t="shared" si="283"/>
        <v>45829</v>
      </c>
      <c r="D2571" s="4">
        <f t="shared" ca="1" si="285"/>
        <v>128</v>
      </c>
      <c r="E2571" s="2">
        <f t="shared" ca="1" si="286"/>
        <v>10964</v>
      </c>
      <c r="F2571" s="2">
        <f t="shared" ca="1" si="287"/>
        <v>6667</v>
      </c>
      <c r="G2571" s="2">
        <f t="shared" ca="1" si="288"/>
        <v>306</v>
      </c>
    </row>
    <row r="2572" spans="1:7" x14ac:dyDescent="0.3">
      <c r="A2572" s="5" t="str">
        <f t="shared" si="282"/>
        <v>Adidas</v>
      </c>
      <c r="B2572" s="5" t="str">
        <f t="shared" si="284"/>
        <v>Gazelle</v>
      </c>
      <c r="C2572" s="3">
        <f t="shared" si="283"/>
        <v>45829</v>
      </c>
      <c r="D2572" s="4">
        <f t="shared" ca="1" si="285"/>
        <v>140</v>
      </c>
      <c r="E2572" s="2">
        <f t="shared" ca="1" si="286"/>
        <v>3842</v>
      </c>
      <c r="F2572" s="2">
        <f t="shared" ca="1" si="287"/>
        <v>5343</v>
      </c>
      <c r="G2572" s="2">
        <f t="shared" ca="1" si="288"/>
        <v>227</v>
      </c>
    </row>
    <row r="2573" spans="1:7" x14ac:dyDescent="0.3">
      <c r="A2573" s="5" t="str">
        <f t="shared" si="282"/>
        <v>Puma</v>
      </c>
      <c r="B2573" s="5" t="str">
        <f t="shared" si="284"/>
        <v>Slipstream</v>
      </c>
      <c r="C2573" s="3">
        <f t="shared" si="283"/>
        <v>45829</v>
      </c>
      <c r="D2573" s="4">
        <f t="shared" ca="1" si="285"/>
        <v>98</v>
      </c>
      <c r="E2573" s="2">
        <f t="shared" ca="1" si="286"/>
        <v>5661</v>
      </c>
      <c r="F2573" s="2">
        <f t="shared" ca="1" si="287"/>
        <v>30962</v>
      </c>
      <c r="G2573" s="2">
        <f t="shared" ca="1" si="288"/>
        <v>896</v>
      </c>
    </row>
    <row r="2574" spans="1:7" x14ac:dyDescent="0.3">
      <c r="A2574" s="5" t="str">
        <f t="shared" si="282"/>
        <v>New Balance</v>
      </c>
      <c r="B2574" s="5" t="str">
        <f t="shared" si="284"/>
        <v>550</v>
      </c>
      <c r="C2574" s="3">
        <f t="shared" si="283"/>
        <v>45829</v>
      </c>
      <c r="D2574" s="4">
        <f t="shared" ca="1" si="285"/>
        <v>220</v>
      </c>
      <c r="E2574" s="2">
        <f t="shared" ca="1" si="286"/>
        <v>3220</v>
      </c>
      <c r="F2574" s="2">
        <f t="shared" ca="1" si="287"/>
        <v>32651</v>
      </c>
      <c r="G2574" s="2">
        <f t="shared" ca="1" si="288"/>
        <v>1110</v>
      </c>
    </row>
    <row r="2575" spans="1:7" x14ac:dyDescent="0.3">
      <c r="A2575" s="5" t="str">
        <f t="shared" si="282"/>
        <v>Reebok</v>
      </c>
      <c r="B2575" s="5" t="str">
        <f t="shared" si="284"/>
        <v>Classic Leather</v>
      </c>
      <c r="C2575" s="3">
        <f t="shared" si="283"/>
        <v>45829</v>
      </c>
      <c r="D2575" s="4">
        <f t="shared" ca="1" si="285"/>
        <v>51</v>
      </c>
      <c r="E2575" s="2">
        <f t="shared" ca="1" si="286"/>
        <v>6323</v>
      </c>
      <c r="F2575" s="2">
        <f t="shared" ca="1" si="287"/>
        <v>9551</v>
      </c>
      <c r="G2575" s="2">
        <f t="shared" ca="1" si="288"/>
        <v>544</v>
      </c>
    </row>
    <row r="2576" spans="1:7" x14ac:dyDescent="0.3">
      <c r="A2576" s="5" t="str">
        <f t="shared" si="282"/>
        <v>Nike</v>
      </c>
      <c r="B2576" s="5" t="str">
        <f t="shared" si="284"/>
        <v>Air Force 1</v>
      </c>
      <c r="C2576" s="3">
        <f t="shared" si="283"/>
        <v>45829</v>
      </c>
      <c r="D2576" s="4">
        <f t="shared" ca="1" si="285"/>
        <v>246</v>
      </c>
      <c r="E2576" s="2">
        <f t="shared" ca="1" si="286"/>
        <v>10058</v>
      </c>
      <c r="F2576" s="2">
        <f t="shared" ca="1" si="287"/>
        <v>10155</v>
      </c>
      <c r="G2576" s="2">
        <f t="shared" ca="1" si="288"/>
        <v>519</v>
      </c>
    </row>
    <row r="2577" spans="1:7" x14ac:dyDescent="0.3">
      <c r="A2577" s="5" t="str">
        <f t="shared" si="282"/>
        <v>Adidas</v>
      </c>
      <c r="B2577" s="5" t="str">
        <f t="shared" si="284"/>
        <v>Superstar</v>
      </c>
      <c r="C2577" s="3">
        <f t="shared" si="283"/>
        <v>45829</v>
      </c>
      <c r="D2577" s="4">
        <f t="shared" ca="1" si="285"/>
        <v>25</v>
      </c>
      <c r="E2577" s="2">
        <f t="shared" ca="1" si="286"/>
        <v>6801</v>
      </c>
      <c r="F2577" s="2">
        <f t="shared" ca="1" si="287"/>
        <v>16541</v>
      </c>
      <c r="G2577" s="2">
        <f t="shared" ca="1" si="288"/>
        <v>1202</v>
      </c>
    </row>
    <row r="2578" spans="1:7" x14ac:dyDescent="0.3">
      <c r="A2578" s="5" t="str">
        <f t="shared" si="282"/>
        <v>Puma</v>
      </c>
      <c r="B2578" s="5" t="str">
        <f t="shared" si="284"/>
        <v>Rider Vintage</v>
      </c>
      <c r="C2578" s="3">
        <f t="shared" si="283"/>
        <v>45829</v>
      </c>
      <c r="D2578" s="4">
        <f t="shared" ca="1" si="285"/>
        <v>199</v>
      </c>
      <c r="E2578" s="2">
        <f t="shared" ca="1" si="286"/>
        <v>6539</v>
      </c>
      <c r="F2578" s="2">
        <f t="shared" ca="1" si="287"/>
        <v>15529</v>
      </c>
      <c r="G2578" s="2">
        <f t="shared" ca="1" si="288"/>
        <v>349</v>
      </c>
    </row>
    <row r="2579" spans="1:7" x14ac:dyDescent="0.3">
      <c r="A2579" s="5" t="str">
        <f t="shared" si="282"/>
        <v>New Balance</v>
      </c>
      <c r="B2579" s="5" t="str">
        <f t="shared" si="284"/>
        <v>327</v>
      </c>
      <c r="C2579" s="3">
        <f t="shared" si="283"/>
        <v>45829</v>
      </c>
      <c r="D2579" s="4">
        <f t="shared" ca="1" si="285"/>
        <v>90</v>
      </c>
      <c r="E2579" s="2">
        <f t="shared" ca="1" si="286"/>
        <v>4433</v>
      </c>
      <c r="F2579" s="2">
        <f t="shared" ca="1" si="287"/>
        <v>16883</v>
      </c>
      <c r="G2579" s="2">
        <f t="shared" ca="1" si="288"/>
        <v>756</v>
      </c>
    </row>
    <row r="2580" spans="1:7" x14ac:dyDescent="0.3">
      <c r="A2580" s="5" t="str">
        <f t="shared" si="282"/>
        <v>Reebok</v>
      </c>
      <c r="B2580" s="5" t="str">
        <f t="shared" si="284"/>
        <v>Question Mid</v>
      </c>
      <c r="C2580" s="3">
        <f t="shared" si="283"/>
        <v>45829</v>
      </c>
      <c r="D2580" s="4">
        <f t="shared" ca="1" si="285"/>
        <v>102</v>
      </c>
      <c r="E2580" s="2">
        <f t="shared" ca="1" si="286"/>
        <v>5169</v>
      </c>
      <c r="F2580" s="2">
        <f t="shared" ca="1" si="287"/>
        <v>22946</v>
      </c>
      <c r="G2580" s="2">
        <f t="shared" ca="1" si="288"/>
        <v>744</v>
      </c>
    </row>
    <row r="2581" spans="1:7" x14ac:dyDescent="0.3">
      <c r="A2581" s="5" t="str">
        <f t="shared" si="282"/>
        <v>Nike</v>
      </c>
      <c r="B2581" s="5" t="str">
        <f t="shared" si="284"/>
        <v>Air Max 270</v>
      </c>
      <c r="C2581" s="3">
        <f t="shared" si="283"/>
        <v>45829</v>
      </c>
      <c r="D2581" s="4">
        <f t="shared" ca="1" si="285"/>
        <v>93</v>
      </c>
      <c r="E2581" s="2">
        <f t="shared" ca="1" si="286"/>
        <v>9618</v>
      </c>
      <c r="F2581" s="2">
        <f t="shared" ca="1" si="287"/>
        <v>25073</v>
      </c>
      <c r="G2581" s="2">
        <f t="shared" ca="1" si="288"/>
        <v>1359</v>
      </c>
    </row>
    <row r="2582" spans="1:7" x14ac:dyDescent="0.3">
      <c r="A2582" s="5" t="str">
        <f t="shared" si="282"/>
        <v>Adidas</v>
      </c>
      <c r="B2582" s="5" t="str">
        <f t="shared" si="284"/>
        <v>Stan Smith</v>
      </c>
      <c r="C2582" s="3">
        <f t="shared" si="283"/>
        <v>45830</v>
      </c>
      <c r="D2582" s="4">
        <f t="shared" ca="1" si="285"/>
        <v>240</v>
      </c>
      <c r="E2582" s="2">
        <f t="shared" ca="1" si="286"/>
        <v>2883</v>
      </c>
      <c r="F2582" s="2">
        <f t="shared" ca="1" si="287"/>
        <v>18193</v>
      </c>
      <c r="G2582" s="2">
        <f t="shared" ca="1" si="288"/>
        <v>1386</v>
      </c>
    </row>
    <row r="2583" spans="1:7" x14ac:dyDescent="0.3">
      <c r="A2583" s="5" t="str">
        <f t="shared" si="282"/>
        <v>Puma</v>
      </c>
      <c r="B2583" s="5" t="str">
        <f t="shared" si="284"/>
        <v>Cali Dream</v>
      </c>
      <c r="C2583" s="3">
        <f t="shared" si="283"/>
        <v>45830</v>
      </c>
      <c r="D2583" s="4">
        <f t="shared" ca="1" si="285"/>
        <v>93</v>
      </c>
      <c r="E2583" s="2">
        <f t="shared" ca="1" si="286"/>
        <v>6849</v>
      </c>
      <c r="F2583" s="2">
        <f t="shared" ca="1" si="287"/>
        <v>32748</v>
      </c>
      <c r="G2583" s="2">
        <f t="shared" ca="1" si="288"/>
        <v>1621</v>
      </c>
    </row>
    <row r="2584" spans="1:7" x14ac:dyDescent="0.3">
      <c r="A2584" s="5" t="str">
        <f t="shared" si="282"/>
        <v>New Balance</v>
      </c>
      <c r="B2584" s="5" t="str">
        <f t="shared" si="284"/>
        <v>9060</v>
      </c>
      <c r="C2584" s="3">
        <f t="shared" si="283"/>
        <v>45830</v>
      </c>
      <c r="D2584" s="4">
        <f t="shared" ca="1" si="285"/>
        <v>222</v>
      </c>
      <c r="E2584" s="2">
        <f t="shared" ca="1" si="286"/>
        <v>10434</v>
      </c>
      <c r="F2584" s="2">
        <f t="shared" ca="1" si="287"/>
        <v>26579</v>
      </c>
      <c r="G2584" s="2">
        <f t="shared" ca="1" si="288"/>
        <v>2056</v>
      </c>
    </row>
    <row r="2585" spans="1:7" x14ac:dyDescent="0.3">
      <c r="A2585" s="5" t="str">
        <f t="shared" si="282"/>
        <v>Reebok</v>
      </c>
      <c r="B2585" s="5" t="str">
        <f t="shared" si="284"/>
        <v>Zig Kinetica</v>
      </c>
      <c r="C2585" s="3">
        <f t="shared" si="283"/>
        <v>45830</v>
      </c>
      <c r="D2585" s="4">
        <f t="shared" ca="1" si="285"/>
        <v>182</v>
      </c>
      <c r="E2585" s="2">
        <f t="shared" ca="1" si="286"/>
        <v>7288</v>
      </c>
      <c r="F2585" s="2">
        <f t="shared" ca="1" si="287"/>
        <v>12384</v>
      </c>
      <c r="G2585" s="2">
        <f t="shared" ca="1" si="288"/>
        <v>709</v>
      </c>
    </row>
    <row r="2586" spans="1:7" x14ac:dyDescent="0.3">
      <c r="A2586" s="5" t="str">
        <f t="shared" si="282"/>
        <v>Nike</v>
      </c>
      <c r="B2586" s="5" t="str">
        <f t="shared" si="284"/>
        <v>Jordan 1</v>
      </c>
      <c r="C2586" s="3">
        <f t="shared" si="283"/>
        <v>45830</v>
      </c>
      <c r="D2586" s="4">
        <f t="shared" ca="1" si="285"/>
        <v>110</v>
      </c>
      <c r="E2586" s="2">
        <f t="shared" ca="1" si="286"/>
        <v>3070</v>
      </c>
      <c r="F2586" s="2">
        <f t="shared" ca="1" si="287"/>
        <v>10388</v>
      </c>
      <c r="G2586" s="2">
        <f t="shared" ca="1" si="288"/>
        <v>433</v>
      </c>
    </row>
    <row r="2587" spans="1:7" x14ac:dyDescent="0.3">
      <c r="A2587" s="5" t="str">
        <f t="shared" si="282"/>
        <v>Adidas</v>
      </c>
      <c r="B2587" s="5" t="str">
        <f t="shared" si="284"/>
        <v>Ultraboost 23</v>
      </c>
      <c r="C2587" s="3">
        <f t="shared" si="283"/>
        <v>45830</v>
      </c>
      <c r="D2587" s="4">
        <f t="shared" ca="1" si="285"/>
        <v>66</v>
      </c>
      <c r="E2587" s="2">
        <f t="shared" ca="1" si="286"/>
        <v>7951</v>
      </c>
      <c r="F2587" s="2">
        <f t="shared" ca="1" si="287"/>
        <v>19789</v>
      </c>
      <c r="G2587" s="2">
        <f t="shared" ca="1" si="288"/>
        <v>1269</v>
      </c>
    </row>
    <row r="2588" spans="1:7" x14ac:dyDescent="0.3">
      <c r="A2588" s="5" t="str">
        <f t="shared" si="282"/>
        <v>Puma</v>
      </c>
      <c r="B2588" s="5" t="str">
        <f t="shared" si="284"/>
        <v>RS-X</v>
      </c>
      <c r="C2588" s="3">
        <f t="shared" si="283"/>
        <v>45830</v>
      </c>
      <c r="D2588" s="4">
        <f t="shared" ca="1" si="285"/>
        <v>97</v>
      </c>
      <c r="E2588" s="2">
        <f t="shared" ca="1" si="286"/>
        <v>4074</v>
      </c>
      <c r="F2588" s="2">
        <f t="shared" ca="1" si="287"/>
        <v>29230</v>
      </c>
      <c r="G2588" s="2">
        <f t="shared" ca="1" si="288"/>
        <v>1643</v>
      </c>
    </row>
    <row r="2589" spans="1:7" x14ac:dyDescent="0.3">
      <c r="A2589" s="5" t="str">
        <f t="shared" si="282"/>
        <v>New Balance</v>
      </c>
      <c r="B2589" s="5" t="str">
        <f t="shared" si="284"/>
        <v>2002R</v>
      </c>
      <c r="C2589" s="3">
        <f t="shared" si="283"/>
        <v>45830</v>
      </c>
      <c r="D2589" s="4">
        <f t="shared" ca="1" si="285"/>
        <v>211</v>
      </c>
      <c r="E2589" s="2">
        <f t="shared" ca="1" si="286"/>
        <v>10750</v>
      </c>
      <c r="F2589" s="2">
        <f t="shared" ca="1" si="287"/>
        <v>23455</v>
      </c>
      <c r="G2589" s="2">
        <f t="shared" ca="1" si="288"/>
        <v>1525</v>
      </c>
    </row>
    <row r="2590" spans="1:7" x14ac:dyDescent="0.3">
      <c r="A2590" s="5" t="str">
        <f t="shared" si="282"/>
        <v>Reebok</v>
      </c>
      <c r="B2590" s="5" t="str">
        <f t="shared" si="284"/>
        <v>Instapump Fury</v>
      </c>
      <c r="C2590" s="3">
        <f t="shared" si="283"/>
        <v>45830</v>
      </c>
      <c r="D2590" s="4">
        <f t="shared" ca="1" si="285"/>
        <v>247</v>
      </c>
      <c r="E2590" s="2">
        <f t="shared" ca="1" si="286"/>
        <v>8438</v>
      </c>
      <c r="F2590" s="2">
        <f t="shared" ca="1" si="287"/>
        <v>18752</v>
      </c>
      <c r="G2590" s="2">
        <f t="shared" ca="1" si="288"/>
        <v>1456</v>
      </c>
    </row>
    <row r="2591" spans="1:7" x14ac:dyDescent="0.3">
      <c r="A2591" s="5" t="str">
        <f t="shared" si="282"/>
        <v>Nike</v>
      </c>
      <c r="B2591" s="5" t="str">
        <f t="shared" si="284"/>
        <v>Cortez</v>
      </c>
      <c r="C2591" s="3">
        <f t="shared" si="283"/>
        <v>45830</v>
      </c>
      <c r="D2591" s="4">
        <f t="shared" ca="1" si="285"/>
        <v>26</v>
      </c>
      <c r="E2591" s="2">
        <f t="shared" ca="1" si="286"/>
        <v>5366</v>
      </c>
      <c r="F2591" s="2">
        <f t="shared" ca="1" si="287"/>
        <v>11907</v>
      </c>
      <c r="G2591" s="2">
        <f t="shared" ca="1" si="288"/>
        <v>296</v>
      </c>
    </row>
    <row r="2592" spans="1:7" x14ac:dyDescent="0.3">
      <c r="A2592" s="5" t="str">
        <f t="shared" si="282"/>
        <v>Adidas</v>
      </c>
      <c r="B2592" s="5" t="str">
        <f t="shared" si="284"/>
        <v>NMD S1</v>
      </c>
      <c r="C2592" s="3">
        <f t="shared" si="283"/>
        <v>45830</v>
      </c>
      <c r="D2592" s="4">
        <f t="shared" ca="1" si="285"/>
        <v>98</v>
      </c>
      <c r="E2592" s="2">
        <f t="shared" ca="1" si="286"/>
        <v>1602</v>
      </c>
      <c r="F2592" s="2">
        <f t="shared" ca="1" si="287"/>
        <v>14966</v>
      </c>
      <c r="G2592" s="2">
        <f t="shared" ca="1" si="288"/>
        <v>966</v>
      </c>
    </row>
    <row r="2593" spans="1:7" x14ac:dyDescent="0.3">
      <c r="A2593" s="5" t="str">
        <f t="shared" si="282"/>
        <v>Puma</v>
      </c>
      <c r="B2593" s="5" t="str">
        <f t="shared" si="284"/>
        <v>Suede Classic</v>
      </c>
      <c r="C2593" s="3">
        <f t="shared" si="283"/>
        <v>45830</v>
      </c>
      <c r="D2593" s="4">
        <f t="shared" ca="1" si="285"/>
        <v>96</v>
      </c>
      <c r="E2593" s="2">
        <f t="shared" ca="1" si="286"/>
        <v>9434</v>
      </c>
      <c r="F2593" s="2">
        <f t="shared" ca="1" si="287"/>
        <v>27204</v>
      </c>
      <c r="G2593" s="2">
        <f t="shared" ca="1" si="288"/>
        <v>2094</v>
      </c>
    </row>
    <row r="2594" spans="1:7" x14ac:dyDescent="0.3">
      <c r="A2594" s="5" t="str">
        <f t="shared" si="282"/>
        <v>New Balance</v>
      </c>
      <c r="B2594" s="5" t="str">
        <f t="shared" si="284"/>
        <v>990v6</v>
      </c>
      <c r="C2594" s="3">
        <f t="shared" si="283"/>
        <v>45830</v>
      </c>
      <c r="D2594" s="4">
        <f t="shared" ca="1" si="285"/>
        <v>143</v>
      </c>
      <c r="E2594" s="2">
        <f t="shared" ca="1" si="286"/>
        <v>1716</v>
      </c>
      <c r="F2594" s="2">
        <f t="shared" ca="1" si="287"/>
        <v>16198</v>
      </c>
      <c r="G2594" s="2">
        <f t="shared" ca="1" si="288"/>
        <v>1124</v>
      </c>
    </row>
    <row r="2595" spans="1:7" x14ac:dyDescent="0.3">
      <c r="A2595" s="5" t="str">
        <f t="shared" si="282"/>
        <v>Reebok</v>
      </c>
      <c r="B2595" s="5" t="str">
        <f t="shared" si="284"/>
        <v>Nano X3</v>
      </c>
      <c r="C2595" s="3">
        <f t="shared" si="283"/>
        <v>45830</v>
      </c>
      <c r="D2595" s="4">
        <f t="shared" ca="1" si="285"/>
        <v>114</v>
      </c>
      <c r="E2595" s="2">
        <f t="shared" ca="1" si="286"/>
        <v>10470</v>
      </c>
      <c r="F2595" s="2">
        <f t="shared" ca="1" si="287"/>
        <v>5567</v>
      </c>
      <c r="G2595" s="2">
        <f t="shared" ca="1" si="288"/>
        <v>357</v>
      </c>
    </row>
    <row r="2596" spans="1:7" x14ac:dyDescent="0.3">
      <c r="A2596" s="5" t="str">
        <f t="shared" si="282"/>
        <v>Nike</v>
      </c>
      <c r="B2596" s="5" t="str">
        <f t="shared" si="284"/>
        <v>Vaporfly 3</v>
      </c>
      <c r="C2596" s="3">
        <f t="shared" si="283"/>
        <v>45830</v>
      </c>
      <c r="D2596" s="4">
        <f t="shared" ca="1" si="285"/>
        <v>89</v>
      </c>
      <c r="E2596" s="2">
        <f t="shared" ca="1" si="286"/>
        <v>5148</v>
      </c>
      <c r="F2596" s="2">
        <f t="shared" ca="1" si="287"/>
        <v>30368</v>
      </c>
      <c r="G2596" s="2">
        <f t="shared" ca="1" si="288"/>
        <v>883</v>
      </c>
    </row>
    <row r="2597" spans="1:7" x14ac:dyDescent="0.3">
      <c r="A2597" s="5" t="str">
        <f t="shared" si="282"/>
        <v>Adidas</v>
      </c>
      <c r="B2597" s="5" t="str">
        <f t="shared" si="284"/>
        <v>Samba</v>
      </c>
      <c r="C2597" s="3">
        <f t="shared" si="283"/>
        <v>45831</v>
      </c>
      <c r="D2597" s="4">
        <f t="shared" ca="1" si="285"/>
        <v>134</v>
      </c>
      <c r="E2597" s="2">
        <f t="shared" ca="1" si="286"/>
        <v>7802</v>
      </c>
      <c r="F2597" s="2">
        <f t="shared" ca="1" si="287"/>
        <v>15070</v>
      </c>
      <c r="G2597" s="2">
        <f t="shared" ca="1" si="288"/>
        <v>807</v>
      </c>
    </row>
    <row r="2598" spans="1:7" x14ac:dyDescent="0.3">
      <c r="A2598" s="5" t="str">
        <f t="shared" si="282"/>
        <v>Puma</v>
      </c>
      <c r="B2598" s="5" t="str">
        <f t="shared" si="284"/>
        <v>Mayze</v>
      </c>
      <c r="C2598" s="3">
        <f t="shared" si="283"/>
        <v>45831</v>
      </c>
      <c r="D2598" s="4">
        <f t="shared" ca="1" si="285"/>
        <v>237</v>
      </c>
      <c r="E2598" s="2">
        <f t="shared" ca="1" si="286"/>
        <v>6556</v>
      </c>
      <c r="F2598" s="2">
        <f t="shared" ca="1" si="287"/>
        <v>24470</v>
      </c>
      <c r="G2598" s="2">
        <f t="shared" ca="1" si="288"/>
        <v>885</v>
      </c>
    </row>
    <row r="2599" spans="1:7" x14ac:dyDescent="0.3">
      <c r="A2599" s="5" t="str">
        <f t="shared" si="282"/>
        <v>New Balance</v>
      </c>
      <c r="B2599" s="5" t="str">
        <f t="shared" si="284"/>
        <v>574 Core</v>
      </c>
      <c r="C2599" s="3">
        <f t="shared" si="283"/>
        <v>45831</v>
      </c>
      <c r="D2599" s="4">
        <f t="shared" ca="1" si="285"/>
        <v>147</v>
      </c>
      <c r="E2599" s="2">
        <f t="shared" ca="1" si="286"/>
        <v>9588</v>
      </c>
      <c r="F2599" s="2">
        <f t="shared" ca="1" si="287"/>
        <v>6031</v>
      </c>
      <c r="G2599" s="2">
        <f t="shared" ca="1" si="288"/>
        <v>328</v>
      </c>
    </row>
    <row r="2600" spans="1:7" x14ac:dyDescent="0.3">
      <c r="A2600" s="5" t="str">
        <f t="shared" si="282"/>
        <v>Reebok</v>
      </c>
      <c r="B2600" s="5" t="str">
        <f t="shared" si="284"/>
        <v>Club C 85</v>
      </c>
      <c r="C2600" s="3">
        <f t="shared" si="283"/>
        <v>45831</v>
      </c>
      <c r="D2600" s="4">
        <f t="shared" ca="1" si="285"/>
        <v>161</v>
      </c>
      <c r="E2600" s="2">
        <f t="shared" ca="1" si="286"/>
        <v>8053</v>
      </c>
      <c r="F2600" s="2">
        <f t="shared" ca="1" si="287"/>
        <v>8474</v>
      </c>
      <c r="G2600" s="2">
        <f t="shared" ca="1" si="288"/>
        <v>652</v>
      </c>
    </row>
    <row r="2601" spans="1:7" x14ac:dyDescent="0.3">
      <c r="A2601" s="5" t="str">
        <f t="shared" si="282"/>
        <v>Nike</v>
      </c>
      <c r="B2601" s="5" t="str">
        <f t="shared" si="284"/>
        <v>Pegasus 40</v>
      </c>
      <c r="C2601" s="3">
        <f t="shared" si="283"/>
        <v>45831</v>
      </c>
      <c r="D2601" s="4">
        <f t="shared" ca="1" si="285"/>
        <v>100</v>
      </c>
      <c r="E2601" s="2">
        <f t="shared" ca="1" si="286"/>
        <v>8946</v>
      </c>
      <c r="F2601" s="2">
        <f t="shared" ca="1" si="287"/>
        <v>22333</v>
      </c>
      <c r="G2601" s="2">
        <f t="shared" ca="1" si="288"/>
        <v>700</v>
      </c>
    </row>
    <row r="2602" spans="1:7" x14ac:dyDescent="0.3">
      <c r="A2602" s="5" t="str">
        <f t="shared" si="282"/>
        <v>Adidas</v>
      </c>
      <c r="B2602" s="5" t="str">
        <f t="shared" si="284"/>
        <v>Gazelle</v>
      </c>
      <c r="C2602" s="3">
        <f t="shared" si="283"/>
        <v>45831</v>
      </c>
      <c r="D2602" s="4">
        <f t="shared" ca="1" si="285"/>
        <v>48</v>
      </c>
      <c r="E2602" s="2">
        <f t="shared" ca="1" si="286"/>
        <v>8045</v>
      </c>
      <c r="F2602" s="2">
        <f t="shared" ca="1" si="287"/>
        <v>16218</v>
      </c>
      <c r="G2602" s="2">
        <f t="shared" ca="1" si="288"/>
        <v>1175</v>
      </c>
    </row>
    <row r="2603" spans="1:7" x14ac:dyDescent="0.3">
      <c r="A2603" s="5" t="str">
        <f t="shared" ref="A2603:A2666" si="289">CHOOSE(MOD(ROW(A2602),5)+1,"Nike","Adidas","Puma","New Balance","Reebok")</f>
        <v>Puma</v>
      </c>
      <c r="B2603" s="5" t="str">
        <f t="shared" si="284"/>
        <v>Slipstream</v>
      </c>
      <c r="C2603" s="3">
        <f t="shared" ref="C2603:C2666" si="290">DATE(2025,1,1)+INT((ROW(A2603)-2)/15)</f>
        <v>45831</v>
      </c>
      <c r="D2603" s="4">
        <f t="shared" ca="1" si="285"/>
        <v>128</v>
      </c>
      <c r="E2603" s="2">
        <f t="shared" ca="1" si="286"/>
        <v>11804</v>
      </c>
      <c r="F2603" s="2">
        <f t="shared" ca="1" si="287"/>
        <v>9982</v>
      </c>
      <c r="G2603" s="2">
        <f t="shared" ca="1" si="288"/>
        <v>792</v>
      </c>
    </row>
    <row r="2604" spans="1:7" x14ac:dyDescent="0.3">
      <c r="A2604" s="5" t="str">
        <f t="shared" si="289"/>
        <v>New Balance</v>
      </c>
      <c r="B2604" s="5" t="str">
        <f t="shared" si="284"/>
        <v>550</v>
      </c>
      <c r="C2604" s="3">
        <f t="shared" si="290"/>
        <v>45831</v>
      </c>
      <c r="D2604" s="4">
        <f t="shared" ca="1" si="285"/>
        <v>92</v>
      </c>
      <c r="E2604" s="2">
        <f t="shared" ca="1" si="286"/>
        <v>2800</v>
      </c>
      <c r="F2604" s="2">
        <f t="shared" ca="1" si="287"/>
        <v>26075</v>
      </c>
      <c r="G2604" s="2">
        <f t="shared" ca="1" si="288"/>
        <v>1517</v>
      </c>
    </row>
    <row r="2605" spans="1:7" x14ac:dyDescent="0.3">
      <c r="A2605" s="5" t="str">
        <f t="shared" si="289"/>
        <v>Reebok</v>
      </c>
      <c r="B2605" s="5" t="str">
        <f t="shared" si="284"/>
        <v>Classic Leather</v>
      </c>
      <c r="C2605" s="3">
        <f t="shared" si="290"/>
        <v>45831</v>
      </c>
      <c r="D2605" s="4">
        <f t="shared" ca="1" si="285"/>
        <v>59</v>
      </c>
      <c r="E2605" s="2">
        <f t="shared" ca="1" si="286"/>
        <v>4580</v>
      </c>
      <c r="F2605" s="2">
        <f t="shared" ca="1" si="287"/>
        <v>14421</v>
      </c>
      <c r="G2605" s="2">
        <f t="shared" ca="1" si="288"/>
        <v>877</v>
      </c>
    </row>
    <row r="2606" spans="1:7" x14ac:dyDescent="0.3">
      <c r="A2606" s="5" t="str">
        <f t="shared" si="289"/>
        <v>Nike</v>
      </c>
      <c r="B2606" s="5" t="str">
        <f t="shared" si="284"/>
        <v>Air Force 1</v>
      </c>
      <c r="C2606" s="3">
        <f t="shared" si="290"/>
        <v>45831</v>
      </c>
      <c r="D2606" s="4">
        <f t="shared" ca="1" si="285"/>
        <v>76</v>
      </c>
      <c r="E2606" s="2">
        <f t="shared" ca="1" si="286"/>
        <v>4792</v>
      </c>
      <c r="F2606" s="2">
        <f t="shared" ca="1" si="287"/>
        <v>8525</v>
      </c>
      <c r="G2606" s="2">
        <f t="shared" ca="1" si="288"/>
        <v>503</v>
      </c>
    </row>
    <row r="2607" spans="1:7" x14ac:dyDescent="0.3">
      <c r="A2607" s="5" t="str">
        <f t="shared" si="289"/>
        <v>Adidas</v>
      </c>
      <c r="B2607" s="5" t="str">
        <f t="shared" si="284"/>
        <v>Superstar</v>
      </c>
      <c r="C2607" s="3">
        <f t="shared" si="290"/>
        <v>45831</v>
      </c>
      <c r="D2607" s="4">
        <f t="shared" ca="1" si="285"/>
        <v>176</v>
      </c>
      <c r="E2607" s="2">
        <f t="shared" ca="1" si="286"/>
        <v>6438</v>
      </c>
      <c r="F2607" s="2">
        <f t="shared" ca="1" si="287"/>
        <v>30661</v>
      </c>
      <c r="G2607" s="2">
        <f t="shared" ca="1" si="288"/>
        <v>651</v>
      </c>
    </row>
    <row r="2608" spans="1:7" x14ac:dyDescent="0.3">
      <c r="A2608" s="5" t="str">
        <f t="shared" si="289"/>
        <v>Puma</v>
      </c>
      <c r="B2608" s="5" t="str">
        <f t="shared" si="284"/>
        <v>Rider Vintage</v>
      </c>
      <c r="C2608" s="3">
        <f t="shared" si="290"/>
        <v>45831</v>
      </c>
      <c r="D2608" s="4">
        <f t="shared" ca="1" si="285"/>
        <v>237</v>
      </c>
      <c r="E2608" s="2">
        <f t="shared" ca="1" si="286"/>
        <v>5186</v>
      </c>
      <c r="F2608" s="2">
        <f t="shared" ca="1" si="287"/>
        <v>11743</v>
      </c>
      <c r="G2608" s="2">
        <f t="shared" ca="1" si="288"/>
        <v>862</v>
      </c>
    </row>
    <row r="2609" spans="1:7" x14ac:dyDescent="0.3">
      <c r="A2609" s="5" t="str">
        <f t="shared" si="289"/>
        <v>New Balance</v>
      </c>
      <c r="B2609" s="5" t="str">
        <f t="shared" si="284"/>
        <v>327</v>
      </c>
      <c r="C2609" s="3">
        <f t="shared" si="290"/>
        <v>45831</v>
      </c>
      <c r="D2609" s="4">
        <f t="shared" ca="1" si="285"/>
        <v>28</v>
      </c>
      <c r="E2609" s="2">
        <f t="shared" ca="1" si="286"/>
        <v>8627</v>
      </c>
      <c r="F2609" s="2">
        <f t="shared" ca="1" si="287"/>
        <v>34124</v>
      </c>
      <c r="G2609" s="2">
        <f t="shared" ca="1" si="288"/>
        <v>2205</v>
      </c>
    </row>
    <row r="2610" spans="1:7" x14ac:dyDescent="0.3">
      <c r="A2610" s="5" t="str">
        <f t="shared" si="289"/>
        <v>Reebok</v>
      </c>
      <c r="B2610" s="5" t="str">
        <f t="shared" si="284"/>
        <v>Question Mid</v>
      </c>
      <c r="C2610" s="3">
        <f t="shared" si="290"/>
        <v>45831</v>
      </c>
      <c r="D2610" s="4">
        <f t="shared" ca="1" si="285"/>
        <v>168</v>
      </c>
      <c r="E2610" s="2">
        <f t="shared" ca="1" si="286"/>
        <v>7167</v>
      </c>
      <c r="F2610" s="2">
        <f t="shared" ca="1" si="287"/>
        <v>30792</v>
      </c>
      <c r="G2610" s="2">
        <f t="shared" ca="1" si="288"/>
        <v>620</v>
      </c>
    </row>
    <row r="2611" spans="1:7" x14ac:dyDescent="0.3">
      <c r="A2611" s="5" t="str">
        <f t="shared" si="289"/>
        <v>Nike</v>
      </c>
      <c r="B2611" s="5" t="str">
        <f t="shared" si="284"/>
        <v>Air Max 270</v>
      </c>
      <c r="C2611" s="3">
        <f t="shared" si="290"/>
        <v>45831</v>
      </c>
      <c r="D2611" s="4">
        <f t="shared" ca="1" si="285"/>
        <v>83</v>
      </c>
      <c r="E2611" s="2">
        <f t="shared" ca="1" si="286"/>
        <v>4471</v>
      </c>
      <c r="F2611" s="2">
        <f t="shared" ca="1" si="287"/>
        <v>16625</v>
      </c>
      <c r="G2611" s="2">
        <f t="shared" ca="1" si="288"/>
        <v>1139</v>
      </c>
    </row>
    <row r="2612" spans="1:7" x14ac:dyDescent="0.3">
      <c r="A2612" s="5" t="str">
        <f t="shared" si="289"/>
        <v>Adidas</v>
      </c>
      <c r="B2612" s="5" t="str">
        <f t="shared" si="284"/>
        <v>Stan Smith</v>
      </c>
      <c r="C2612" s="3">
        <f t="shared" si="290"/>
        <v>45832</v>
      </c>
      <c r="D2612" s="4">
        <f t="shared" ca="1" si="285"/>
        <v>225</v>
      </c>
      <c r="E2612" s="2">
        <f t="shared" ca="1" si="286"/>
        <v>11542</v>
      </c>
      <c r="F2612" s="2">
        <f t="shared" ca="1" si="287"/>
        <v>18566</v>
      </c>
      <c r="G2612" s="2">
        <f t="shared" ca="1" si="288"/>
        <v>1065</v>
      </c>
    </row>
    <row r="2613" spans="1:7" x14ac:dyDescent="0.3">
      <c r="A2613" s="5" t="str">
        <f t="shared" si="289"/>
        <v>Puma</v>
      </c>
      <c r="B2613" s="5" t="str">
        <f t="shared" si="284"/>
        <v>Cali Dream</v>
      </c>
      <c r="C2613" s="3">
        <f t="shared" si="290"/>
        <v>45832</v>
      </c>
      <c r="D2613" s="4">
        <f t="shared" ca="1" si="285"/>
        <v>158</v>
      </c>
      <c r="E2613" s="2">
        <f t="shared" ca="1" si="286"/>
        <v>11286</v>
      </c>
      <c r="F2613" s="2">
        <f t="shared" ca="1" si="287"/>
        <v>26156</v>
      </c>
      <c r="G2613" s="2">
        <f t="shared" ca="1" si="288"/>
        <v>1093</v>
      </c>
    </row>
    <row r="2614" spans="1:7" x14ac:dyDescent="0.3">
      <c r="A2614" s="5" t="str">
        <f t="shared" si="289"/>
        <v>New Balance</v>
      </c>
      <c r="B2614" s="5" t="str">
        <f t="shared" si="284"/>
        <v>9060</v>
      </c>
      <c r="C2614" s="3">
        <f t="shared" si="290"/>
        <v>45832</v>
      </c>
      <c r="D2614" s="4">
        <f t="shared" ca="1" si="285"/>
        <v>239</v>
      </c>
      <c r="E2614" s="2">
        <f t="shared" ca="1" si="286"/>
        <v>4559</v>
      </c>
      <c r="F2614" s="2">
        <f t="shared" ca="1" si="287"/>
        <v>22535</v>
      </c>
      <c r="G2614" s="2">
        <f t="shared" ca="1" si="288"/>
        <v>783</v>
      </c>
    </row>
    <row r="2615" spans="1:7" x14ac:dyDescent="0.3">
      <c r="A2615" s="5" t="str">
        <f t="shared" si="289"/>
        <v>Reebok</v>
      </c>
      <c r="B2615" s="5" t="str">
        <f t="shared" si="284"/>
        <v>Zig Kinetica</v>
      </c>
      <c r="C2615" s="3">
        <f t="shared" si="290"/>
        <v>45832</v>
      </c>
      <c r="D2615" s="4">
        <f t="shared" ca="1" si="285"/>
        <v>26</v>
      </c>
      <c r="E2615" s="2">
        <f t="shared" ca="1" si="286"/>
        <v>3783</v>
      </c>
      <c r="F2615" s="2">
        <f t="shared" ca="1" si="287"/>
        <v>24556</v>
      </c>
      <c r="G2615" s="2">
        <f t="shared" ca="1" si="288"/>
        <v>1667</v>
      </c>
    </row>
    <row r="2616" spans="1:7" x14ac:dyDescent="0.3">
      <c r="A2616" s="5" t="str">
        <f t="shared" si="289"/>
        <v>Nike</v>
      </c>
      <c r="B2616" s="5" t="str">
        <f t="shared" si="284"/>
        <v>Jordan 1</v>
      </c>
      <c r="C2616" s="3">
        <f t="shared" si="290"/>
        <v>45832</v>
      </c>
      <c r="D2616" s="4">
        <f t="shared" ca="1" si="285"/>
        <v>161</v>
      </c>
      <c r="E2616" s="2">
        <f t="shared" ca="1" si="286"/>
        <v>3008</v>
      </c>
      <c r="F2616" s="2">
        <f t="shared" ca="1" si="287"/>
        <v>17055</v>
      </c>
      <c r="G2616" s="2">
        <f t="shared" ca="1" si="288"/>
        <v>363</v>
      </c>
    </row>
    <row r="2617" spans="1:7" x14ac:dyDescent="0.3">
      <c r="A2617" s="5" t="str">
        <f t="shared" si="289"/>
        <v>Adidas</v>
      </c>
      <c r="B2617" s="5" t="str">
        <f t="shared" si="284"/>
        <v>Ultraboost 23</v>
      </c>
      <c r="C2617" s="3">
        <f t="shared" si="290"/>
        <v>45832</v>
      </c>
      <c r="D2617" s="4">
        <f t="shared" ca="1" si="285"/>
        <v>21</v>
      </c>
      <c r="E2617" s="2">
        <f t="shared" ca="1" si="286"/>
        <v>2790</v>
      </c>
      <c r="F2617" s="2">
        <f t="shared" ca="1" si="287"/>
        <v>21389</v>
      </c>
      <c r="G2617" s="2">
        <f t="shared" ca="1" si="288"/>
        <v>1082</v>
      </c>
    </row>
    <row r="2618" spans="1:7" x14ac:dyDescent="0.3">
      <c r="A2618" s="5" t="str">
        <f t="shared" si="289"/>
        <v>Puma</v>
      </c>
      <c r="B2618" s="5" t="str">
        <f t="shared" si="284"/>
        <v>RS-X</v>
      </c>
      <c r="C2618" s="3">
        <f t="shared" si="290"/>
        <v>45832</v>
      </c>
      <c r="D2618" s="4">
        <f t="shared" ca="1" si="285"/>
        <v>118</v>
      </c>
      <c r="E2618" s="2">
        <f t="shared" ca="1" si="286"/>
        <v>11093</v>
      </c>
      <c r="F2618" s="2">
        <f t="shared" ca="1" si="287"/>
        <v>27499</v>
      </c>
      <c r="G2618" s="2">
        <f t="shared" ca="1" si="288"/>
        <v>1889</v>
      </c>
    </row>
    <row r="2619" spans="1:7" x14ac:dyDescent="0.3">
      <c r="A2619" s="5" t="str">
        <f t="shared" si="289"/>
        <v>New Balance</v>
      </c>
      <c r="B2619" s="5" t="str">
        <f t="shared" si="284"/>
        <v>2002R</v>
      </c>
      <c r="C2619" s="3">
        <f t="shared" si="290"/>
        <v>45832</v>
      </c>
      <c r="D2619" s="4">
        <f t="shared" ca="1" si="285"/>
        <v>128</v>
      </c>
      <c r="E2619" s="2">
        <f t="shared" ca="1" si="286"/>
        <v>6322</v>
      </c>
      <c r="F2619" s="2">
        <f t="shared" ca="1" si="287"/>
        <v>5484</v>
      </c>
      <c r="G2619" s="2">
        <f t="shared" ca="1" si="288"/>
        <v>207</v>
      </c>
    </row>
    <row r="2620" spans="1:7" x14ac:dyDescent="0.3">
      <c r="A2620" s="5" t="str">
        <f t="shared" si="289"/>
        <v>Reebok</v>
      </c>
      <c r="B2620" s="5" t="str">
        <f t="shared" si="284"/>
        <v>Instapump Fury</v>
      </c>
      <c r="C2620" s="3">
        <f t="shared" si="290"/>
        <v>45832</v>
      </c>
      <c r="D2620" s="4">
        <f t="shared" ca="1" si="285"/>
        <v>141</v>
      </c>
      <c r="E2620" s="2">
        <f t="shared" ca="1" si="286"/>
        <v>2696</v>
      </c>
      <c r="F2620" s="2">
        <f t="shared" ca="1" si="287"/>
        <v>34108</v>
      </c>
      <c r="G2620" s="2">
        <f t="shared" ca="1" si="288"/>
        <v>2147</v>
      </c>
    </row>
    <row r="2621" spans="1:7" x14ac:dyDescent="0.3">
      <c r="A2621" s="5" t="str">
        <f t="shared" si="289"/>
        <v>Nike</v>
      </c>
      <c r="B2621" s="5" t="str">
        <f t="shared" si="284"/>
        <v>Cortez</v>
      </c>
      <c r="C2621" s="3">
        <f t="shared" si="290"/>
        <v>45832</v>
      </c>
      <c r="D2621" s="4">
        <f t="shared" ca="1" si="285"/>
        <v>214</v>
      </c>
      <c r="E2621" s="2">
        <f t="shared" ca="1" si="286"/>
        <v>6901</v>
      </c>
      <c r="F2621" s="2">
        <f t="shared" ca="1" si="287"/>
        <v>20175</v>
      </c>
      <c r="G2621" s="2">
        <f t="shared" ca="1" si="288"/>
        <v>1123</v>
      </c>
    </row>
    <row r="2622" spans="1:7" x14ac:dyDescent="0.3">
      <c r="A2622" s="5" t="str">
        <f t="shared" si="289"/>
        <v>Adidas</v>
      </c>
      <c r="B2622" s="5" t="str">
        <f t="shared" si="284"/>
        <v>NMD S1</v>
      </c>
      <c r="C2622" s="3">
        <f t="shared" si="290"/>
        <v>45832</v>
      </c>
      <c r="D2622" s="4">
        <f t="shared" ca="1" si="285"/>
        <v>109</v>
      </c>
      <c r="E2622" s="2">
        <f t="shared" ca="1" si="286"/>
        <v>5478</v>
      </c>
      <c r="F2622" s="2">
        <f t="shared" ca="1" si="287"/>
        <v>32044</v>
      </c>
      <c r="G2622" s="2">
        <f t="shared" ca="1" si="288"/>
        <v>2282</v>
      </c>
    </row>
    <row r="2623" spans="1:7" x14ac:dyDescent="0.3">
      <c r="A2623" s="5" t="str">
        <f t="shared" si="289"/>
        <v>Puma</v>
      </c>
      <c r="B2623" s="5" t="str">
        <f t="shared" si="284"/>
        <v>Suede Classic</v>
      </c>
      <c r="C2623" s="3">
        <f t="shared" si="290"/>
        <v>45832</v>
      </c>
      <c r="D2623" s="4">
        <f t="shared" ca="1" si="285"/>
        <v>222</v>
      </c>
      <c r="E2623" s="2">
        <f t="shared" ca="1" si="286"/>
        <v>8055</v>
      </c>
      <c r="F2623" s="2">
        <f t="shared" ca="1" si="287"/>
        <v>14109</v>
      </c>
      <c r="G2623" s="2">
        <f t="shared" ca="1" si="288"/>
        <v>381</v>
      </c>
    </row>
    <row r="2624" spans="1:7" x14ac:dyDescent="0.3">
      <c r="A2624" s="5" t="str">
        <f t="shared" si="289"/>
        <v>New Balance</v>
      </c>
      <c r="B2624" s="5" t="str">
        <f t="shared" si="284"/>
        <v>990v6</v>
      </c>
      <c r="C2624" s="3">
        <f t="shared" si="290"/>
        <v>45832</v>
      </c>
      <c r="D2624" s="4">
        <f t="shared" ca="1" si="285"/>
        <v>44</v>
      </c>
      <c r="E2624" s="2">
        <f t="shared" ca="1" si="286"/>
        <v>5418</v>
      </c>
      <c r="F2624" s="2">
        <f t="shared" ca="1" si="287"/>
        <v>19402</v>
      </c>
      <c r="G2624" s="2">
        <f t="shared" ca="1" si="288"/>
        <v>442</v>
      </c>
    </row>
    <row r="2625" spans="1:7" x14ac:dyDescent="0.3">
      <c r="A2625" s="5" t="str">
        <f t="shared" si="289"/>
        <v>Reebok</v>
      </c>
      <c r="B2625" s="5" t="str">
        <f t="shared" si="284"/>
        <v>Nano X3</v>
      </c>
      <c r="C2625" s="3">
        <f t="shared" si="290"/>
        <v>45832</v>
      </c>
      <c r="D2625" s="4">
        <f t="shared" ca="1" si="285"/>
        <v>195</v>
      </c>
      <c r="E2625" s="2">
        <f t="shared" ca="1" si="286"/>
        <v>2935</v>
      </c>
      <c r="F2625" s="2">
        <f t="shared" ca="1" si="287"/>
        <v>19496</v>
      </c>
      <c r="G2625" s="2">
        <f t="shared" ca="1" si="288"/>
        <v>1410</v>
      </c>
    </row>
    <row r="2626" spans="1:7" x14ac:dyDescent="0.3">
      <c r="A2626" s="5" t="str">
        <f t="shared" si="289"/>
        <v>Nike</v>
      </c>
      <c r="B2626" s="5" t="str">
        <f t="shared" si="284"/>
        <v>Vaporfly 3</v>
      </c>
      <c r="C2626" s="3">
        <f t="shared" si="290"/>
        <v>45832</v>
      </c>
      <c r="D2626" s="4">
        <f t="shared" ca="1" si="285"/>
        <v>238</v>
      </c>
      <c r="E2626" s="2">
        <f t="shared" ca="1" si="286"/>
        <v>3822</v>
      </c>
      <c r="F2626" s="2">
        <f t="shared" ca="1" si="287"/>
        <v>6154</v>
      </c>
      <c r="G2626" s="2">
        <f t="shared" ca="1" si="288"/>
        <v>377</v>
      </c>
    </row>
    <row r="2627" spans="1:7" x14ac:dyDescent="0.3">
      <c r="A2627" s="5" t="str">
        <f t="shared" si="289"/>
        <v>Adidas</v>
      </c>
      <c r="B2627" s="5" t="str">
        <f t="shared" ref="B2627:B2690" si="291">IF(A2627="Nike",CHOOSE(MOD(ROW(A2626),6)+1,"Air Max 270","Air Force 1","Pegasus 40","Vaporfly 3","Cortez","Jordan 1"),
 IF(A2627="Adidas",CHOOSE(MOD(ROW(A2626),6)+1,"Ultraboost 23","Stan Smith","Superstar","Gazelle","Samba","NMD S1"),
 IF(A2627="Puma",CHOOSE(MOD(ROW(A2626),6)+1,"Suede Classic","RS-X","Cali Dream","Rider Vintage","Slipstream","Mayze"),
 IF(A2627="New Balance",CHOOSE(MOD(ROW(A2626),6)+1,"574 Core","990v6","2002R","9060","327","550"),
 IF(A2627="Reebok",CHOOSE(MOD(ROW(A2626),6)+1,"Classic Leather","Club C 85","Nano X3","Instapump Fury","Zig Kinetica","Question Mid"),"")))))</f>
        <v>Samba</v>
      </c>
      <c r="C2627" s="3">
        <f t="shared" si="290"/>
        <v>45833</v>
      </c>
      <c r="D2627" s="4">
        <f t="shared" ref="D2627:D2690" ca="1" si="292">RANDBETWEEN(20,250)</f>
        <v>56</v>
      </c>
      <c r="E2627" s="2">
        <f t="shared" ref="E2627:E2690" ca="1" si="293">ROUND(RANDBETWEEN(1500,12000)+(RANDBETWEEN(-200,200)),2)</f>
        <v>11090</v>
      </c>
      <c r="F2627" s="2">
        <f t="shared" ref="F2627:F2690" ca="1" si="294">RANDBETWEEN(5000,35000)</f>
        <v>20818</v>
      </c>
      <c r="G2627" s="2">
        <f t="shared" ref="G2627:G2690" ca="1" si="295">RANDBETWEEN(ROUND(F2627*0.02,0),ROUND(F2627*0.08,0))</f>
        <v>1359</v>
      </c>
    </row>
    <row r="2628" spans="1:7" x14ac:dyDescent="0.3">
      <c r="A2628" s="5" t="str">
        <f t="shared" si="289"/>
        <v>Puma</v>
      </c>
      <c r="B2628" s="5" t="str">
        <f t="shared" si="291"/>
        <v>Mayze</v>
      </c>
      <c r="C2628" s="3">
        <f t="shared" si="290"/>
        <v>45833</v>
      </c>
      <c r="D2628" s="4">
        <f t="shared" ca="1" si="292"/>
        <v>154</v>
      </c>
      <c r="E2628" s="2">
        <f t="shared" ca="1" si="293"/>
        <v>8303</v>
      </c>
      <c r="F2628" s="2">
        <f t="shared" ca="1" si="294"/>
        <v>14228</v>
      </c>
      <c r="G2628" s="2">
        <f t="shared" ca="1" si="295"/>
        <v>509</v>
      </c>
    </row>
    <row r="2629" spans="1:7" x14ac:dyDescent="0.3">
      <c r="A2629" s="5" t="str">
        <f t="shared" si="289"/>
        <v>New Balance</v>
      </c>
      <c r="B2629" s="5" t="str">
        <f t="shared" si="291"/>
        <v>574 Core</v>
      </c>
      <c r="C2629" s="3">
        <f t="shared" si="290"/>
        <v>45833</v>
      </c>
      <c r="D2629" s="4">
        <f t="shared" ca="1" si="292"/>
        <v>194</v>
      </c>
      <c r="E2629" s="2">
        <f t="shared" ca="1" si="293"/>
        <v>1501</v>
      </c>
      <c r="F2629" s="2">
        <f t="shared" ca="1" si="294"/>
        <v>28122</v>
      </c>
      <c r="G2629" s="2">
        <f t="shared" ca="1" si="295"/>
        <v>1602</v>
      </c>
    </row>
    <row r="2630" spans="1:7" x14ac:dyDescent="0.3">
      <c r="A2630" s="5" t="str">
        <f t="shared" si="289"/>
        <v>Reebok</v>
      </c>
      <c r="B2630" s="5" t="str">
        <f t="shared" si="291"/>
        <v>Club C 85</v>
      </c>
      <c r="C2630" s="3">
        <f t="shared" si="290"/>
        <v>45833</v>
      </c>
      <c r="D2630" s="4">
        <f t="shared" ca="1" si="292"/>
        <v>33</v>
      </c>
      <c r="E2630" s="2">
        <f t="shared" ca="1" si="293"/>
        <v>10799</v>
      </c>
      <c r="F2630" s="2">
        <f t="shared" ca="1" si="294"/>
        <v>33113</v>
      </c>
      <c r="G2630" s="2">
        <f t="shared" ca="1" si="295"/>
        <v>1653</v>
      </c>
    </row>
    <row r="2631" spans="1:7" x14ac:dyDescent="0.3">
      <c r="A2631" s="5" t="str">
        <f t="shared" si="289"/>
        <v>Nike</v>
      </c>
      <c r="B2631" s="5" t="str">
        <f t="shared" si="291"/>
        <v>Pegasus 40</v>
      </c>
      <c r="C2631" s="3">
        <f t="shared" si="290"/>
        <v>45833</v>
      </c>
      <c r="D2631" s="4">
        <f t="shared" ca="1" si="292"/>
        <v>195</v>
      </c>
      <c r="E2631" s="2">
        <f t="shared" ca="1" si="293"/>
        <v>6626</v>
      </c>
      <c r="F2631" s="2">
        <f t="shared" ca="1" si="294"/>
        <v>8225</v>
      </c>
      <c r="G2631" s="2">
        <f t="shared" ca="1" si="295"/>
        <v>202</v>
      </c>
    </row>
    <row r="2632" spans="1:7" x14ac:dyDescent="0.3">
      <c r="A2632" s="5" t="str">
        <f t="shared" si="289"/>
        <v>Adidas</v>
      </c>
      <c r="B2632" s="5" t="str">
        <f t="shared" si="291"/>
        <v>Gazelle</v>
      </c>
      <c r="C2632" s="3">
        <f t="shared" si="290"/>
        <v>45833</v>
      </c>
      <c r="D2632" s="4">
        <f t="shared" ca="1" si="292"/>
        <v>197</v>
      </c>
      <c r="E2632" s="2">
        <f t="shared" ca="1" si="293"/>
        <v>9427</v>
      </c>
      <c r="F2632" s="2">
        <f t="shared" ca="1" si="294"/>
        <v>16122</v>
      </c>
      <c r="G2632" s="2">
        <f t="shared" ca="1" si="295"/>
        <v>832</v>
      </c>
    </row>
    <row r="2633" spans="1:7" x14ac:dyDescent="0.3">
      <c r="A2633" s="5" t="str">
        <f t="shared" si="289"/>
        <v>Puma</v>
      </c>
      <c r="B2633" s="5" t="str">
        <f t="shared" si="291"/>
        <v>Slipstream</v>
      </c>
      <c r="C2633" s="3">
        <f t="shared" si="290"/>
        <v>45833</v>
      </c>
      <c r="D2633" s="4">
        <f t="shared" ca="1" si="292"/>
        <v>57</v>
      </c>
      <c r="E2633" s="2">
        <f t="shared" ca="1" si="293"/>
        <v>10016</v>
      </c>
      <c r="F2633" s="2">
        <f t="shared" ca="1" si="294"/>
        <v>9190</v>
      </c>
      <c r="G2633" s="2">
        <f t="shared" ca="1" si="295"/>
        <v>319</v>
      </c>
    </row>
    <row r="2634" spans="1:7" x14ac:dyDescent="0.3">
      <c r="A2634" s="5" t="str">
        <f t="shared" si="289"/>
        <v>New Balance</v>
      </c>
      <c r="B2634" s="5" t="str">
        <f t="shared" si="291"/>
        <v>550</v>
      </c>
      <c r="C2634" s="3">
        <f t="shared" si="290"/>
        <v>45833</v>
      </c>
      <c r="D2634" s="4">
        <f t="shared" ca="1" si="292"/>
        <v>78</v>
      </c>
      <c r="E2634" s="2">
        <f t="shared" ca="1" si="293"/>
        <v>10261</v>
      </c>
      <c r="F2634" s="2">
        <f t="shared" ca="1" si="294"/>
        <v>13140</v>
      </c>
      <c r="G2634" s="2">
        <f t="shared" ca="1" si="295"/>
        <v>660</v>
      </c>
    </row>
    <row r="2635" spans="1:7" x14ac:dyDescent="0.3">
      <c r="A2635" s="5" t="str">
        <f t="shared" si="289"/>
        <v>Reebok</v>
      </c>
      <c r="B2635" s="5" t="str">
        <f t="shared" si="291"/>
        <v>Classic Leather</v>
      </c>
      <c r="C2635" s="3">
        <f t="shared" si="290"/>
        <v>45833</v>
      </c>
      <c r="D2635" s="4">
        <f t="shared" ca="1" si="292"/>
        <v>201</v>
      </c>
      <c r="E2635" s="2">
        <f t="shared" ca="1" si="293"/>
        <v>2992</v>
      </c>
      <c r="F2635" s="2">
        <f t="shared" ca="1" si="294"/>
        <v>29433</v>
      </c>
      <c r="G2635" s="2">
        <f t="shared" ca="1" si="295"/>
        <v>1553</v>
      </c>
    </row>
    <row r="2636" spans="1:7" x14ac:dyDescent="0.3">
      <c r="A2636" s="5" t="str">
        <f t="shared" si="289"/>
        <v>Nike</v>
      </c>
      <c r="B2636" s="5" t="str">
        <f t="shared" si="291"/>
        <v>Air Force 1</v>
      </c>
      <c r="C2636" s="3">
        <f t="shared" si="290"/>
        <v>45833</v>
      </c>
      <c r="D2636" s="4">
        <f t="shared" ca="1" si="292"/>
        <v>71</v>
      </c>
      <c r="E2636" s="2">
        <f t="shared" ca="1" si="293"/>
        <v>1818</v>
      </c>
      <c r="F2636" s="2">
        <f t="shared" ca="1" si="294"/>
        <v>23014</v>
      </c>
      <c r="G2636" s="2">
        <f t="shared" ca="1" si="295"/>
        <v>1650</v>
      </c>
    </row>
    <row r="2637" spans="1:7" x14ac:dyDescent="0.3">
      <c r="A2637" s="5" t="str">
        <f t="shared" si="289"/>
        <v>Adidas</v>
      </c>
      <c r="B2637" s="5" t="str">
        <f t="shared" si="291"/>
        <v>Superstar</v>
      </c>
      <c r="C2637" s="3">
        <f t="shared" si="290"/>
        <v>45833</v>
      </c>
      <c r="D2637" s="4">
        <f t="shared" ca="1" si="292"/>
        <v>248</v>
      </c>
      <c r="E2637" s="2">
        <f t="shared" ca="1" si="293"/>
        <v>5423</v>
      </c>
      <c r="F2637" s="2">
        <f t="shared" ca="1" si="294"/>
        <v>5263</v>
      </c>
      <c r="G2637" s="2">
        <f t="shared" ca="1" si="295"/>
        <v>154</v>
      </c>
    </row>
    <row r="2638" spans="1:7" x14ac:dyDescent="0.3">
      <c r="A2638" s="5" t="str">
        <f t="shared" si="289"/>
        <v>Puma</v>
      </c>
      <c r="B2638" s="5" t="str">
        <f t="shared" si="291"/>
        <v>Rider Vintage</v>
      </c>
      <c r="C2638" s="3">
        <f t="shared" si="290"/>
        <v>45833</v>
      </c>
      <c r="D2638" s="4">
        <f t="shared" ca="1" si="292"/>
        <v>250</v>
      </c>
      <c r="E2638" s="2">
        <f t="shared" ca="1" si="293"/>
        <v>5191</v>
      </c>
      <c r="F2638" s="2">
        <f t="shared" ca="1" si="294"/>
        <v>31820</v>
      </c>
      <c r="G2638" s="2">
        <f t="shared" ca="1" si="295"/>
        <v>2483</v>
      </c>
    </row>
    <row r="2639" spans="1:7" x14ac:dyDescent="0.3">
      <c r="A2639" s="5" t="str">
        <f t="shared" si="289"/>
        <v>New Balance</v>
      </c>
      <c r="B2639" s="5" t="str">
        <f t="shared" si="291"/>
        <v>327</v>
      </c>
      <c r="C2639" s="3">
        <f t="shared" si="290"/>
        <v>45833</v>
      </c>
      <c r="D2639" s="4">
        <f t="shared" ca="1" si="292"/>
        <v>161</v>
      </c>
      <c r="E2639" s="2">
        <f t="shared" ca="1" si="293"/>
        <v>3699</v>
      </c>
      <c r="F2639" s="2">
        <f t="shared" ca="1" si="294"/>
        <v>12486</v>
      </c>
      <c r="G2639" s="2">
        <f t="shared" ca="1" si="295"/>
        <v>726</v>
      </c>
    </row>
    <row r="2640" spans="1:7" x14ac:dyDescent="0.3">
      <c r="A2640" s="5" t="str">
        <f t="shared" si="289"/>
        <v>Reebok</v>
      </c>
      <c r="B2640" s="5" t="str">
        <f t="shared" si="291"/>
        <v>Question Mid</v>
      </c>
      <c r="C2640" s="3">
        <f t="shared" si="290"/>
        <v>45833</v>
      </c>
      <c r="D2640" s="4">
        <f t="shared" ca="1" si="292"/>
        <v>55</v>
      </c>
      <c r="E2640" s="2">
        <f t="shared" ca="1" si="293"/>
        <v>4807</v>
      </c>
      <c r="F2640" s="2">
        <f t="shared" ca="1" si="294"/>
        <v>18543</v>
      </c>
      <c r="G2640" s="2">
        <f t="shared" ca="1" si="295"/>
        <v>1087</v>
      </c>
    </row>
    <row r="2641" spans="1:7" x14ac:dyDescent="0.3">
      <c r="A2641" s="5" t="str">
        <f t="shared" si="289"/>
        <v>Nike</v>
      </c>
      <c r="B2641" s="5" t="str">
        <f t="shared" si="291"/>
        <v>Air Max 270</v>
      </c>
      <c r="C2641" s="3">
        <f t="shared" si="290"/>
        <v>45833</v>
      </c>
      <c r="D2641" s="4">
        <f t="shared" ca="1" si="292"/>
        <v>86</v>
      </c>
      <c r="E2641" s="2">
        <f t="shared" ca="1" si="293"/>
        <v>5042</v>
      </c>
      <c r="F2641" s="2">
        <f t="shared" ca="1" si="294"/>
        <v>11216</v>
      </c>
      <c r="G2641" s="2">
        <f t="shared" ca="1" si="295"/>
        <v>727</v>
      </c>
    </row>
    <row r="2642" spans="1:7" x14ac:dyDescent="0.3">
      <c r="A2642" s="5" t="str">
        <f t="shared" si="289"/>
        <v>Adidas</v>
      </c>
      <c r="B2642" s="5" t="str">
        <f t="shared" si="291"/>
        <v>Stan Smith</v>
      </c>
      <c r="C2642" s="3">
        <f t="shared" si="290"/>
        <v>45834</v>
      </c>
      <c r="D2642" s="4">
        <f t="shared" ca="1" si="292"/>
        <v>102</v>
      </c>
      <c r="E2642" s="2">
        <f t="shared" ca="1" si="293"/>
        <v>8447</v>
      </c>
      <c r="F2642" s="2">
        <f t="shared" ca="1" si="294"/>
        <v>20301</v>
      </c>
      <c r="G2642" s="2">
        <f t="shared" ca="1" si="295"/>
        <v>866</v>
      </c>
    </row>
    <row r="2643" spans="1:7" x14ac:dyDescent="0.3">
      <c r="A2643" s="5" t="str">
        <f t="shared" si="289"/>
        <v>Puma</v>
      </c>
      <c r="B2643" s="5" t="str">
        <f t="shared" si="291"/>
        <v>Cali Dream</v>
      </c>
      <c r="C2643" s="3">
        <f t="shared" si="290"/>
        <v>45834</v>
      </c>
      <c r="D2643" s="4">
        <f t="shared" ca="1" si="292"/>
        <v>153</v>
      </c>
      <c r="E2643" s="2">
        <f t="shared" ca="1" si="293"/>
        <v>5080</v>
      </c>
      <c r="F2643" s="2">
        <f t="shared" ca="1" si="294"/>
        <v>22225</v>
      </c>
      <c r="G2643" s="2">
        <f t="shared" ca="1" si="295"/>
        <v>708</v>
      </c>
    </row>
    <row r="2644" spans="1:7" x14ac:dyDescent="0.3">
      <c r="A2644" s="5" t="str">
        <f t="shared" si="289"/>
        <v>New Balance</v>
      </c>
      <c r="B2644" s="5" t="str">
        <f t="shared" si="291"/>
        <v>9060</v>
      </c>
      <c r="C2644" s="3">
        <f t="shared" si="290"/>
        <v>45834</v>
      </c>
      <c r="D2644" s="4">
        <f t="shared" ca="1" si="292"/>
        <v>229</v>
      </c>
      <c r="E2644" s="2">
        <f t="shared" ca="1" si="293"/>
        <v>5189</v>
      </c>
      <c r="F2644" s="2">
        <f t="shared" ca="1" si="294"/>
        <v>7178</v>
      </c>
      <c r="G2644" s="2">
        <f t="shared" ca="1" si="295"/>
        <v>503</v>
      </c>
    </row>
    <row r="2645" spans="1:7" x14ac:dyDescent="0.3">
      <c r="A2645" s="5" t="str">
        <f t="shared" si="289"/>
        <v>Reebok</v>
      </c>
      <c r="B2645" s="5" t="str">
        <f t="shared" si="291"/>
        <v>Zig Kinetica</v>
      </c>
      <c r="C2645" s="3">
        <f t="shared" si="290"/>
        <v>45834</v>
      </c>
      <c r="D2645" s="4">
        <f t="shared" ca="1" si="292"/>
        <v>181</v>
      </c>
      <c r="E2645" s="2">
        <f t="shared" ca="1" si="293"/>
        <v>6832</v>
      </c>
      <c r="F2645" s="2">
        <f t="shared" ca="1" si="294"/>
        <v>6444</v>
      </c>
      <c r="G2645" s="2">
        <f t="shared" ca="1" si="295"/>
        <v>146</v>
      </c>
    </row>
    <row r="2646" spans="1:7" x14ac:dyDescent="0.3">
      <c r="A2646" s="5" t="str">
        <f t="shared" si="289"/>
        <v>Nike</v>
      </c>
      <c r="B2646" s="5" t="str">
        <f t="shared" si="291"/>
        <v>Jordan 1</v>
      </c>
      <c r="C2646" s="3">
        <f t="shared" si="290"/>
        <v>45834</v>
      </c>
      <c r="D2646" s="4">
        <f t="shared" ca="1" si="292"/>
        <v>68</v>
      </c>
      <c r="E2646" s="2">
        <f t="shared" ca="1" si="293"/>
        <v>4826</v>
      </c>
      <c r="F2646" s="2">
        <f t="shared" ca="1" si="294"/>
        <v>22169</v>
      </c>
      <c r="G2646" s="2">
        <f t="shared" ca="1" si="295"/>
        <v>713</v>
      </c>
    </row>
    <row r="2647" spans="1:7" x14ac:dyDescent="0.3">
      <c r="A2647" s="5" t="str">
        <f t="shared" si="289"/>
        <v>Adidas</v>
      </c>
      <c r="B2647" s="5" t="str">
        <f t="shared" si="291"/>
        <v>Ultraboost 23</v>
      </c>
      <c r="C2647" s="3">
        <f t="shared" si="290"/>
        <v>45834</v>
      </c>
      <c r="D2647" s="4">
        <f t="shared" ca="1" si="292"/>
        <v>45</v>
      </c>
      <c r="E2647" s="2">
        <f t="shared" ca="1" si="293"/>
        <v>5474</v>
      </c>
      <c r="F2647" s="2">
        <f t="shared" ca="1" si="294"/>
        <v>33820</v>
      </c>
      <c r="G2647" s="2">
        <f t="shared" ca="1" si="295"/>
        <v>1436</v>
      </c>
    </row>
    <row r="2648" spans="1:7" x14ac:dyDescent="0.3">
      <c r="A2648" s="5" t="str">
        <f t="shared" si="289"/>
        <v>Puma</v>
      </c>
      <c r="B2648" s="5" t="str">
        <f t="shared" si="291"/>
        <v>RS-X</v>
      </c>
      <c r="C2648" s="3">
        <f t="shared" si="290"/>
        <v>45834</v>
      </c>
      <c r="D2648" s="4">
        <f t="shared" ca="1" si="292"/>
        <v>142</v>
      </c>
      <c r="E2648" s="2">
        <f t="shared" ca="1" si="293"/>
        <v>8838</v>
      </c>
      <c r="F2648" s="2">
        <f t="shared" ca="1" si="294"/>
        <v>28199</v>
      </c>
      <c r="G2648" s="2">
        <f t="shared" ca="1" si="295"/>
        <v>2146</v>
      </c>
    </row>
    <row r="2649" spans="1:7" x14ac:dyDescent="0.3">
      <c r="A2649" s="5" t="str">
        <f t="shared" si="289"/>
        <v>New Balance</v>
      </c>
      <c r="B2649" s="5" t="str">
        <f t="shared" si="291"/>
        <v>2002R</v>
      </c>
      <c r="C2649" s="3">
        <f t="shared" si="290"/>
        <v>45834</v>
      </c>
      <c r="D2649" s="4">
        <f t="shared" ca="1" si="292"/>
        <v>121</v>
      </c>
      <c r="E2649" s="2">
        <f t="shared" ca="1" si="293"/>
        <v>7651</v>
      </c>
      <c r="F2649" s="2">
        <f t="shared" ca="1" si="294"/>
        <v>24237</v>
      </c>
      <c r="G2649" s="2">
        <f t="shared" ca="1" si="295"/>
        <v>1129</v>
      </c>
    </row>
    <row r="2650" spans="1:7" x14ac:dyDescent="0.3">
      <c r="A2650" s="5" t="str">
        <f t="shared" si="289"/>
        <v>Reebok</v>
      </c>
      <c r="B2650" s="5" t="str">
        <f t="shared" si="291"/>
        <v>Instapump Fury</v>
      </c>
      <c r="C2650" s="3">
        <f t="shared" si="290"/>
        <v>45834</v>
      </c>
      <c r="D2650" s="4">
        <f t="shared" ca="1" si="292"/>
        <v>20</v>
      </c>
      <c r="E2650" s="2">
        <f t="shared" ca="1" si="293"/>
        <v>6868</v>
      </c>
      <c r="F2650" s="2">
        <f t="shared" ca="1" si="294"/>
        <v>12093</v>
      </c>
      <c r="G2650" s="2">
        <f t="shared" ca="1" si="295"/>
        <v>694</v>
      </c>
    </row>
    <row r="2651" spans="1:7" x14ac:dyDescent="0.3">
      <c r="A2651" s="5" t="str">
        <f t="shared" si="289"/>
        <v>Nike</v>
      </c>
      <c r="B2651" s="5" t="str">
        <f t="shared" si="291"/>
        <v>Cortez</v>
      </c>
      <c r="C2651" s="3">
        <f t="shared" si="290"/>
        <v>45834</v>
      </c>
      <c r="D2651" s="4">
        <f t="shared" ca="1" si="292"/>
        <v>84</v>
      </c>
      <c r="E2651" s="2">
        <f t="shared" ca="1" si="293"/>
        <v>6462</v>
      </c>
      <c r="F2651" s="2">
        <f t="shared" ca="1" si="294"/>
        <v>33307</v>
      </c>
      <c r="G2651" s="2">
        <f t="shared" ca="1" si="295"/>
        <v>910</v>
      </c>
    </row>
    <row r="2652" spans="1:7" x14ac:dyDescent="0.3">
      <c r="A2652" s="5" t="str">
        <f t="shared" si="289"/>
        <v>Adidas</v>
      </c>
      <c r="B2652" s="5" t="str">
        <f t="shared" si="291"/>
        <v>NMD S1</v>
      </c>
      <c r="C2652" s="3">
        <f t="shared" si="290"/>
        <v>45834</v>
      </c>
      <c r="D2652" s="4">
        <f t="shared" ca="1" si="292"/>
        <v>134</v>
      </c>
      <c r="E2652" s="2">
        <f t="shared" ca="1" si="293"/>
        <v>2425</v>
      </c>
      <c r="F2652" s="2">
        <f t="shared" ca="1" si="294"/>
        <v>23095</v>
      </c>
      <c r="G2652" s="2">
        <f t="shared" ca="1" si="295"/>
        <v>1182</v>
      </c>
    </row>
    <row r="2653" spans="1:7" x14ac:dyDescent="0.3">
      <c r="A2653" s="5" t="str">
        <f t="shared" si="289"/>
        <v>Puma</v>
      </c>
      <c r="B2653" s="5" t="str">
        <f t="shared" si="291"/>
        <v>Suede Classic</v>
      </c>
      <c r="C2653" s="3">
        <f t="shared" si="290"/>
        <v>45834</v>
      </c>
      <c r="D2653" s="4">
        <f t="shared" ca="1" si="292"/>
        <v>125</v>
      </c>
      <c r="E2653" s="2">
        <f t="shared" ca="1" si="293"/>
        <v>10526</v>
      </c>
      <c r="F2653" s="2">
        <f t="shared" ca="1" si="294"/>
        <v>10221</v>
      </c>
      <c r="G2653" s="2">
        <f t="shared" ca="1" si="295"/>
        <v>506</v>
      </c>
    </row>
    <row r="2654" spans="1:7" x14ac:dyDescent="0.3">
      <c r="A2654" s="5" t="str">
        <f t="shared" si="289"/>
        <v>New Balance</v>
      </c>
      <c r="B2654" s="5" t="str">
        <f t="shared" si="291"/>
        <v>990v6</v>
      </c>
      <c r="C2654" s="3">
        <f t="shared" si="290"/>
        <v>45834</v>
      </c>
      <c r="D2654" s="4">
        <f t="shared" ca="1" si="292"/>
        <v>175</v>
      </c>
      <c r="E2654" s="2">
        <f t="shared" ca="1" si="293"/>
        <v>5784</v>
      </c>
      <c r="F2654" s="2">
        <f t="shared" ca="1" si="294"/>
        <v>29615</v>
      </c>
      <c r="G2654" s="2">
        <f t="shared" ca="1" si="295"/>
        <v>1509</v>
      </c>
    </row>
    <row r="2655" spans="1:7" x14ac:dyDescent="0.3">
      <c r="A2655" s="5" t="str">
        <f t="shared" si="289"/>
        <v>Reebok</v>
      </c>
      <c r="B2655" s="5" t="str">
        <f t="shared" si="291"/>
        <v>Nano X3</v>
      </c>
      <c r="C2655" s="3">
        <f t="shared" si="290"/>
        <v>45834</v>
      </c>
      <c r="D2655" s="4">
        <f t="shared" ca="1" si="292"/>
        <v>55</v>
      </c>
      <c r="E2655" s="2">
        <f t="shared" ca="1" si="293"/>
        <v>11934</v>
      </c>
      <c r="F2655" s="2">
        <f t="shared" ca="1" si="294"/>
        <v>6839</v>
      </c>
      <c r="G2655" s="2">
        <f t="shared" ca="1" si="295"/>
        <v>500</v>
      </c>
    </row>
    <row r="2656" spans="1:7" x14ac:dyDescent="0.3">
      <c r="A2656" s="5" t="str">
        <f t="shared" si="289"/>
        <v>Nike</v>
      </c>
      <c r="B2656" s="5" t="str">
        <f t="shared" si="291"/>
        <v>Vaporfly 3</v>
      </c>
      <c r="C2656" s="3">
        <f t="shared" si="290"/>
        <v>45834</v>
      </c>
      <c r="D2656" s="4">
        <f t="shared" ca="1" si="292"/>
        <v>109</v>
      </c>
      <c r="E2656" s="2">
        <f t="shared" ca="1" si="293"/>
        <v>8612</v>
      </c>
      <c r="F2656" s="2">
        <f t="shared" ca="1" si="294"/>
        <v>22300</v>
      </c>
      <c r="G2656" s="2">
        <f t="shared" ca="1" si="295"/>
        <v>800</v>
      </c>
    </row>
    <row r="2657" spans="1:7" x14ac:dyDescent="0.3">
      <c r="A2657" s="5" t="str">
        <f t="shared" si="289"/>
        <v>Adidas</v>
      </c>
      <c r="B2657" s="5" t="str">
        <f t="shared" si="291"/>
        <v>Samba</v>
      </c>
      <c r="C2657" s="3">
        <f t="shared" si="290"/>
        <v>45835</v>
      </c>
      <c r="D2657" s="4">
        <f t="shared" ca="1" si="292"/>
        <v>180</v>
      </c>
      <c r="E2657" s="2">
        <f t="shared" ca="1" si="293"/>
        <v>6260</v>
      </c>
      <c r="F2657" s="2">
        <f t="shared" ca="1" si="294"/>
        <v>23310</v>
      </c>
      <c r="G2657" s="2">
        <f t="shared" ca="1" si="295"/>
        <v>1014</v>
      </c>
    </row>
    <row r="2658" spans="1:7" x14ac:dyDescent="0.3">
      <c r="A2658" s="5" t="str">
        <f t="shared" si="289"/>
        <v>Puma</v>
      </c>
      <c r="B2658" s="5" t="str">
        <f t="shared" si="291"/>
        <v>Mayze</v>
      </c>
      <c r="C2658" s="3">
        <f t="shared" si="290"/>
        <v>45835</v>
      </c>
      <c r="D2658" s="4">
        <f t="shared" ca="1" si="292"/>
        <v>66</v>
      </c>
      <c r="E2658" s="2">
        <f t="shared" ca="1" si="293"/>
        <v>9012</v>
      </c>
      <c r="F2658" s="2">
        <f t="shared" ca="1" si="294"/>
        <v>26080</v>
      </c>
      <c r="G2658" s="2">
        <f t="shared" ca="1" si="295"/>
        <v>1335</v>
      </c>
    </row>
    <row r="2659" spans="1:7" x14ac:dyDescent="0.3">
      <c r="A2659" s="5" t="str">
        <f t="shared" si="289"/>
        <v>New Balance</v>
      </c>
      <c r="B2659" s="5" t="str">
        <f t="shared" si="291"/>
        <v>574 Core</v>
      </c>
      <c r="C2659" s="3">
        <f t="shared" si="290"/>
        <v>45835</v>
      </c>
      <c r="D2659" s="4">
        <f t="shared" ca="1" si="292"/>
        <v>202</v>
      </c>
      <c r="E2659" s="2">
        <f t="shared" ca="1" si="293"/>
        <v>11701</v>
      </c>
      <c r="F2659" s="2">
        <f t="shared" ca="1" si="294"/>
        <v>13601</v>
      </c>
      <c r="G2659" s="2">
        <f t="shared" ca="1" si="295"/>
        <v>332</v>
      </c>
    </row>
    <row r="2660" spans="1:7" x14ac:dyDescent="0.3">
      <c r="A2660" s="5" t="str">
        <f t="shared" si="289"/>
        <v>Reebok</v>
      </c>
      <c r="B2660" s="5" t="str">
        <f t="shared" si="291"/>
        <v>Club C 85</v>
      </c>
      <c r="C2660" s="3">
        <f t="shared" si="290"/>
        <v>45835</v>
      </c>
      <c r="D2660" s="4">
        <f t="shared" ca="1" si="292"/>
        <v>74</v>
      </c>
      <c r="E2660" s="2">
        <f t="shared" ca="1" si="293"/>
        <v>9757</v>
      </c>
      <c r="F2660" s="2">
        <f t="shared" ca="1" si="294"/>
        <v>20267</v>
      </c>
      <c r="G2660" s="2">
        <f t="shared" ca="1" si="295"/>
        <v>1148</v>
      </c>
    </row>
    <row r="2661" spans="1:7" x14ac:dyDescent="0.3">
      <c r="A2661" s="5" t="str">
        <f t="shared" si="289"/>
        <v>Nike</v>
      </c>
      <c r="B2661" s="5" t="str">
        <f t="shared" si="291"/>
        <v>Pegasus 40</v>
      </c>
      <c r="C2661" s="3">
        <f t="shared" si="290"/>
        <v>45835</v>
      </c>
      <c r="D2661" s="4">
        <f t="shared" ca="1" si="292"/>
        <v>216</v>
      </c>
      <c r="E2661" s="2">
        <f t="shared" ca="1" si="293"/>
        <v>7344</v>
      </c>
      <c r="F2661" s="2">
        <f t="shared" ca="1" si="294"/>
        <v>8727</v>
      </c>
      <c r="G2661" s="2">
        <f t="shared" ca="1" si="295"/>
        <v>297</v>
      </c>
    </row>
    <row r="2662" spans="1:7" x14ac:dyDescent="0.3">
      <c r="A2662" s="5" t="str">
        <f t="shared" si="289"/>
        <v>Adidas</v>
      </c>
      <c r="B2662" s="5" t="str">
        <f t="shared" si="291"/>
        <v>Gazelle</v>
      </c>
      <c r="C2662" s="3">
        <f t="shared" si="290"/>
        <v>45835</v>
      </c>
      <c r="D2662" s="4">
        <f t="shared" ca="1" si="292"/>
        <v>25</v>
      </c>
      <c r="E2662" s="2">
        <f t="shared" ca="1" si="293"/>
        <v>6325</v>
      </c>
      <c r="F2662" s="2">
        <f t="shared" ca="1" si="294"/>
        <v>16954</v>
      </c>
      <c r="G2662" s="2">
        <f t="shared" ca="1" si="295"/>
        <v>1032</v>
      </c>
    </row>
    <row r="2663" spans="1:7" x14ac:dyDescent="0.3">
      <c r="A2663" s="5" t="str">
        <f t="shared" si="289"/>
        <v>Puma</v>
      </c>
      <c r="B2663" s="5" t="str">
        <f t="shared" si="291"/>
        <v>Slipstream</v>
      </c>
      <c r="C2663" s="3">
        <f t="shared" si="290"/>
        <v>45835</v>
      </c>
      <c r="D2663" s="4">
        <f t="shared" ca="1" si="292"/>
        <v>206</v>
      </c>
      <c r="E2663" s="2">
        <f t="shared" ca="1" si="293"/>
        <v>6782</v>
      </c>
      <c r="F2663" s="2">
        <f t="shared" ca="1" si="294"/>
        <v>21216</v>
      </c>
      <c r="G2663" s="2">
        <f t="shared" ca="1" si="295"/>
        <v>862</v>
      </c>
    </row>
    <row r="2664" spans="1:7" x14ac:dyDescent="0.3">
      <c r="A2664" s="5" t="str">
        <f t="shared" si="289"/>
        <v>New Balance</v>
      </c>
      <c r="B2664" s="5" t="str">
        <f t="shared" si="291"/>
        <v>550</v>
      </c>
      <c r="C2664" s="3">
        <f t="shared" si="290"/>
        <v>45835</v>
      </c>
      <c r="D2664" s="4">
        <f t="shared" ca="1" si="292"/>
        <v>101</v>
      </c>
      <c r="E2664" s="2">
        <f t="shared" ca="1" si="293"/>
        <v>9228</v>
      </c>
      <c r="F2664" s="2">
        <f t="shared" ca="1" si="294"/>
        <v>10029</v>
      </c>
      <c r="G2664" s="2">
        <f t="shared" ca="1" si="295"/>
        <v>219</v>
      </c>
    </row>
    <row r="2665" spans="1:7" x14ac:dyDescent="0.3">
      <c r="A2665" s="5" t="str">
        <f t="shared" si="289"/>
        <v>Reebok</v>
      </c>
      <c r="B2665" s="5" t="str">
        <f t="shared" si="291"/>
        <v>Classic Leather</v>
      </c>
      <c r="C2665" s="3">
        <f t="shared" si="290"/>
        <v>45835</v>
      </c>
      <c r="D2665" s="4">
        <f t="shared" ca="1" si="292"/>
        <v>211</v>
      </c>
      <c r="E2665" s="2">
        <f t="shared" ca="1" si="293"/>
        <v>10707</v>
      </c>
      <c r="F2665" s="2">
        <f t="shared" ca="1" si="294"/>
        <v>21537</v>
      </c>
      <c r="G2665" s="2">
        <f t="shared" ca="1" si="295"/>
        <v>988</v>
      </c>
    </row>
    <row r="2666" spans="1:7" x14ac:dyDescent="0.3">
      <c r="A2666" s="5" t="str">
        <f t="shared" si="289"/>
        <v>Nike</v>
      </c>
      <c r="B2666" s="5" t="str">
        <f t="shared" si="291"/>
        <v>Air Force 1</v>
      </c>
      <c r="C2666" s="3">
        <f t="shared" si="290"/>
        <v>45835</v>
      </c>
      <c r="D2666" s="4">
        <f t="shared" ca="1" si="292"/>
        <v>168</v>
      </c>
      <c r="E2666" s="2">
        <f t="shared" ca="1" si="293"/>
        <v>7939</v>
      </c>
      <c r="F2666" s="2">
        <f t="shared" ca="1" si="294"/>
        <v>12932</v>
      </c>
      <c r="G2666" s="2">
        <f t="shared" ca="1" si="295"/>
        <v>770</v>
      </c>
    </row>
    <row r="2667" spans="1:7" x14ac:dyDescent="0.3">
      <c r="A2667" s="5" t="str">
        <f t="shared" ref="A2667:A2730" si="296">CHOOSE(MOD(ROW(A2666),5)+1,"Nike","Adidas","Puma","New Balance","Reebok")</f>
        <v>Adidas</v>
      </c>
      <c r="B2667" s="5" t="str">
        <f t="shared" si="291"/>
        <v>Superstar</v>
      </c>
      <c r="C2667" s="3">
        <f t="shared" ref="C2667:C2730" si="297">DATE(2025,1,1)+INT((ROW(A2667)-2)/15)</f>
        <v>45835</v>
      </c>
      <c r="D2667" s="4">
        <f t="shared" ca="1" si="292"/>
        <v>125</v>
      </c>
      <c r="E2667" s="2">
        <f t="shared" ca="1" si="293"/>
        <v>10304</v>
      </c>
      <c r="F2667" s="2">
        <f t="shared" ca="1" si="294"/>
        <v>16561</v>
      </c>
      <c r="G2667" s="2">
        <f t="shared" ca="1" si="295"/>
        <v>982</v>
      </c>
    </row>
    <row r="2668" spans="1:7" x14ac:dyDescent="0.3">
      <c r="A2668" s="5" t="str">
        <f t="shared" si="296"/>
        <v>Puma</v>
      </c>
      <c r="B2668" s="5" t="str">
        <f t="shared" si="291"/>
        <v>Rider Vintage</v>
      </c>
      <c r="C2668" s="3">
        <f t="shared" si="297"/>
        <v>45835</v>
      </c>
      <c r="D2668" s="4">
        <f t="shared" ca="1" si="292"/>
        <v>244</v>
      </c>
      <c r="E2668" s="2">
        <f t="shared" ca="1" si="293"/>
        <v>11302</v>
      </c>
      <c r="F2668" s="2">
        <f t="shared" ca="1" si="294"/>
        <v>21659</v>
      </c>
      <c r="G2668" s="2">
        <f t="shared" ca="1" si="295"/>
        <v>721</v>
      </c>
    </row>
    <row r="2669" spans="1:7" x14ac:dyDescent="0.3">
      <c r="A2669" s="5" t="str">
        <f t="shared" si="296"/>
        <v>New Balance</v>
      </c>
      <c r="B2669" s="5" t="str">
        <f t="shared" si="291"/>
        <v>327</v>
      </c>
      <c r="C2669" s="3">
        <f t="shared" si="297"/>
        <v>45835</v>
      </c>
      <c r="D2669" s="4">
        <f t="shared" ca="1" si="292"/>
        <v>64</v>
      </c>
      <c r="E2669" s="2">
        <f t="shared" ca="1" si="293"/>
        <v>2458</v>
      </c>
      <c r="F2669" s="2">
        <f t="shared" ca="1" si="294"/>
        <v>29841</v>
      </c>
      <c r="G2669" s="2">
        <f t="shared" ca="1" si="295"/>
        <v>1289</v>
      </c>
    </row>
    <row r="2670" spans="1:7" x14ac:dyDescent="0.3">
      <c r="A2670" s="5" t="str">
        <f t="shared" si="296"/>
        <v>Reebok</v>
      </c>
      <c r="B2670" s="5" t="str">
        <f t="shared" si="291"/>
        <v>Question Mid</v>
      </c>
      <c r="C2670" s="3">
        <f t="shared" si="297"/>
        <v>45835</v>
      </c>
      <c r="D2670" s="4">
        <f t="shared" ca="1" si="292"/>
        <v>192</v>
      </c>
      <c r="E2670" s="2">
        <f t="shared" ca="1" si="293"/>
        <v>7417</v>
      </c>
      <c r="F2670" s="2">
        <f t="shared" ca="1" si="294"/>
        <v>33403</v>
      </c>
      <c r="G2670" s="2">
        <f t="shared" ca="1" si="295"/>
        <v>2110</v>
      </c>
    </row>
    <row r="2671" spans="1:7" x14ac:dyDescent="0.3">
      <c r="A2671" s="5" t="str">
        <f t="shared" si="296"/>
        <v>Nike</v>
      </c>
      <c r="B2671" s="5" t="str">
        <f t="shared" si="291"/>
        <v>Air Max 270</v>
      </c>
      <c r="C2671" s="3">
        <f t="shared" si="297"/>
        <v>45835</v>
      </c>
      <c r="D2671" s="4">
        <f t="shared" ca="1" si="292"/>
        <v>203</v>
      </c>
      <c r="E2671" s="2">
        <f t="shared" ca="1" si="293"/>
        <v>5705</v>
      </c>
      <c r="F2671" s="2">
        <f t="shared" ca="1" si="294"/>
        <v>13973</v>
      </c>
      <c r="G2671" s="2">
        <f t="shared" ca="1" si="295"/>
        <v>999</v>
      </c>
    </row>
    <row r="2672" spans="1:7" x14ac:dyDescent="0.3">
      <c r="A2672" s="5" t="str">
        <f t="shared" si="296"/>
        <v>Adidas</v>
      </c>
      <c r="B2672" s="5" t="str">
        <f t="shared" si="291"/>
        <v>Stan Smith</v>
      </c>
      <c r="C2672" s="3">
        <f t="shared" si="297"/>
        <v>45836</v>
      </c>
      <c r="D2672" s="4">
        <f t="shared" ca="1" si="292"/>
        <v>240</v>
      </c>
      <c r="E2672" s="2">
        <f t="shared" ca="1" si="293"/>
        <v>10301</v>
      </c>
      <c r="F2672" s="2">
        <f t="shared" ca="1" si="294"/>
        <v>23934</v>
      </c>
      <c r="G2672" s="2">
        <f t="shared" ca="1" si="295"/>
        <v>1288</v>
      </c>
    </row>
    <row r="2673" spans="1:7" x14ac:dyDescent="0.3">
      <c r="A2673" s="5" t="str">
        <f t="shared" si="296"/>
        <v>Puma</v>
      </c>
      <c r="B2673" s="5" t="str">
        <f t="shared" si="291"/>
        <v>Cali Dream</v>
      </c>
      <c r="C2673" s="3">
        <f t="shared" si="297"/>
        <v>45836</v>
      </c>
      <c r="D2673" s="4">
        <f t="shared" ca="1" si="292"/>
        <v>205</v>
      </c>
      <c r="E2673" s="2">
        <f t="shared" ca="1" si="293"/>
        <v>3203</v>
      </c>
      <c r="F2673" s="2">
        <f t="shared" ca="1" si="294"/>
        <v>25828</v>
      </c>
      <c r="G2673" s="2">
        <f t="shared" ca="1" si="295"/>
        <v>1946</v>
      </c>
    </row>
    <row r="2674" spans="1:7" x14ac:dyDescent="0.3">
      <c r="A2674" s="5" t="str">
        <f t="shared" si="296"/>
        <v>New Balance</v>
      </c>
      <c r="B2674" s="5" t="str">
        <f t="shared" si="291"/>
        <v>9060</v>
      </c>
      <c r="C2674" s="3">
        <f t="shared" si="297"/>
        <v>45836</v>
      </c>
      <c r="D2674" s="4">
        <f t="shared" ca="1" si="292"/>
        <v>181</v>
      </c>
      <c r="E2674" s="2">
        <f t="shared" ca="1" si="293"/>
        <v>4108</v>
      </c>
      <c r="F2674" s="2">
        <f t="shared" ca="1" si="294"/>
        <v>26102</v>
      </c>
      <c r="G2674" s="2">
        <f t="shared" ca="1" si="295"/>
        <v>563</v>
      </c>
    </row>
    <row r="2675" spans="1:7" x14ac:dyDescent="0.3">
      <c r="A2675" s="5" t="str">
        <f t="shared" si="296"/>
        <v>Reebok</v>
      </c>
      <c r="B2675" s="5" t="str">
        <f t="shared" si="291"/>
        <v>Zig Kinetica</v>
      </c>
      <c r="C2675" s="3">
        <f t="shared" si="297"/>
        <v>45836</v>
      </c>
      <c r="D2675" s="4">
        <f t="shared" ca="1" si="292"/>
        <v>183</v>
      </c>
      <c r="E2675" s="2">
        <f t="shared" ca="1" si="293"/>
        <v>1931</v>
      </c>
      <c r="F2675" s="2">
        <f t="shared" ca="1" si="294"/>
        <v>16252</v>
      </c>
      <c r="G2675" s="2">
        <f t="shared" ca="1" si="295"/>
        <v>651</v>
      </c>
    </row>
    <row r="2676" spans="1:7" x14ac:dyDescent="0.3">
      <c r="A2676" s="5" t="str">
        <f t="shared" si="296"/>
        <v>Nike</v>
      </c>
      <c r="B2676" s="5" t="str">
        <f t="shared" si="291"/>
        <v>Jordan 1</v>
      </c>
      <c r="C2676" s="3">
        <f t="shared" si="297"/>
        <v>45836</v>
      </c>
      <c r="D2676" s="4">
        <f t="shared" ca="1" si="292"/>
        <v>105</v>
      </c>
      <c r="E2676" s="2">
        <f t="shared" ca="1" si="293"/>
        <v>6281</v>
      </c>
      <c r="F2676" s="2">
        <f t="shared" ca="1" si="294"/>
        <v>31934</v>
      </c>
      <c r="G2676" s="2">
        <f t="shared" ca="1" si="295"/>
        <v>1780</v>
      </c>
    </row>
    <row r="2677" spans="1:7" x14ac:dyDescent="0.3">
      <c r="A2677" s="5" t="str">
        <f t="shared" si="296"/>
        <v>Adidas</v>
      </c>
      <c r="B2677" s="5" t="str">
        <f t="shared" si="291"/>
        <v>Ultraboost 23</v>
      </c>
      <c r="C2677" s="3">
        <f t="shared" si="297"/>
        <v>45836</v>
      </c>
      <c r="D2677" s="4">
        <f t="shared" ca="1" si="292"/>
        <v>29</v>
      </c>
      <c r="E2677" s="2">
        <f t="shared" ca="1" si="293"/>
        <v>2266</v>
      </c>
      <c r="F2677" s="2">
        <f t="shared" ca="1" si="294"/>
        <v>33835</v>
      </c>
      <c r="G2677" s="2">
        <f t="shared" ca="1" si="295"/>
        <v>701</v>
      </c>
    </row>
    <row r="2678" spans="1:7" x14ac:dyDescent="0.3">
      <c r="A2678" s="5" t="str">
        <f t="shared" si="296"/>
        <v>Puma</v>
      </c>
      <c r="B2678" s="5" t="str">
        <f t="shared" si="291"/>
        <v>RS-X</v>
      </c>
      <c r="C2678" s="3">
        <f t="shared" si="297"/>
        <v>45836</v>
      </c>
      <c r="D2678" s="4">
        <f t="shared" ca="1" si="292"/>
        <v>173</v>
      </c>
      <c r="E2678" s="2">
        <f t="shared" ca="1" si="293"/>
        <v>7013</v>
      </c>
      <c r="F2678" s="2">
        <f t="shared" ca="1" si="294"/>
        <v>20911</v>
      </c>
      <c r="G2678" s="2">
        <f t="shared" ca="1" si="295"/>
        <v>999</v>
      </c>
    </row>
    <row r="2679" spans="1:7" x14ac:dyDescent="0.3">
      <c r="A2679" s="5" t="str">
        <f t="shared" si="296"/>
        <v>New Balance</v>
      </c>
      <c r="B2679" s="5" t="str">
        <f t="shared" si="291"/>
        <v>2002R</v>
      </c>
      <c r="C2679" s="3">
        <f t="shared" si="297"/>
        <v>45836</v>
      </c>
      <c r="D2679" s="4">
        <f t="shared" ca="1" si="292"/>
        <v>159</v>
      </c>
      <c r="E2679" s="2">
        <f t="shared" ca="1" si="293"/>
        <v>3468</v>
      </c>
      <c r="F2679" s="2">
        <f t="shared" ca="1" si="294"/>
        <v>19119</v>
      </c>
      <c r="G2679" s="2">
        <f t="shared" ca="1" si="295"/>
        <v>1520</v>
      </c>
    </row>
    <row r="2680" spans="1:7" x14ac:dyDescent="0.3">
      <c r="A2680" s="5" t="str">
        <f t="shared" si="296"/>
        <v>Reebok</v>
      </c>
      <c r="B2680" s="5" t="str">
        <f t="shared" si="291"/>
        <v>Instapump Fury</v>
      </c>
      <c r="C2680" s="3">
        <f t="shared" si="297"/>
        <v>45836</v>
      </c>
      <c r="D2680" s="4">
        <f t="shared" ca="1" si="292"/>
        <v>232</v>
      </c>
      <c r="E2680" s="2">
        <f t="shared" ca="1" si="293"/>
        <v>1825</v>
      </c>
      <c r="F2680" s="2">
        <f t="shared" ca="1" si="294"/>
        <v>14720</v>
      </c>
      <c r="G2680" s="2">
        <f t="shared" ca="1" si="295"/>
        <v>376</v>
      </c>
    </row>
    <row r="2681" spans="1:7" x14ac:dyDescent="0.3">
      <c r="A2681" s="5" t="str">
        <f t="shared" si="296"/>
        <v>Nike</v>
      </c>
      <c r="B2681" s="5" t="str">
        <f t="shared" si="291"/>
        <v>Cortez</v>
      </c>
      <c r="C2681" s="3">
        <f t="shared" si="297"/>
        <v>45836</v>
      </c>
      <c r="D2681" s="4">
        <f t="shared" ca="1" si="292"/>
        <v>232</v>
      </c>
      <c r="E2681" s="2">
        <f t="shared" ca="1" si="293"/>
        <v>10765</v>
      </c>
      <c r="F2681" s="2">
        <f t="shared" ca="1" si="294"/>
        <v>9723</v>
      </c>
      <c r="G2681" s="2">
        <f t="shared" ca="1" si="295"/>
        <v>575</v>
      </c>
    </row>
    <row r="2682" spans="1:7" x14ac:dyDescent="0.3">
      <c r="A2682" s="5" t="str">
        <f t="shared" si="296"/>
        <v>Adidas</v>
      </c>
      <c r="B2682" s="5" t="str">
        <f t="shared" si="291"/>
        <v>NMD S1</v>
      </c>
      <c r="C2682" s="3">
        <f t="shared" si="297"/>
        <v>45836</v>
      </c>
      <c r="D2682" s="4">
        <f t="shared" ca="1" si="292"/>
        <v>206</v>
      </c>
      <c r="E2682" s="2">
        <f t="shared" ca="1" si="293"/>
        <v>3555</v>
      </c>
      <c r="F2682" s="2">
        <f t="shared" ca="1" si="294"/>
        <v>31504</v>
      </c>
      <c r="G2682" s="2">
        <f t="shared" ca="1" si="295"/>
        <v>1978</v>
      </c>
    </row>
    <row r="2683" spans="1:7" x14ac:dyDescent="0.3">
      <c r="A2683" s="5" t="str">
        <f t="shared" si="296"/>
        <v>Puma</v>
      </c>
      <c r="B2683" s="5" t="str">
        <f t="shared" si="291"/>
        <v>Suede Classic</v>
      </c>
      <c r="C2683" s="3">
        <f t="shared" si="297"/>
        <v>45836</v>
      </c>
      <c r="D2683" s="4">
        <f t="shared" ca="1" si="292"/>
        <v>132</v>
      </c>
      <c r="E2683" s="2">
        <f t="shared" ca="1" si="293"/>
        <v>10688</v>
      </c>
      <c r="F2683" s="2">
        <f t="shared" ca="1" si="294"/>
        <v>30676</v>
      </c>
      <c r="G2683" s="2">
        <f t="shared" ca="1" si="295"/>
        <v>1747</v>
      </c>
    </row>
    <row r="2684" spans="1:7" x14ac:dyDescent="0.3">
      <c r="A2684" s="5" t="str">
        <f t="shared" si="296"/>
        <v>New Balance</v>
      </c>
      <c r="B2684" s="5" t="str">
        <f t="shared" si="291"/>
        <v>990v6</v>
      </c>
      <c r="C2684" s="3">
        <f t="shared" si="297"/>
        <v>45836</v>
      </c>
      <c r="D2684" s="4">
        <f t="shared" ca="1" si="292"/>
        <v>88</v>
      </c>
      <c r="E2684" s="2">
        <f t="shared" ca="1" si="293"/>
        <v>10243</v>
      </c>
      <c r="F2684" s="2">
        <f t="shared" ca="1" si="294"/>
        <v>10505</v>
      </c>
      <c r="G2684" s="2">
        <f t="shared" ca="1" si="295"/>
        <v>643</v>
      </c>
    </row>
    <row r="2685" spans="1:7" x14ac:dyDescent="0.3">
      <c r="A2685" s="5" t="str">
        <f t="shared" si="296"/>
        <v>Reebok</v>
      </c>
      <c r="B2685" s="5" t="str">
        <f t="shared" si="291"/>
        <v>Nano X3</v>
      </c>
      <c r="C2685" s="3">
        <f t="shared" si="297"/>
        <v>45836</v>
      </c>
      <c r="D2685" s="4">
        <f t="shared" ca="1" si="292"/>
        <v>147</v>
      </c>
      <c r="E2685" s="2">
        <f t="shared" ca="1" si="293"/>
        <v>9087</v>
      </c>
      <c r="F2685" s="2">
        <f t="shared" ca="1" si="294"/>
        <v>34538</v>
      </c>
      <c r="G2685" s="2">
        <f t="shared" ca="1" si="295"/>
        <v>2315</v>
      </c>
    </row>
    <row r="2686" spans="1:7" x14ac:dyDescent="0.3">
      <c r="A2686" s="5" t="str">
        <f t="shared" si="296"/>
        <v>Nike</v>
      </c>
      <c r="B2686" s="5" t="str">
        <f t="shared" si="291"/>
        <v>Vaporfly 3</v>
      </c>
      <c r="C2686" s="3">
        <f t="shared" si="297"/>
        <v>45836</v>
      </c>
      <c r="D2686" s="4">
        <f t="shared" ca="1" si="292"/>
        <v>233</v>
      </c>
      <c r="E2686" s="2">
        <f t="shared" ca="1" si="293"/>
        <v>10724</v>
      </c>
      <c r="F2686" s="2">
        <f t="shared" ca="1" si="294"/>
        <v>34471</v>
      </c>
      <c r="G2686" s="2">
        <f t="shared" ca="1" si="295"/>
        <v>1827</v>
      </c>
    </row>
    <row r="2687" spans="1:7" x14ac:dyDescent="0.3">
      <c r="A2687" s="5" t="str">
        <f t="shared" si="296"/>
        <v>Adidas</v>
      </c>
      <c r="B2687" s="5" t="str">
        <f t="shared" si="291"/>
        <v>Samba</v>
      </c>
      <c r="C2687" s="3">
        <f t="shared" si="297"/>
        <v>45837</v>
      </c>
      <c r="D2687" s="4">
        <f t="shared" ca="1" si="292"/>
        <v>20</v>
      </c>
      <c r="E2687" s="2">
        <f t="shared" ca="1" si="293"/>
        <v>9560</v>
      </c>
      <c r="F2687" s="2">
        <f t="shared" ca="1" si="294"/>
        <v>24155</v>
      </c>
      <c r="G2687" s="2">
        <f t="shared" ca="1" si="295"/>
        <v>1201</v>
      </c>
    </row>
    <row r="2688" spans="1:7" x14ac:dyDescent="0.3">
      <c r="A2688" s="5" t="str">
        <f t="shared" si="296"/>
        <v>Puma</v>
      </c>
      <c r="B2688" s="5" t="str">
        <f t="shared" si="291"/>
        <v>Mayze</v>
      </c>
      <c r="C2688" s="3">
        <f t="shared" si="297"/>
        <v>45837</v>
      </c>
      <c r="D2688" s="4">
        <f t="shared" ca="1" si="292"/>
        <v>37</v>
      </c>
      <c r="E2688" s="2">
        <f t="shared" ca="1" si="293"/>
        <v>4264</v>
      </c>
      <c r="F2688" s="2">
        <f t="shared" ca="1" si="294"/>
        <v>30961</v>
      </c>
      <c r="G2688" s="2">
        <f t="shared" ca="1" si="295"/>
        <v>1765</v>
      </c>
    </row>
    <row r="2689" spans="1:7" x14ac:dyDescent="0.3">
      <c r="A2689" s="5" t="str">
        <f t="shared" si="296"/>
        <v>New Balance</v>
      </c>
      <c r="B2689" s="5" t="str">
        <f t="shared" si="291"/>
        <v>574 Core</v>
      </c>
      <c r="C2689" s="3">
        <f t="shared" si="297"/>
        <v>45837</v>
      </c>
      <c r="D2689" s="4">
        <f t="shared" ca="1" si="292"/>
        <v>103</v>
      </c>
      <c r="E2689" s="2">
        <f t="shared" ca="1" si="293"/>
        <v>11426</v>
      </c>
      <c r="F2689" s="2">
        <f t="shared" ca="1" si="294"/>
        <v>20520</v>
      </c>
      <c r="G2689" s="2">
        <f t="shared" ca="1" si="295"/>
        <v>1150</v>
      </c>
    </row>
    <row r="2690" spans="1:7" x14ac:dyDescent="0.3">
      <c r="A2690" s="5" t="str">
        <f t="shared" si="296"/>
        <v>Reebok</v>
      </c>
      <c r="B2690" s="5" t="str">
        <f t="shared" si="291"/>
        <v>Club C 85</v>
      </c>
      <c r="C2690" s="3">
        <f t="shared" si="297"/>
        <v>45837</v>
      </c>
      <c r="D2690" s="4">
        <f t="shared" ca="1" si="292"/>
        <v>146</v>
      </c>
      <c r="E2690" s="2">
        <f t="shared" ca="1" si="293"/>
        <v>9986</v>
      </c>
      <c r="F2690" s="2">
        <f t="shared" ca="1" si="294"/>
        <v>6596</v>
      </c>
      <c r="G2690" s="2">
        <f t="shared" ca="1" si="295"/>
        <v>463</v>
      </c>
    </row>
    <row r="2691" spans="1:7" x14ac:dyDescent="0.3">
      <c r="A2691" s="5" t="str">
        <f t="shared" si="296"/>
        <v>Nike</v>
      </c>
      <c r="B2691" s="5" t="str">
        <f t="shared" ref="B2691:B2754" si="298">IF(A2691="Nike",CHOOSE(MOD(ROW(A2690),6)+1,"Air Max 270","Air Force 1","Pegasus 40","Vaporfly 3","Cortez","Jordan 1"),
 IF(A2691="Adidas",CHOOSE(MOD(ROW(A2690),6)+1,"Ultraboost 23","Stan Smith","Superstar","Gazelle","Samba","NMD S1"),
 IF(A2691="Puma",CHOOSE(MOD(ROW(A2690),6)+1,"Suede Classic","RS-X","Cali Dream","Rider Vintage","Slipstream","Mayze"),
 IF(A2691="New Balance",CHOOSE(MOD(ROW(A2690),6)+1,"574 Core","990v6","2002R","9060","327","550"),
 IF(A2691="Reebok",CHOOSE(MOD(ROW(A2690),6)+1,"Classic Leather","Club C 85","Nano X3","Instapump Fury","Zig Kinetica","Question Mid"),"")))))</f>
        <v>Pegasus 40</v>
      </c>
      <c r="C2691" s="3">
        <f t="shared" si="297"/>
        <v>45837</v>
      </c>
      <c r="D2691" s="4">
        <f t="shared" ref="D2691:D2754" ca="1" si="299">RANDBETWEEN(20,250)</f>
        <v>127</v>
      </c>
      <c r="E2691" s="2">
        <f t="shared" ref="E2691:E2754" ca="1" si="300">ROUND(RANDBETWEEN(1500,12000)+(RANDBETWEEN(-200,200)),2)</f>
        <v>11410</v>
      </c>
      <c r="F2691" s="2">
        <f t="shared" ref="F2691:F2754" ca="1" si="301">RANDBETWEEN(5000,35000)</f>
        <v>30601</v>
      </c>
      <c r="G2691" s="2">
        <f t="shared" ref="G2691:G2754" ca="1" si="302">RANDBETWEEN(ROUND(F2691*0.02,0),ROUND(F2691*0.08,0))</f>
        <v>1209</v>
      </c>
    </row>
    <row r="2692" spans="1:7" x14ac:dyDescent="0.3">
      <c r="A2692" s="5" t="str">
        <f t="shared" si="296"/>
        <v>Adidas</v>
      </c>
      <c r="B2692" s="5" t="str">
        <f t="shared" si="298"/>
        <v>Gazelle</v>
      </c>
      <c r="C2692" s="3">
        <f t="shared" si="297"/>
        <v>45837</v>
      </c>
      <c r="D2692" s="4">
        <f t="shared" ca="1" si="299"/>
        <v>25</v>
      </c>
      <c r="E2692" s="2">
        <f t="shared" ca="1" si="300"/>
        <v>2180</v>
      </c>
      <c r="F2692" s="2">
        <f t="shared" ca="1" si="301"/>
        <v>11925</v>
      </c>
      <c r="G2692" s="2">
        <f t="shared" ca="1" si="302"/>
        <v>767</v>
      </c>
    </row>
    <row r="2693" spans="1:7" x14ac:dyDescent="0.3">
      <c r="A2693" s="5" t="str">
        <f t="shared" si="296"/>
        <v>Puma</v>
      </c>
      <c r="B2693" s="5" t="str">
        <f t="shared" si="298"/>
        <v>Slipstream</v>
      </c>
      <c r="C2693" s="3">
        <f t="shared" si="297"/>
        <v>45837</v>
      </c>
      <c r="D2693" s="4">
        <f t="shared" ca="1" si="299"/>
        <v>243</v>
      </c>
      <c r="E2693" s="2">
        <f t="shared" ca="1" si="300"/>
        <v>6238</v>
      </c>
      <c r="F2693" s="2">
        <f t="shared" ca="1" si="301"/>
        <v>25799</v>
      </c>
      <c r="G2693" s="2">
        <f t="shared" ca="1" si="302"/>
        <v>1174</v>
      </c>
    </row>
    <row r="2694" spans="1:7" x14ac:dyDescent="0.3">
      <c r="A2694" s="5" t="str">
        <f t="shared" si="296"/>
        <v>New Balance</v>
      </c>
      <c r="B2694" s="5" t="str">
        <f t="shared" si="298"/>
        <v>550</v>
      </c>
      <c r="C2694" s="3">
        <f t="shared" si="297"/>
        <v>45837</v>
      </c>
      <c r="D2694" s="4">
        <f t="shared" ca="1" si="299"/>
        <v>50</v>
      </c>
      <c r="E2694" s="2">
        <f t="shared" ca="1" si="300"/>
        <v>2231</v>
      </c>
      <c r="F2694" s="2">
        <f t="shared" ca="1" si="301"/>
        <v>27797</v>
      </c>
      <c r="G2694" s="2">
        <f t="shared" ca="1" si="302"/>
        <v>980</v>
      </c>
    </row>
    <row r="2695" spans="1:7" x14ac:dyDescent="0.3">
      <c r="A2695" s="5" t="str">
        <f t="shared" si="296"/>
        <v>Reebok</v>
      </c>
      <c r="B2695" s="5" t="str">
        <f t="shared" si="298"/>
        <v>Classic Leather</v>
      </c>
      <c r="C2695" s="3">
        <f t="shared" si="297"/>
        <v>45837</v>
      </c>
      <c r="D2695" s="4">
        <f t="shared" ca="1" si="299"/>
        <v>192</v>
      </c>
      <c r="E2695" s="2">
        <f t="shared" ca="1" si="300"/>
        <v>11983</v>
      </c>
      <c r="F2695" s="2">
        <f t="shared" ca="1" si="301"/>
        <v>9454</v>
      </c>
      <c r="G2695" s="2">
        <f t="shared" ca="1" si="302"/>
        <v>454</v>
      </c>
    </row>
    <row r="2696" spans="1:7" x14ac:dyDescent="0.3">
      <c r="A2696" s="5" t="str">
        <f t="shared" si="296"/>
        <v>Nike</v>
      </c>
      <c r="B2696" s="5" t="str">
        <f t="shared" si="298"/>
        <v>Air Force 1</v>
      </c>
      <c r="C2696" s="3">
        <f t="shared" si="297"/>
        <v>45837</v>
      </c>
      <c r="D2696" s="4">
        <f t="shared" ca="1" si="299"/>
        <v>140</v>
      </c>
      <c r="E2696" s="2">
        <f t="shared" ca="1" si="300"/>
        <v>8618</v>
      </c>
      <c r="F2696" s="2">
        <f t="shared" ca="1" si="301"/>
        <v>17821</v>
      </c>
      <c r="G2696" s="2">
        <f t="shared" ca="1" si="302"/>
        <v>1426</v>
      </c>
    </row>
    <row r="2697" spans="1:7" x14ac:dyDescent="0.3">
      <c r="A2697" s="5" t="str">
        <f t="shared" si="296"/>
        <v>Adidas</v>
      </c>
      <c r="B2697" s="5" t="str">
        <f t="shared" si="298"/>
        <v>Superstar</v>
      </c>
      <c r="C2697" s="3">
        <f t="shared" si="297"/>
        <v>45837</v>
      </c>
      <c r="D2697" s="4">
        <f t="shared" ca="1" si="299"/>
        <v>208</v>
      </c>
      <c r="E2697" s="2">
        <f t="shared" ca="1" si="300"/>
        <v>4574</v>
      </c>
      <c r="F2697" s="2">
        <f t="shared" ca="1" si="301"/>
        <v>6653</v>
      </c>
      <c r="G2697" s="2">
        <f t="shared" ca="1" si="302"/>
        <v>302</v>
      </c>
    </row>
    <row r="2698" spans="1:7" x14ac:dyDescent="0.3">
      <c r="A2698" s="5" t="str">
        <f t="shared" si="296"/>
        <v>Puma</v>
      </c>
      <c r="B2698" s="5" t="str">
        <f t="shared" si="298"/>
        <v>Rider Vintage</v>
      </c>
      <c r="C2698" s="3">
        <f t="shared" si="297"/>
        <v>45837</v>
      </c>
      <c r="D2698" s="4">
        <f t="shared" ca="1" si="299"/>
        <v>35</v>
      </c>
      <c r="E2698" s="2">
        <f t="shared" ca="1" si="300"/>
        <v>1754</v>
      </c>
      <c r="F2698" s="2">
        <f t="shared" ca="1" si="301"/>
        <v>32065</v>
      </c>
      <c r="G2698" s="2">
        <f t="shared" ca="1" si="302"/>
        <v>1595</v>
      </c>
    </row>
    <row r="2699" spans="1:7" x14ac:dyDescent="0.3">
      <c r="A2699" s="5" t="str">
        <f t="shared" si="296"/>
        <v>New Balance</v>
      </c>
      <c r="B2699" s="5" t="str">
        <f t="shared" si="298"/>
        <v>327</v>
      </c>
      <c r="C2699" s="3">
        <f t="shared" si="297"/>
        <v>45837</v>
      </c>
      <c r="D2699" s="4">
        <f t="shared" ca="1" si="299"/>
        <v>149</v>
      </c>
      <c r="E2699" s="2">
        <f t="shared" ca="1" si="300"/>
        <v>1488</v>
      </c>
      <c r="F2699" s="2">
        <f t="shared" ca="1" si="301"/>
        <v>24127</v>
      </c>
      <c r="G2699" s="2">
        <f t="shared" ca="1" si="302"/>
        <v>1652</v>
      </c>
    </row>
    <row r="2700" spans="1:7" x14ac:dyDescent="0.3">
      <c r="A2700" s="5" t="str">
        <f t="shared" si="296"/>
        <v>Reebok</v>
      </c>
      <c r="B2700" s="5" t="str">
        <f t="shared" si="298"/>
        <v>Question Mid</v>
      </c>
      <c r="C2700" s="3">
        <f t="shared" si="297"/>
        <v>45837</v>
      </c>
      <c r="D2700" s="4">
        <f t="shared" ca="1" si="299"/>
        <v>205</v>
      </c>
      <c r="E2700" s="2">
        <f t="shared" ca="1" si="300"/>
        <v>10696</v>
      </c>
      <c r="F2700" s="2">
        <f t="shared" ca="1" si="301"/>
        <v>31533</v>
      </c>
      <c r="G2700" s="2">
        <f t="shared" ca="1" si="302"/>
        <v>867</v>
      </c>
    </row>
    <row r="2701" spans="1:7" x14ac:dyDescent="0.3">
      <c r="A2701" s="5" t="str">
        <f t="shared" si="296"/>
        <v>Nike</v>
      </c>
      <c r="B2701" s="5" t="str">
        <f t="shared" si="298"/>
        <v>Air Max 270</v>
      </c>
      <c r="C2701" s="3">
        <f t="shared" si="297"/>
        <v>45837</v>
      </c>
      <c r="D2701" s="4">
        <f t="shared" ca="1" si="299"/>
        <v>234</v>
      </c>
      <c r="E2701" s="2">
        <f t="shared" ca="1" si="300"/>
        <v>7558</v>
      </c>
      <c r="F2701" s="2">
        <f t="shared" ca="1" si="301"/>
        <v>23736</v>
      </c>
      <c r="G2701" s="2">
        <f t="shared" ca="1" si="302"/>
        <v>1075</v>
      </c>
    </row>
    <row r="2702" spans="1:7" x14ac:dyDescent="0.3">
      <c r="A2702" s="5" t="str">
        <f t="shared" si="296"/>
        <v>Adidas</v>
      </c>
      <c r="B2702" s="5" t="str">
        <f t="shared" si="298"/>
        <v>Stan Smith</v>
      </c>
      <c r="C2702" s="3">
        <f t="shared" si="297"/>
        <v>45838</v>
      </c>
      <c r="D2702" s="4">
        <f t="shared" ca="1" si="299"/>
        <v>100</v>
      </c>
      <c r="E2702" s="2">
        <f t="shared" ca="1" si="300"/>
        <v>10903</v>
      </c>
      <c r="F2702" s="2">
        <f t="shared" ca="1" si="301"/>
        <v>8610</v>
      </c>
      <c r="G2702" s="2">
        <f t="shared" ca="1" si="302"/>
        <v>370</v>
      </c>
    </row>
    <row r="2703" spans="1:7" x14ac:dyDescent="0.3">
      <c r="A2703" s="5" t="str">
        <f t="shared" si="296"/>
        <v>Puma</v>
      </c>
      <c r="B2703" s="5" t="str">
        <f t="shared" si="298"/>
        <v>Cali Dream</v>
      </c>
      <c r="C2703" s="3">
        <f t="shared" si="297"/>
        <v>45838</v>
      </c>
      <c r="D2703" s="4">
        <f t="shared" ca="1" si="299"/>
        <v>250</v>
      </c>
      <c r="E2703" s="2">
        <f t="shared" ca="1" si="300"/>
        <v>5795</v>
      </c>
      <c r="F2703" s="2">
        <f t="shared" ca="1" si="301"/>
        <v>11114</v>
      </c>
      <c r="G2703" s="2">
        <f t="shared" ca="1" si="302"/>
        <v>670</v>
      </c>
    </row>
    <row r="2704" spans="1:7" x14ac:dyDescent="0.3">
      <c r="A2704" s="5" t="str">
        <f t="shared" si="296"/>
        <v>New Balance</v>
      </c>
      <c r="B2704" s="5" t="str">
        <f t="shared" si="298"/>
        <v>9060</v>
      </c>
      <c r="C2704" s="3">
        <f t="shared" si="297"/>
        <v>45838</v>
      </c>
      <c r="D2704" s="4">
        <f t="shared" ca="1" si="299"/>
        <v>164</v>
      </c>
      <c r="E2704" s="2">
        <f t="shared" ca="1" si="300"/>
        <v>8530</v>
      </c>
      <c r="F2704" s="2">
        <f t="shared" ca="1" si="301"/>
        <v>34078</v>
      </c>
      <c r="G2704" s="2">
        <f t="shared" ca="1" si="302"/>
        <v>1427</v>
      </c>
    </row>
    <row r="2705" spans="1:7" x14ac:dyDescent="0.3">
      <c r="A2705" s="5" t="str">
        <f t="shared" si="296"/>
        <v>Reebok</v>
      </c>
      <c r="B2705" s="5" t="str">
        <f t="shared" si="298"/>
        <v>Zig Kinetica</v>
      </c>
      <c r="C2705" s="3">
        <f t="shared" si="297"/>
        <v>45838</v>
      </c>
      <c r="D2705" s="4">
        <f t="shared" ca="1" si="299"/>
        <v>215</v>
      </c>
      <c r="E2705" s="2">
        <f t="shared" ca="1" si="300"/>
        <v>4378</v>
      </c>
      <c r="F2705" s="2">
        <f t="shared" ca="1" si="301"/>
        <v>18675</v>
      </c>
      <c r="G2705" s="2">
        <f t="shared" ca="1" si="302"/>
        <v>1024</v>
      </c>
    </row>
    <row r="2706" spans="1:7" x14ac:dyDescent="0.3">
      <c r="A2706" s="5" t="str">
        <f t="shared" si="296"/>
        <v>Nike</v>
      </c>
      <c r="B2706" s="5" t="str">
        <f t="shared" si="298"/>
        <v>Jordan 1</v>
      </c>
      <c r="C2706" s="3">
        <f t="shared" si="297"/>
        <v>45838</v>
      </c>
      <c r="D2706" s="4">
        <f t="shared" ca="1" si="299"/>
        <v>124</v>
      </c>
      <c r="E2706" s="2">
        <f t="shared" ca="1" si="300"/>
        <v>4079</v>
      </c>
      <c r="F2706" s="2">
        <f t="shared" ca="1" si="301"/>
        <v>18693</v>
      </c>
      <c r="G2706" s="2">
        <f t="shared" ca="1" si="302"/>
        <v>1106</v>
      </c>
    </row>
    <row r="2707" spans="1:7" x14ac:dyDescent="0.3">
      <c r="A2707" s="5" t="str">
        <f t="shared" si="296"/>
        <v>Adidas</v>
      </c>
      <c r="B2707" s="5" t="str">
        <f t="shared" si="298"/>
        <v>Ultraboost 23</v>
      </c>
      <c r="C2707" s="3">
        <f t="shared" si="297"/>
        <v>45838</v>
      </c>
      <c r="D2707" s="4">
        <f t="shared" ca="1" si="299"/>
        <v>80</v>
      </c>
      <c r="E2707" s="2">
        <f t="shared" ca="1" si="300"/>
        <v>9057</v>
      </c>
      <c r="F2707" s="2">
        <f t="shared" ca="1" si="301"/>
        <v>34518</v>
      </c>
      <c r="G2707" s="2">
        <f t="shared" ca="1" si="302"/>
        <v>1243</v>
      </c>
    </row>
    <row r="2708" spans="1:7" x14ac:dyDescent="0.3">
      <c r="A2708" s="5" t="str">
        <f t="shared" si="296"/>
        <v>Puma</v>
      </c>
      <c r="B2708" s="5" t="str">
        <f t="shared" si="298"/>
        <v>RS-X</v>
      </c>
      <c r="C2708" s="3">
        <f t="shared" si="297"/>
        <v>45838</v>
      </c>
      <c r="D2708" s="4">
        <f t="shared" ca="1" si="299"/>
        <v>196</v>
      </c>
      <c r="E2708" s="2">
        <f t="shared" ca="1" si="300"/>
        <v>4231</v>
      </c>
      <c r="F2708" s="2">
        <f t="shared" ca="1" si="301"/>
        <v>9808</v>
      </c>
      <c r="G2708" s="2">
        <f t="shared" ca="1" si="302"/>
        <v>723</v>
      </c>
    </row>
    <row r="2709" spans="1:7" x14ac:dyDescent="0.3">
      <c r="A2709" s="5" t="str">
        <f t="shared" si="296"/>
        <v>New Balance</v>
      </c>
      <c r="B2709" s="5" t="str">
        <f t="shared" si="298"/>
        <v>2002R</v>
      </c>
      <c r="C2709" s="3">
        <f t="shared" si="297"/>
        <v>45838</v>
      </c>
      <c r="D2709" s="4">
        <f t="shared" ca="1" si="299"/>
        <v>163</v>
      </c>
      <c r="E2709" s="2">
        <f t="shared" ca="1" si="300"/>
        <v>8240</v>
      </c>
      <c r="F2709" s="2">
        <f t="shared" ca="1" si="301"/>
        <v>5956</v>
      </c>
      <c r="G2709" s="2">
        <f t="shared" ca="1" si="302"/>
        <v>387</v>
      </c>
    </row>
    <row r="2710" spans="1:7" x14ac:dyDescent="0.3">
      <c r="A2710" s="5" t="str">
        <f t="shared" si="296"/>
        <v>Reebok</v>
      </c>
      <c r="B2710" s="5" t="str">
        <f t="shared" si="298"/>
        <v>Instapump Fury</v>
      </c>
      <c r="C2710" s="3">
        <f t="shared" si="297"/>
        <v>45838</v>
      </c>
      <c r="D2710" s="4">
        <f t="shared" ca="1" si="299"/>
        <v>209</v>
      </c>
      <c r="E2710" s="2">
        <f t="shared" ca="1" si="300"/>
        <v>3245</v>
      </c>
      <c r="F2710" s="2">
        <f t="shared" ca="1" si="301"/>
        <v>8936</v>
      </c>
      <c r="G2710" s="2">
        <f t="shared" ca="1" si="302"/>
        <v>587</v>
      </c>
    </row>
    <row r="2711" spans="1:7" x14ac:dyDescent="0.3">
      <c r="A2711" s="5" t="str">
        <f t="shared" si="296"/>
        <v>Nike</v>
      </c>
      <c r="B2711" s="5" t="str">
        <f t="shared" si="298"/>
        <v>Cortez</v>
      </c>
      <c r="C2711" s="3">
        <f t="shared" si="297"/>
        <v>45838</v>
      </c>
      <c r="D2711" s="4">
        <f t="shared" ca="1" si="299"/>
        <v>47</v>
      </c>
      <c r="E2711" s="2">
        <f t="shared" ca="1" si="300"/>
        <v>7701</v>
      </c>
      <c r="F2711" s="2">
        <f t="shared" ca="1" si="301"/>
        <v>14839</v>
      </c>
      <c r="G2711" s="2">
        <f t="shared" ca="1" si="302"/>
        <v>417</v>
      </c>
    </row>
    <row r="2712" spans="1:7" x14ac:dyDescent="0.3">
      <c r="A2712" s="5" t="str">
        <f t="shared" si="296"/>
        <v>Adidas</v>
      </c>
      <c r="B2712" s="5" t="str">
        <f t="shared" si="298"/>
        <v>NMD S1</v>
      </c>
      <c r="C2712" s="3">
        <f t="shared" si="297"/>
        <v>45838</v>
      </c>
      <c r="D2712" s="4">
        <f t="shared" ca="1" si="299"/>
        <v>48</v>
      </c>
      <c r="E2712" s="2">
        <f t="shared" ca="1" si="300"/>
        <v>7391</v>
      </c>
      <c r="F2712" s="2">
        <f t="shared" ca="1" si="301"/>
        <v>31782</v>
      </c>
      <c r="G2712" s="2">
        <f t="shared" ca="1" si="302"/>
        <v>2357</v>
      </c>
    </row>
    <row r="2713" spans="1:7" x14ac:dyDescent="0.3">
      <c r="A2713" s="5" t="str">
        <f t="shared" si="296"/>
        <v>Puma</v>
      </c>
      <c r="B2713" s="5" t="str">
        <f t="shared" si="298"/>
        <v>Suede Classic</v>
      </c>
      <c r="C2713" s="3">
        <f t="shared" si="297"/>
        <v>45838</v>
      </c>
      <c r="D2713" s="4">
        <f t="shared" ca="1" si="299"/>
        <v>166</v>
      </c>
      <c r="E2713" s="2">
        <f t="shared" ca="1" si="300"/>
        <v>4559</v>
      </c>
      <c r="F2713" s="2">
        <f t="shared" ca="1" si="301"/>
        <v>34627</v>
      </c>
      <c r="G2713" s="2">
        <f t="shared" ca="1" si="302"/>
        <v>1719</v>
      </c>
    </row>
    <row r="2714" spans="1:7" x14ac:dyDescent="0.3">
      <c r="A2714" s="5" t="str">
        <f t="shared" si="296"/>
        <v>New Balance</v>
      </c>
      <c r="B2714" s="5" t="str">
        <f t="shared" si="298"/>
        <v>990v6</v>
      </c>
      <c r="C2714" s="3">
        <f t="shared" si="297"/>
        <v>45838</v>
      </c>
      <c r="D2714" s="4">
        <f t="shared" ca="1" si="299"/>
        <v>127</v>
      </c>
      <c r="E2714" s="2">
        <f t="shared" ca="1" si="300"/>
        <v>7680</v>
      </c>
      <c r="F2714" s="2">
        <f t="shared" ca="1" si="301"/>
        <v>27256</v>
      </c>
      <c r="G2714" s="2">
        <f t="shared" ca="1" si="302"/>
        <v>1534</v>
      </c>
    </row>
    <row r="2715" spans="1:7" x14ac:dyDescent="0.3">
      <c r="A2715" s="5" t="str">
        <f t="shared" si="296"/>
        <v>Reebok</v>
      </c>
      <c r="B2715" s="5" t="str">
        <f t="shared" si="298"/>
        <v>Nano X3</v>
      </c>
      <c r="C2715" s="3">
        <f t="shared" si="297"/>
        <v>45838</v>
      </c>
      <c r="D2715" s="4">
        <f t="shared" ca="1" si="299"/>
        <v>74</v>
      </c>
      <c r="E2715" s="2">
        <f t="shared" ca="1" si="300"/>
        <v>6730</v>
      </c>
      <c r="F2715" s="2">
        <f t="shared" ca="1" si="301"/>
        <v>26640</v>
      </c>
      <c r="G2715" s="2">
        <f t="shared" ca="1" si="302"/>
        <v>991</v>
      </c>
    </row>
    <row r="2716" spans="1:7" x14ac:dyDescent="0.3">
      <c r="A2716" s="5" t="str">
        <f t="shared" si="296"/>
        <v>Nike</v>
      </c>
      <c r="B2716" s="5" t="str">
        <f t="shared" si="298"/>
        <v>Vaporfly 3</v>
      </c>
      <c r="C2716" s="3">
        <f t="shared" si="297"/>
        <v>45838</v>
      </c>
      <c r="D2716" s="4">
        <f t="shared" ca="1" si="299"/>
        <v>239</v>
      </c>
      <c r="E2716" s="2">
        <f t="shared" ca="1" si="300"/>
        <v>9115</v>
      </c>
      <c r="F2716" s="2">
        <f t="shared" ca="1" si="301"/>
        <v>30506</v>
      </c>
      <c r="G2716" s="2">
        <f t="shared" ca="1" si="302"/>
        <v>1900</v>
      </c>
    </row>
    <row r="2717" spans="1:7" x14ac:dyDescent="0.3">
      <c r="A2717" s="5" t="str">
        <f t="shared" si="296"/>
        <v>Adidas</v>
      </c>
      <c r="B2717" s="5" t="str">
        <f t="shared" si="298"/>
        <v>Samba</v>
      </c>
      <c r="C2717" s="3">
        <f t="shared" si="297"/>
        <v>45839</v>
      </c>
      <c r="D2717" s="4">
        <f t="shared" ca="1" si="299"/>
        <v>141</v>
      </c>
      <c r="E2717" s="2">
        <f t="shared" ca="1" si="300"/>
        <v>11981</v>
      </c>
      <c r="F2717" s="2">
        <f t="shared" ca="1" si="301"/>
        <v>9013</v>
      </c>
      <c r="G2717" s="2">
        <f t="shared" ca="1" si="302"/>
        <v>694</v>
      </c>
    </row>
    <row r="2718" spans="1:7" x14ac:dyDescent="0.3">
      <c r="A2718" s="5" t="str">
        <f t="shared" si="296"/>
        <v>Puma</v>
      </c>
      <c r="B2718" s="5" t="str">
        <f t="shared" si="298"/>
        <v>Mayze</v>
      </c>
      <c r="C2718" s="3">
        <f t="shared" si="297"/>
        <v>45839</v>
      </c>
      <c r="D2718" s="4">
        <f t="shared" ca="1" si="299"/>
        <v>72</v>
      </c>
      <c r="E2718" s="2">
        <f t="shared" ca="1" si="300"/>
        <v>5501</v>
      </c>
      <c r="F2718" s="2">
        <f t="shared" ca="1" si="301"/>
        <v>33324</v>
      </c>
      <c r="G2718" s="2">
        <f t="shared" ca="1" si="302"/>
        <v>1350</v>
      </c>
    </row>
    <row r="2719" spans="1:7" x14ac:dyDescent="0.3">
      <c r="A2719" s="5" t="str">
        <f t="shared" si="296"/>
        <v>New Balance</v>
      </c>
      <c r="B2719" s="5" t="str">
        <f t="shared" si="298"/>
        <v>574 Core</v>
      </c>
      <c r="C2719" s="3">
        <f t="shared" si="297"/>
        <v>45839</v>
      </c>
      <c r="D2719" s="4">
        <f t="shared" ca="1" si="299"/>
        <v>187</v>
      </c>
      <c r="E2719" s="2">
        <f t="shared" ca="1" si="300"/>
        <v>7392</v>
      </c>
      <c r="F2719" s="2">
        <f t="shared" ca="1" si="301"/>
        <v>6795</v>
      </c>
      <c r="G2719" s="2">
        <f t="shared" ca="1" si="302"/>
        <v>526</v>
      </c>
    </row>
    <row r="2720" spans="1:7" x14ac:dyDescent="0.3">
      <c r="A2720" s="5" t="str">
        <f t="shared" si="296"/>
        <v>Reebok</v>
      </c>
      <c r="B2720" s="5" t="str">
        <f t="shared" si="298"/>
        <v>Club C 85</v>
      </c>
      <c r="C2720" s="3">
        <f t="shared" si="297"/>
        <v>45839</v>
      </c>
      <c r="D2720" s="4">
        <f t="shared" ca="1" si="299"/>
        <v>58</v>
      </c>
      <c r="E2720" s="2">
        <f t="shared" ca="1" si="300"/>
        <v>6948</v>
      </c>
      <c r="F2720" s="2">
        <f t="shared" ca="1" si="301"/>
        <v>9535</v>
      </c>
      <c r="G2720" s="2">
        <f t="shared" ca="1" si="302"/>
        <v>388</v>
      </c>
    </row>
    <row r="2721" spans="1:7" x14ac:dyDescent="0.3">
      <c r="A2721" s="5" t="str">
        <f t="shared" si="296"/>
        <v>Nike</v>
      </c>
      <c r="B2721" s="5" t="str">
        <f t="shared" si="298"/>
        <v>Pegasus 40</v>
      </c>
      <c r="C2721" s="3">
        <f t="shared" si="297"/>
        <v>45839</v>
      </c>
      <c r="D2721" s="4">
        <f t="shared" ca="1" si="299"/>
        <v>21</v>
      </c>
      <c r="E2721" s="2">
        <f t="shared" ca="1" si="300"/>
        <v>4384</v>
      </c>
      <c r="F2721" s="2">
        <f t="shared" ca="1" si="301"/>
        <v>16078</v>
      </c>
      <c r="G2721" s="2">
        <f t="shared" ca="1" si="302"/>
        <v>577</v>
      </c>
    </row>
    <row r="2722" spans="1:7" x14ac:dyDescent="0.3">
      <c r="A2722" s="5" t="str">
        <f t="shared" si="296"/>
        <v>Adidas</v>
      </c>
      <c r="B2722" s="5" t="str">
        <f t="shared" si="298"/>
        <v>Gazelle</v>
      </c>
      <c r="C2722" s="3">
        <f t="shared" si="297"/>
        <v>45839</v>
      </c>
      <c r="D2722" s="4">
        <f t="shared" ca="1" si="299"/>
        <v>129</v>
      </c>
      <c r="E2722" s="2">
        <f t="shared" ca="1" si="300"/>
        <v>4398</v>
      </c>
      <c r="F2722" s="2">
        <f t="shared" ca="1" si="301"/>
        <v>29762</v>
      </c>
      <c r="G2722" s="2">
        <f t="shared" ca="1" si="302"/>
        <v>1959</v>
      </c>
    </row>
    <row r="2723" spans="1:7" x14ac:dyDescent="0.3">
      <c r="A2723" s="5" t="str">
        <f t="shared" si="296"/>
        <v>Puma</v>
      </c>
      <c r="B2723" s="5" t="str">
        <f t="shared" si="298"/>
        <v>Slipstream</v>
      </c>
      <c r="C2723" s="3">
        <f t="shared" si="297"/>
        <v>45839</v>
      </c>
      <c r="D2723" s="4">
        <f t="shared" ca="1" si="299"/>
        <v>177</v>
      </c>
      <c r="E2723" s="2">
        <f t="shared" ca="1" si="300"/>
        <v>8849</v>
      </c>
      <c r="F2723" s="2">
        <f t="shared" ca="1" si="301"/>
        <v>33499</v>
      </c>
      <c r="G2723" s="2">
        <f t="shared" ca="1" si="302"/>
        <v>2082</v>
      </c>
    </row>
    <row r="2724" spans="1:7" x14ac:dyDescent="0.3">
      <c r="A2724" s="5" t="str">
        <f t="shared" si="296"/>
        <v>New Balance</v>
      </c>
      <c r="B2724" s="5" t="str">
        <f t="shared" si="298"/>
        <v>550</v>
      </c>
      <c r="C2724" s="3">
        <f t="shared" si="297"/>
        <v>45839</v>
      </c>
      <c r="D2724" s="4">
        <f t="shared" ca="1" si="299"/>
        <v>137</v>
      </c>
      <c r="E2724" s="2">
        <f t="shared" ca="1" si="300"/>
        <v>8004</v>
      </c>
      <c r="F2724" s="2">
        <f t="shared" ca="1" si="301"/>
        <v>8104</v>
      </c>
      <c r="G2724" s="2">
        <f t="shared" ca="1" si="302"/>
        <v>479</v>
      </c>
    </row>
    <row r="2725" spans="1:7" x14ac:dyDescent="0.3">
      <c r="A2725" s="5" t="str">
        <f t="shared" si="296"/>
        <v>Reebok</v>
      </c>
      <c r="B2725" s="5" t="str">
        <f t="shared" si="298"/>
        <v>Classic Leather</v>
      </c>
      <c r="C2725" s="3">
        <f t="shared" si="297"/>
        <v>45839</v>
      </c>
      <c r="D2725" s="4">
        <f t="shared" ca="1" si="299"/>
        <v>166</v>
      </c>
      <c r="E2725" s="2">
        <f t="shared" ca="1" si="300"/>
        <v>4493</v>
      </c>
      <c r="F2725" s="2">
        <f t="shared" ca="1" si="301"/>
        <v>22104</v>
      </c>
      <c r="G2725" s="2">
        <f t="shared" ca="1" si="302"/>
        <v>1542</v>
      </c>
    </row>
    <row r="2726" spans="1:7" x14ac:dyDescent="0.3">
      <c r="A2726" s="5" t="str">
        <f t="shared" si="296"/>
        <v>Nike</v>
      </c>
      <c r="B2726" s="5" t="str">
        <f t="shared" si="298"/>
        <v>Air Force 1</v>
      </c>
      <c r="C2726" s="3">
        <f t="shared" si="297"/>
        <v>45839</v>
      </c>
      <c r="D2726" s="4">
        <f t="shared" ca="1" si="299"/>
        <v>85</v>
      </c>
      <c r="E2726" s="2">
        <f t="shared" ca="1" si="300"/>
        <v>7470</v>
      </c>
      <c r="F2726" s="2">
        <f t="shared" ca="1" si="301"/>
        <v>17241</v>
      </c>
      <c r="G2726" s="2">
        <f t="shared" ca="1" si="302"/>
        <v>415</v>
      </c>
    </row>
    <row r="2727" spans="1:7" x14ac:dyDescent="0.3">
      <c r="A2727" s="5" t="str">
        <f t="shared" si="296"/>
        <v>Adidas</v>
      </c>
      <c r="B2727" s="5" t="str">
        <f t="shared" si="298"/>
        <v>Superstar</v>
      </c>
      <c r="C2727" s="3">
        <f t="shared" si="297"/>
        <v>45839</v>
      </c>
      <c r="D2727" s="4">
        <f t="shared" ca="1" si="299"/>
        <v>90</v>
      </c>
      <c r="E2727" s="2">
        <f t="shared" ca="1" si="300"/>
        <v>11221</v>
      </c>
      <c r="F2727" s="2">
        <f t="shared" ca="1" si="301"/>
        <v>24710</v>
      </c>
      <c r="G2727" s="2">
        <f t="shared" ca="1" si="302"/>
        <v>843</v>
      </c>
    </row>
    <row r="2728" spans="1:7" x14ac:dyDescent="0.3">
      <c r="A2728" s="5" t="str">
        <f t="shared" si="296"/>
        <v>Puma</v>
      </c>
      <c r="B2728" s="5" t="str">
        <f t="shared" si="298"/>
        <v>Rider Vintage</v>
      </c>
      <c r="C2728" s="3">
        <f t="shared" si="297"/>
        <v>45839</v>
      </c>
      <c r="D2728" s="4">
        <f t="shared" ca="1" si="299"/>
        <v>240</v>
      </c>
      <c r="E2728" s="2">
        <f t="shared" ca="1" si="300"/>
        <v>7052</v>
      </c>
      <c r="F2728" s="2">
        <f t="shared" ca="1" si="301"/>
        <v>15120</v>
      </c>
      <c r="G2728" s="2">
        <f t="shared" ca="1" si="302"/>
        <v>1195</v>
      </c>
    </row>
    <row r="2729" spans="1:7" x14ac:dyDescent="0.3">
      <c r="A2729" s="5" t="str">
        <f t="shared" si="296"/>
        <v>New Balance</v>
      </c>
      <c r="B2729" s="5" t="str">
        <f t="shared" si="298"/>
        <v>327</v>
      </c>
      <c r="C2729" s="3">
        <f t="shared" si="297"/>
        <v>45839</v>
      </c>
      <c r="D2729" s="4">
        <f t="shared" ca="1" si="299"/>
        <v>47</v>
      </c>
      <c r="E2729" s="2">
        <f t="shared" ca="1" si="300"/>
        <v>4851</v>
      </c>
      <c r="F2729" s="2">
        <f t="shared" ca="1" si="301"/>
        <v>23674</v>
      </c>
      <c r="G2729" s="2">
        <f t="shared" ca="1" si="302"/>
        <v>540</v>
      </c>
    </row>
    <row r="2730" spans="1:7" x14ac:dyDescent="0.3">
      <c r="A2730" s="5" t="str">
        <f t="shared" si="296"/>
        <v>Reebok</v>
      </c>
      <c r="B2730" s="5" t="str">
        <f t="shared" si="298"/>
        <v>Question Mid</v>
      </c>
      <c r="C2730" s="3">
        <f t="shared" si="297"/>
        <v>45839</v>
      </c>
      <c r="D2730" s="4">
        <f t="shared" ca="1" si="299"/>
        <v>31</v>
      </c>
      <c r="E2730" s="2">
        <f t="shared" ca="1" si="300"/>
        <v>5894</v>
      </c>
      <c r="F2730" s="2">
        <f t="shared" ca="1" si="301"/>
        <v>25865</v>
      </c>
      <c r="G2730" s="2">
        <f t="shared" ca="1" si="302"/>
        <v>1861</v>
      </c>
    </row>
    <row r="2731" spans="1:7" x14ac:dyDescent="0.3">
      <c r="A2731" s="5" t="str">
        <f t="shared" ref="A2731:A2794" si="303">CHOOSE(MOD(ROW(A2730),5)+1,"Nike","Adidas","Puma","New Balance","Reebok")</f>
        <v>Nike</v>
      </c>
      <c r="B2731" s="5" t="str">
        <f t="shared" si="298"/>
        <v>Air Max 270</v>
      </c>
      <c r="C2731" s="3">
        <f t="shared" ref="C2731:C2794" si="304">DATE(2025,1,1)+INT((ROW(A2731)-2)/15)</f>
        <v>45839</v>
      </c>
      <c r="D2731" s="4">
        <f t="shared" ca="1" si="299"/>
        <v>150</v>
      </c>
      <c r="E2731" s="2">
        <f t="shared" ca="1" si="300"/>
        <v>3493</v>
      </c>
      <c r="F2731" s="2">
        <f t="shared" ca="1" si="301"/>
        <v>21091</v>
      </c>
      <c r="G2731" s="2">
        <f t="shared" ca="1" si="302"/>
        <v>810</v>
      </c>
    </row>
    <row r="2732" spans="1:7" x14ac:dyDescent="0.3">
      <c r="A2732" s="5" t="str">
        <f t="shared" si="303"/>
        <v>Adidas</v>
      </c>
      <c r="B2732" s="5" t="str">
        <f t="shared" si="298"/>
        <v>Stan Smith</v>
      </c>
      <c r="C2732" s="3">
        <f t="shared" si="304"/>
        <v>45840</v>
      </c>
      <c r="D2732" s="4">
        <f t="shared" ca="1" si="299"/>
        <v>196</v>
      </c>
      <c r="E2732" s="2">
        <f t="shared" ca="1" si="300"/>
        <v>6461</v>
      </c>
      <c r="F2732" s="2">
        <f t="shared" ca="1" si="301"/>
        <v>28712</v>
      </c>
      <c r="G2732" s="2">
        <f t="shared" ca="1" si="302"/>
        <v>1866</v>
      </c>
    </row>
    <row r="2733" spans="1:7" x14ac:dyDescent="0.3">
      <c r="A2733" s="5" t="str">
        <f t="shared" si="303"/>
        <v>Puma</v>
      </c>
      <c r="B2733" s="5" t="str">
        <f t="shared" si="298"/>
        <v>Cali Dream</v>
      </c>
      <c r="C2733" s="3">
        <f t="shared" si="304"/>
        <v>45840</v>
      </c>
      <c r="D2733" s="4">
        <f t="shared" ca="1" si="299"/>
        <v>236</v>
      </c>
      <c r="E2733" s="2">
        <f t="shared" ca="1" si="300"/>
        <v>8636</v>
      </c>
      <c r="F2733" s="2">
        <f t="shared" ca="1" si="301"/>
        <v>26477</v>
      </c>
      <c r="G2733" s="2">
        <f t="shared" ca="1" si="302"/>
        <v>1687</v>
      </c>
    </row>
    <row r="2734" spans="1:7" x14ac:dyDescent="0.3">
      <c r="A2734" s="5" t="str">
        <f t="shared" si="303"/>
        <v>New Balance</v>
      </c>
      <c r="B2734" s="5" t="str">
        <f t="shared" si="298"/>
        <v>9060</v>
      </c>
      <c r="C2734" s="3">
        <f t="shared" si="304"/>
        <v>45840</v>
      </c>
      <c r="D2734" s="4">
        <f t="shared" ca="1" si="299"/>
        <v>73</v>
      </c>
      <c r="E2734" s="2">
        <f t="shared" ca="1" si="300"/>
        <v>6267</v>
      </c>
      <c r="F2734" s="2">
        <f t="shared" ca="1" si="301"/>
        <v>29890</v>
      </c>
      <c r="G2734" s="2">
        <f t="shared" ca="1" si="302"/>
        <v>2060</v>
      </c>
    </row>
    <row r="2735" spans="1:7" x14ac:dyDescent="0.3">
      <c r="A2735" s="5" t="str">
        <f t="shared" si="303"/>
        <v>Reebok</v>
      </c>
      <c r="B2735" s="5" t="str">
        <f t="shared" si="298"/>
        <v>Zig Kinetica</v>
      </c>
      <c r="C2735" s="3">
        <f t="shared" si="304"/>
        <v>45840</v>
      </c>
      <c r="D2735" s="4">
        <f t="shared" ca="1" si="299"/>
        <v>138</v>
      </c>
      <c r="E2735" s="2">
        <f t="shared" ca="1" si="300"/>
        <v>7331</v>
      </c>
      <c r="F2735" s="2">
        <f t="shared" ca="1" si="301"/>
        <v>34928</v>
      </c>
      <c r="G2735" s="2">
        <f t="shared" ca="1" si="302"/>
        <v>2369</v>
      </c>
    </row>
    <row r="2736" spans="1:7" x14ac:dyDescent="0.3">
      <c r="A2736" s="5" t="str">
        <f t="shared" si="303"/>
        <v>Nike</v>
      </c>
      <c r="B2736" s="5" t="str">
        <f t="shared" si="298"/>
        <v>Jordan 1</v>
      </c>
      <c r="C2736" s="3">
        <f t="shared" si="304"/>
        <v>45840</v>
      </c>
      <c r="D2736" s="4">
        <f t="shared" ca="1" si="299"/>
        <v>248</v>
      </c>
      <c r="E2736" s="2">
        <f t="shared" ca="1" si="300"/>
        <v>7954</v>
      </c>
      <c r="F2736" s="2">
        <f t="shared" ca="1" si="301"/>
        <v>19661</v>
      </c>
      <c r="G2736" s="2">
        <f t="shared" ca="1" si="302"/>
        <v>611</v>
      </c>
    </row>
    <row r="2737" spans="1:7" x14ac:dyDescent="0.3">
      <c r="A2737" s="5" t="str">
        <f t="shared" si="303"/>
        <v>Adidas</v>
      </c>
      <c r="B2737" s="5" t="str">
        <f t="shared" si="298"/>
        <v>Ultraboost 23</v>
      </c>
      <c r="C2737" s="3">
        <f t="shared" si="304"/>
        <v>45840</v>
      </c>
      <c r="D2737" s="4">
        <f t="shared" ca="1" si="299"/>
        <v>30</v>
      </c>
      <c r="E2737" s="2">
        <f t="shared" ca="1" si="300"/>
        <v>10978</v>
      </c>
      <c r="F2737" s="2">
        <f t="shared" ca="1" si="301"/>
        <v>22651</v>
      </c>
      <c r="G2737" s="2">
        <f t="shared" ca="1" si="302"/>
        <v>1766</v>
      </c>
    </row>
    <row r="2738" spans="1:7" x14ac:dyDescent="0.3">
      <c r="A2738" s="5" t="str">
        <f t="shared" si="303"/>
        <v>Puma</v>
      </c>
      <c r="B2738" s="5" t="str">
        <f t="shared" si="298"/>
        <v>RS-X</v>
      </c>
      <c r="C2738" s="3">
        <f t="shared" si="304"/>
        <v>45840</v>
      </c>
      <c r="D2738" s="4">
        <f t="shared" ca="1" si="299"/>
        <v>171</v>
      </c>
      <c r="E2738" s="2">
        <f t="shared" ca="1" si="300"/>
        <v>11406</v>
      </c>
      <c r="F2738" s="2">
        <f t="shared" ca="1" si="301"/>
        <v>23524</v>
      </c>
      <c r="G2738" s="2">
        <f t="shared" ca="1" si="302"/>
        <v>1226</v>
      </c>
    </row>
    <row r="2739" spans="1:7" x14ac:dyDescent="0.3">
      <c r="A2739" s="5" t="str">
        <f t="shared" si="303"/>
        <v>New Balance</v>
      </c>
      <c r="B2739" s="5" t="str">
        <f t="shared" si="298"/>
        <v>2002R</v>
      </c>
      <c r="C2739" s="3">
        <f t="shared" si="304"/>
        <v>45840</v>
      </c>
      <c r="D2739" s="4">
        <f t="shared" ca="1" si="299"/>
        <v>144</v>
      </c>
      <c r="E2739" s="2">
        <f t="shared" ca="1" si="300"/>
        <v>1629</v>
      </c>
      <c r="F2739" s="2">
        <f t="shared" ca="1" si="301"/>
        <v>8815</v>
      </c>
      <c r="G2739" s="2">
        <f t="shared" ca="1" si="302"/>
        <v>445</v>
      </c>
    </row>
    <row r="2740" spans="1:7" x14ac:dyDescent="0.3">
      <c r="A2740" s="5" t="str">
        <f t="shared" si="303"/>
        <v>Reebok</v>
      </c>
      <c r="B2740" s="5" t="str">
        <f t="shared" si="298"/>
        <v>Instapump Fury</v>
      </c>
      <c r="C2740" s="3">
        <f t="shared" si="304"/>
        <v>45840</v>
      </c>
      <c r="D2740" s="4">
        <f t="shared" ca="1" si="299"/>
        <v>51</v>
      </c>
      <c r="E2740" s="2">
        <f t="shared" ca="1" si="300"/>
        <v>7067</v>
      </c>
      <c r="F2740" s="2">
        <f t="shared" ca="1" si="301"/>
        <v>28817</v>
      </c>
      <c r="G2740" s="2">
        <f t="shared" ca="1" si="302"/>
        <v>1132</v>
      </c>
    </row>
    <row r="2741" spans="1:7" x14ac:dyDescent="0.3">
      <c r="A2741" s="5" t="str">
        <f t="shared" si="303"/>
        <v>Nike</v>
      </c>
      <c r="B2741" s="5" t="str">
        <f t="shared" si="298"/>
        <v>Cortez</v>
      </c>
      <c r="C2741" s="3">
        <f t="shared" si="304"/>
        <v>45840</v>
      </c>
      <c r="D2741" s="4">
        <f t="shared" ca="1" si="299"/>
        <v>34</v>
      </c>
      <c r="E2741" s="2">
        <f t="shared" ca="1" si="300"/>
        <v>4623</v>
      </c>
      <c r="F2741" s="2">
        <f t="shared" ca="1" si="301"/>
        <v>15330</v>
      </c>
      <c r="G2741" s="2">
        <f t="shared" ca="1" si="302"/>
        <v>590</v>
      </c>
    </row>
    <row r="2742" spans="1:7" x14ac:dyDescent="0.3">
      <c r="A2742" s="5" t="str">
        <f t="shared" si="303"/>
        <v>Adidas</v>
      </c>
      <c r="B2742" s="5" t="str">
        <f t="shared" si="298"/>
        <v>NMD S1</v>
      </c>
      <c r="C2742" s="3">
        <f t="shared" si="304"/>
        <v>45840</v>
      </c>
      <c r="D2742" s="4">
        <f t="shared" ca="1" si="299"/>
        <v>182</v>
      </c>
      <c r="E2742" s="2">
        <f t="shared" ca="1" si="300"/>
        <v>6954</v>
      </c>
      <c r="F2742" s="2">
        <f t="shared" ca="1" si="301"/>
        <v>22669</v>
      </c>
      <c r="G2742" s="2">
        <f t="shared" ca="1" si="302"/>
        <v>1340</v>
      </c>
    </row>
    <row r="2743" spans="1:7" x14ac:dyDescent="0.3">
      <c r="A2743" s="5" t="str">
        <f t="shared" si="303"/>
        <v>Puma</v>
      </c>
      <c r="B2743" s="5" t="str">
        <f t="shared" si="298"/>
        <v>Suede Classic</v>
      </c>
      <c r="C2743" s="3">
        <f t="shared" si="304"/>
        <v>45840</v>
      </c>
      <c r="D2743" s="4">
        <f t="shared" ca="1" si="299"/>
        <v>173</v>
      </c>
      <c r="E2743" s="2">
        <f t="shared" ca="1" si="300"/>
        <v>7344</v>
      </c>
      <c r="F2743" s="2">
        <f t="shared" ca="1" si="301"/>
        <v>21033</v>
      </c>
      <c r="G2743" s="2">
        <f t="shared" ca="1" si="302"/>
        <v>851</v>
      </c>
    </row>
    <row r="2744" spans="1:7" x14ac:dyDescent="0.3">
      <c r="A2744" s="5" t="str">
        <f t="shared" si="303"/>
        <v>New Balance</v>
      </c>
      <c r="B2744" s="5" t="str">
        <f t="shared" si="298"/>
        <v>990v6</v>
      </c>
      <c r="C2744" s="3">
        <f t="shared" si="304"/>
        <v>45840</v>
      </c>
      <c r="D2744" s="4">
        <f t="shared" ca="1" si="299"/>
        <v>194</v>
      </c>
      <c r="E2744" s="2">
        <f t="shared" ca="1" si="300"/>
        <v>6329</v>
      </c>
      <c r="F2744" s="2">
        <f t="shared" ca="1" si="301"/>
        <v>22997</v>
      </c>
      <c r="G2744" s="2">
        <f t="shared" ca="1" si="302"/>
        <v>1374</v>
      </c>
    </row>
    <row r="2745" spans="1:7" x14ac:dyDescent="0.3">
      <c r="A2745" s="5" t="str">
        <f t="shared" si="303"/>
        <v>Reebok</v>
      </c>
      <c r="B2745" s="5" t="str">
        <f t="shared" si="298"/>
        <v>Nano X3</v>
      </c>
      <c r="C2745" s="3">
        <f t="shared" si="304"/>
        <v>45840</v>
      </c>
      <c r="D2745" s="4">
        <f t="shared" ca="1" si="299"/>
        <v>239</v>
      </c>
      <c r="E2745" s="2">
        <f t="shared" ca="1" si="300"/>
        <v>6369</v>
      </c>
      <c r="F2745" s="2">
        <f t="shared" ca="1" si="301"/>
        <v>23992</v>
      </c>
      <c r="G2745" s="2">
        <f t="shared" ca="1" si="302"/>
        <v>1260</v>
      </c>
    </row>
    <row r="2746" spans="1:7" x14ac:dyDescent="0.3">
      <c r="A2746" s="5" t="str">
        <f t="shared" si="303"/>
        <v>Nike</v>
      </c>
      <c r="B2746" s="5" t="str">
        <f t="shared" si="298"/>
        <v>Vaporfly 3</v>
      </c>
      <c r="C2746" s="3">
        <f t="shared" si="304"/>
        <v>45840</v>
      </c>
      <c r="D2746" s="4">
        <f t="shared" ca="1" si="299"/>
        <v>166</v>
      </c>
      <c r="E2746" s="2">
        <f t="shared" ca="1" si="300"/>
        <v>2891</v>
      </c>
      <c r="F2746" s="2">
        <f t="shared" ca="1" si="301"/>
        <v>27405</v>
      </c>
      <c r="G2746" s="2">
        <f t="shared" ca="1" si="302"/>
        <v>1037</v>
      </c>
    </row>
    <row r="2747" spans="1:7" x14ac:dyDescent="0.3">
      <c r="A2747" s="5" t="str">
        <f t="shared" si="303"/>
        <v>Adidas</v>
      </c>
      <c r="B2747" s="5" t="str">
        <f t="shared" si="298"/>
        <v>Samba</v>
      </c>
      <c r="C2747" s="3">
        <f t="shared" si="304"/>
        <v>45841</v>
      </c>
      <c r="D2747" s="4">
        <f t="shared" ca="1" si="299"/>
        <v>125</v>
      </c>
      <c r="E2747" s="2">
        <f t="shared" ca="1" si="300"/>
        <v>10494</v>
      </c>
      <c r="F2747" s="2">
        <f t="shared" ca="1" si="301"/>
        <v>5421</v>
      </c>
      <c r="G2747" s="2">
        <f t="shared" ca="1" si="302"/>
        <v>271</v>
      </c>
    </row>
    <row r="2748" spans="1:7" x14ac:dyDescent="0.3">
      <c r="A2748" s="5" t="str">
        <f t="shared" si="303"/>
        <v>Puma</v>
      </c>
      <c r="B2748" s="5" t="str">
        <f t="shared" si="298"/>
        <v>Mayze</v>
      </c>
      <c r="C2748" s="3">
        <f t="shared" si="304"/>
        <v>45841</v>
      </c>
      <c r="D2748" s="4">
        <f t="shared" ca="1" si="299"/>
        <v>74</v>
      </c>
      <c r="E2748" s="2">
        <f t="shared" ca="1" si="300"/>
        <v>2639</v>
      </c>
      <c r="F2748" s="2">
        <f t="shared" ca="1" si="301"/>
        <v>32761</v>
      </c>
      <c r="G2748" s="2">
        <f t="shared" ca="1" si="302"/>
        <v>2377</v>
      </c>
    </row>
    <row r="2749" spans="1:7" x14ac:dyDescent="0.3">
      <c r="A2749" s="5" t="str">
        <f t="shared" si="303"/>
        <v>New Balance</v>
      </c>
      <c r="B2749" s="5" t="str">
        <f t="shared" si="298"/>
        <v>574 Core</v>
      </c>
      <c r="C2749" s="3">
        <f t="shared" si="304"/>
        <v>45841</v>
      </c>
      <c r="D2749" s="4">
        <f t="shared" ca="1" si="299"/>
        <v>119</v>
      </c>
      <c r="E2749" s="2">
        <f t="shared" ca="1" si="300"/>
        <v>10165</v>
      </c>
      <c r="F2749" s="2">
        <f t="shared" ca="1" si="301"/>
        <v>27258</v>
      </c>
      <c r="G2749" s="2">
        <f t="shared" ca="1" si="302"/>
        <v>1927</v>
      </c>
    </row>
    <row r="2750" spans="1:7" x14ac:dyDescent="0.3">
      <c r="A2750" s="5" t="str">
        <f t="shared" si="303"/>
        <v>Reebok</v>
      </c>
      <c r="B2750" s="5" t="str">
        <f t="shared" si="298"/>
        <v>Club C 85</v>
      </c>
      <c r="C2750" s="3">
        <f t="shared" si="304"/>
        <v>45841</v>
      </c>
      <c r="D2750" s="4">
        <f t="shared" ca="1" si="299"/>
        <v>24</v>
      </c>
      <c r="E2750" s="2">
        <f t="shared" ca="1" si="300"/>
        <v>4165</v>
      </c>
      <c r="F2750" s="2">
        <f t="shared" ca="1" si="301"/>
        <v>9624</v>
      </c>
      <c r="G2750" s="2">
        <f t="shared" ca="1" si="302"/>
        <v>421</v>
      </c>
    </row>
    <row r="2751" spans="1:7" x14ac:dyDescent="0.3">
      <c r="A2751" s="5" t="str">
        <f t="shared" si="303"/>
        <v>Nike</v>
      </c>
      <c r="B2751" s="5" t="str">
        <f t="shared" si="298"/>
        <v>Pegasus 40</v>
      </c>
      <c r="C2751" s="3">
        <f t="shared" si="304"/>
        <v>45841</v>
      </c>
      <c r="D2751" s="4">
        <f t="shared" ca="1" si="299"/>
        <v>240</v>
      </c>
      <c r="E2751" s="2">
        <f t="shared" ca="1" si="300"/>
        <v>12091</v>
      </c>
      <c r="F2751" s="2">
        <f t="shared" ca="1" si="301"/>
        <v>13588</v>
      </c>
      <c r="G2751" s="2">
        <f t="shared" ca="1" si="302"/>
        <v>698</v>
      </c>
    </row>
    <row r="2752" spans="1:7" x14ac:dyDescent="0.3">
      <c r="A2752" s="5" t="str">
        <f t="shared" si="303"/>
        <v>Adidas</v>
      </c>
      <c r="B2752" s="5" t="str">
        <f t="shared" si="298"/>
        <v>Gazelle</v>
      </c>
      <c r="C2752" s="3">
        <f t="shared" si="304"/>
        <v>45841</v>
      </c>
      <c r="D2752" s="4">
        <f t="shared" ca="1" si="299"/>
        <v>169</v>
      </c>
      <c r="E2752" s="2">
        <f t="shared" ca="1" si="300"/>
        <v>6391</v>
      </c>
      <c r="F2752" s="2">
        <f t="shared" ca="1" si="301"/>
        <v>16255</v>
      </c>
      <c r="G2752" s="2">
        <f t="shared" ca="1" si="302"/>
        <v>687</v>
      </c>
    </row>
    <row r="2753" spans="1:7" x14ac:dyDescent="0.3">
      <c r="A2753" s="5" t="str">
        <f t="shared" si="303"/>
        <v>Puma</v>
      </c>
      <c r="B2753" s="5" t="str">
        <f t="shared" si="298"/>
        <v>Slipstream</v>
      </c>
      <c r="C2753" s="3">
        <f t="shared" si="304"/>
        <v>45841</v>
      </c>
      <c r="D2753" s="4">
        <f t="shared" ca="1" si="299"/>
        <v>217</v>
      </c>
      <c r="E2753" s="2">
        <f t="shared" ca="1" si="300"/>
        <v>2172</v>
      </c>
      <c r="F2753" s="2">
        <f t="shared" ca="1" si="301"/>
        <v>35000</v>
      </c>
      <c r="G2753" s="2">
        <f t="shared" ca="1" si="302"/>
        <v>1187</v>
      </c>
    </row>
    <row r="2754" spans="1:7" x14ac:dyDescent="0.3">
      <c r="A2754" s="5" t="str">
        <f t="shared" si="303"/>
        <v>New Balance</v>
      </c>
      <c r="B2754" s="5" t="str">
        <f t="shared" si="298"/>
        <v>550</v>
      </c>
      <c r="C2754" s="3">
        <f t="shared" si="304"/>
        <v>45841</v>
      </c>
      <c r="D2754" s="4">
        <f t="shared" ca="1" si="299"/>
        <v>95</v>
      </c>
      <c r="E2754" s="2">
        <f t="shared" ca="1" si="300"/>
        <v>7514</v>
      </c>
      <c r="F2754" s="2">
        <f t="shared" ca="1" si="301"/>
        <v>5307</v>
      </c>
      <c r="G2754" s="2">
        <f t="shared" ca="1" si="302"/>
        <v>154</v>
      </c>
    </row>
    <row r="2755" spans="1:7" x14ac:dyDescent="0.3">
      <c r="A2755" s="5" t="str">
        <f t="shared" si="303"/>
        <v>Reebok</v>
      </c>
      <c r="B2755" s="5" t="str">
        <f t="shared" ref="B2755:B2818" si="305">IF(A2755="Nike",CHOOSE(MOD(ROW(A2754),6)+1,"Air Max 270","Air Force 1","Pegasus 40","Vaporfly 3","Cortez","Jordan 1"),
 IF(A2755="Adidas",CHOOSE(MOD(ROW(A2754),6)+1,"Ultraboost 23","Stan Smith","Superstar","Gazelle","Samba","NMD S1"),
 IF(A2755="Puma",CHOOSE(MOD(ROW(A2754),6)+1,"Suede Classic","RS-X","Cali Dream","Rider Vintage","Slipstream","Mayze"),
 IF(A2755="New Balance",CHOOSE(MOD(ROW(A2754),6)+1,"574 Core","990v6","2002R","9060","327","550"),
 IF(A2755="Reebok",CHOOSE(MOD(ROW(A2754),6)+1,"Classic Leather","Club C 85","Nano X3","Instapump Fury","Zig Kinetica","Question Mid"),"")))))</f>
        <v>Classic Leather</v>
      </c>
      <c r="C2755" s="3">
        <f t="shared" si="304"/>
        <v>45841</v>
      </c>
      <c r="D2755" s="4">
        <f t="shared" ref="D2755:D2818" ca="1" si="306">RANDBETWEEN(20,250)</f>
        <v>187</v>
      </c>
      <c r="E2755" s="2">
        <f t="shared" ref="E2755:E2818" ca="1" si="307">ROUND(RANDBETWEEN(1500,12000)+(RANDBETWEEN(-200,200)),2)</f>
        <v>8871</v>
      </c>
      <c r="F2755" s="2">
        <f t="shared" ref="F2755:F2818" ca="1" si="308">RANDBETWEEN(5000,35000)</f>
        <v>23612</v>
      </c>
      <c r="G2755" s="2">
        <f t="shared" ref="G2755:G2818" ca="1" si="309">RANDBETWEEN(ROUND(F2755*0.02,0),ROUND(F2755*0.08,0))</f>
        <v>1128</v>
      </c>
    </row>
    <row r="2756" spans="1:7" x14ac:dyDescent="0.3">
      <c r="A2756" s="5" t="str">
        <f t="shared" si="303"/>
        <v>Nike</v>
      </c>
      <c r="B2756" s="5" t="str">
        <f t="shared" si="305"/>
        <v>Air Force 1</v>
      </c>
      <c r="C2756" s="3">
        <f t="shared" si="304"/>
        <v>45841</v>
      </c>
      <c r="D2756" s="4">
        <f t="shared" ca="1" si="306"/>
        <v>213</v>
      </c>
      <c r="E2756" s="2">
        <f t="shared" ca="1" si="307"/>
        <v>5817</v>
      </c>
      <c r="F2756" s="2">
        <f t="shared" ca="1" si="308"/>
        <v>17529</v>
      </c>
      <c r="G2756" s="2">
        <f t="shared" ca="1" si="309"/>
        <v>1339</v>
      </c>
    </row>
    <row r="2757" spans="1:7" x14ac:dyDescent="0.3">
      <c r="A2757" s="5" t="str">
        <f t="shared" si="303"/>
        <v>Adidas</v>
      </c>
      <c r="B2757" s="5" t="str">
        <f t="shared" si="305"/>
        <v>Superstar</v>
      </c>
      <c r="C2757" s="3">
        <f t="shared" si="304"/>
        <v>45841</v>
      </c>
      <c r="D2757" s="4">
        <f t="shared" ca="1" si="306"/>
        <v>130</v>
      </c>
      <c r="E2757" s="2">
        <f t="shared" ca="1" si="307"/>
        <v>5408</v>
      </c>
      <c r="F2757" s="2">
        <f t="shared" ca="1" si="308"/>
        <v>20330</v>
      </c>
      <c r="G2757" s="2">
        <f t="shared" ca="1" si="309"/>
        <v>445</v>
      </c>
    </row>
    <row r="2758" spans="1:7" x14ac:dyDescent="0.3">
      <c r="A2758" s="5" t="str">
        <f t="shared" si="303"/>
        <v>Puma</v>
      </c>
      <c r="B2758" s="5" t="str">
        <f t="shared" si="305"/>
        <v>Rider Vintage</v>
      </c>
      <c r="C2758" s="3">
        <f t="shared" si="304"/>
        <v>45841</v>
      </c>
      <c r="D2758" s="4">
        <f t="shared" ca="1" si="306"/>
        <v>208</v>
      </c>
      <c r="E2758" s="2">
        <f t="shared" ca="1" si="307"/>
        <v>8881</v>
      </c>
      <c r="F2758" s="2">
        <f t="shared" ca="1" si="308"/>
        <v>30750</v>
      </c>
      <c r="G2758" s="2">
        <f t="shared" ca="1" si="309"/>
        <v>1321</v>
      </c>
    </row>
    <row r="2759" spans="1:7" x14ac:dyDescent="0.3">
      <c r="A2759" s="5" t="str">
        <f t="shared" si="303"/>
        <v>New Balance</v>
      </c>
      <c r="B2759" s="5" t="str">
        <f t="shared" si="305"/>
        <v>327</v>
      </c>
      <c r="C2759" s="3">
        <f t="shared" si="304"/>
        <v>45841</v>
      </c>
      <c r="D2759" s="4">
        <f t="shared" ca="1" si="306"/>
        <v>121</v>
      </c>
      <c r="E2759" s="2">
        <f t="shared" ca="1" si="307"/>
        <v>6793</v>
      </c>
      <c r="F2759" s="2">
        <f t="shared" ca="1" si="308"/>
        <v>20087</v>
      </c>
      <c r="G2759" s="2">
        <f t="shared" ca="1" si="309"/>
        <v>976</v>
      </c>
    </row>
    <row r="2760" spans="1:7" x14ac:dyDescent="0.3">
      <c r="A2760" s="5" t="str">
        <f t="shared" si="303"/>
        <v>Reebok</v>
      </c>
      <c r="B2760" s="5" t="str">
        <f t="shared" si="305"/>
        <v>Question Mid</v>
      </c>
      <c r="C2760" s="3">
        <f t="shared" si="304"/>
        <v>45841</v>
      </c>
      <c r="D2760" s="4">
        <f t="shared" ca="1" si="306"/>
        <v>115</v>
      </c>
      <c r="E2760" s="2">
        <f t="shared" ca="1" si="307"/>
        <v>7520</v>
      </c>
      <c r="F2760" s="2">
        <f t="shared" ca="1" si="308"/>
        <v>18655</v>
      </c>
      <c r="G2760" s="2">
        <f t="shared" ca="1" si="309"/>
        <v>770</v>
      </c>
    </row>
    <row r="2761" spans="1:7" x14ac:dyDescent="0.3">
      <c r="A2761" s="5" t="str">
        <f t="shared" si="303"/>
        <v>Nike</v>
      </c>
      <c r="B2761" s="5" t="str">
        <f t="shared" si="305"/>
        <v>Air Max 270</v>
      </c>
      <c r="C2761" s="3">
        <f t="shared" si="304"/>
        <v>45841</v>
      </c>
      <c r="D2761" s="4">
        <f t="shared" ca="1" si="306"/>
        <v>207</v>
      </c>
      <c r="E2761" s="2">
        <f t="shared" ca="1" si="307"/>
        <v>2137</v>
      </c>
      <c r="F2761" s="2">
        <f t="shared" ca="1" si="308"/>
        <v>11950</v>
      </c>
      <c r="G2761" s="2">
        <f t="shared" ca="1" si="309"/>
        <v>474</v>
      </c>
    </row>
    <row r="2762" spans="1:7" x14ac:dyDescent="0.3">
      <c r="A2762" s="5" t="str">
        <f t="shared" si="303"/>
        <v>Adidas</v>
      </c>
      <c r="B2762" s="5" t="str">
        <f t="shared" si="305"/>
        <v>Stan Smith</v>
      </c>
      <c r="C2762" s="3">
        <f t="shared" si="304"/>
        <v>45842</v>
      </c>
      <c r="D2762" s="4">
        <f t="shared" ca="1" si="306"/>
        <v>238</v>
      </c>
      <c r="E2762" s="2">
        <f t="shared" ca="1" si="307"/>
        <v>6139</v>
      </c>
      <c r="F2762" s="2">
        <f t="shared" ca="1" si="308"/>
        <v>7546</v>
      </c>
      <c r="G2762" s="2">
        <f t="shared" ca="1" si="309"/>
        <v>313</v>
      </c>
    </row>
    <row r="2763" spans="1:7" x14ac:dyDescent="0.3">
      <c r="A2763" s="5" t="str">
        <f t="shared" si="303"/>
        <v>Puma</v>
      </c>
      <c r="B2763" s="5" t="str">
        <f t="shared" si="305"/>
        <v>Cali Dream</v>
      </c>
      <c r="C2763" s="3">
        <f t="shared" si="304"/>
        <v>45842</v>
      </c>
      <c r="D2763" s="4">
        <f t="shared" ca="1" si="306"/>
        <v>20</v>
      </c>
      <c r="E2763" s="2">
        <f t="shared" ca="1" si="307"/>
        <v>10671</v>
      </c>
      <c r="F2763" s="2">
        <f t="shared" ca="1" si="308"/>
        <v>24197</v>
      </c>
      <c r="G2763" s="2">
        <f t="shared" ca="1" si="309"/>
        <v>1300</v>
      </c>
    </row>
    <row r="2764" spans="1:7" x14ac:dyDescent="0.3">
      <c r="A2764" s="5" t="str">
        <f t="shared" si="303"/>
        <v>New Balance</v>
      </c>
      <c r="B2764" s="5" t="str">
        <f t="shared" si="305"/>
        <v>9060</v>
      </c>
      <c r="C2764" s="3">
        <f t="shared" si="304"/>
        <v>45842</v>
      </c>
      <c r="D2764" s="4">
        <f t="shared" ca="1" si="306"/>
        <v>163</v>
      </c>
      <c r="E2764" s="2">
        <f t="shared" ca="1" si="307"/>
        <v>6521</v>
      </c>
      <c r="F2764" s="2">
        <f t="shared" ca="1" si="308"/>
        <v>31988</v>
      </c>
      <c r="G2764" s="2">
        <f t="shared" ca="1" si="309"/>
        <v>1304</v>
      </c>
    </row>
    <row r="2765" spans="1:7" x14ac:dyDescent="0.3">
      <c r="A2765" s="5" t="str">
        <f t="shared" si="303"/>
        <v>Reebok</v>
      </c>
      <c r="B2765" s="5" t="str">
        <f t="shared" si="305"/>
        <v>Zig Kinetica</v>
      </c>
      <c r="C2765" s="3">
        <f t="shared" si="304"/>
        <v>45842</v>
      </c>
      <c r="D2765" s="4">
        <f t="shared" ca="1" si="306"/>
        <v>39</v>
      </c>
      <c r="E2765" s="2">
        <f t="shared" ca="1" si="307"/>
        <v>3353</v>
      </c>
      <c r="F2765" s="2">
        <f t="shared" ca="1" si="308"/>
        <v>29626</v>
      </c>
      <c r="G2765" s="2">
        <f t="shared" ca="1" si="309"/>
        <v>2294</v>
      </c>
    </row>
    <row r="2766" spans="1:7" x14ac:dyDescent="0.3">
      <c r="A2766" s="5" t="str">
        <f t="shared" si="303"/>
        <v>Nike</v>
      </c>
      <c r="B2766" s="5" t="str">
        <f t="shared" si="305"/>
        <v>Jordan 1</v>
      </c>
      <c r="C2766" s="3">
        <f t="shared" si="304"/>
        <v>45842</v>
      </c>
      <c r="D2766" s="4">
        <f t="shared" ca="1" si="306"/>
        <v>184</v>
      </c>
      <c r="E2766" s="2">
        <f t="shared" ca="1" si="307"/>
        <v>5550</v>
      </c>
      <c r="F2766" s="2">
        <f t="shared" ca="1" si="308"/>
        <v>8236</v>
      </c>
      <c r="G2766" s="2">
        <f t="shared" ca="1" si="309"/>
        <v>636</v>
      </c>
    </row>
    <row r="2767" spans="1:7" x14ac:dyDescent="0.3">
      <c r="A2767" s="5" t="str">
        <f t="shared" si="303"/>
        <v>Adidas</v>
      </c>
      <c r="B2767" s="5" t="str">
        <f t="shared" si="305"/>
        <v>Ultraboost 23</v>
      </c>
      <c r="C2767" s="3">
        <f t="shared" si="304"/>
        <v>45842</v>
      </c>
      <c r="D2767" s="4">
        <f t="shared" ca="1" si="306"/>
        <v>174</v>
      </c>
      <c r="E2767" s="2">
        <f t="shared" ca="1" si="307"/>
        <v>3748</v>
      </c>
      <c r="F2767" s="2">
        <f t="shared" ca="1" si="308"/>
        <v>34253</v>
      </c>
      <c r="G2767" s="2">
        <f t="shared" ca="1" si="309"/>
        <v>1079</v>
      </c>
    </row>
    <row r="2768" spans="1:7" x14ac:dyDescent="0.3">
      <c r="A2768" s="5" t="str">
        <f t="shared" si="303"/>
        <v>Puma</v>
      </c>
      <c r="B2768" s="5" t="str">
        <f t="shared" si="305"/>
        <v>RS-X</v>
      </c>
      <c r="C2768" s="3">
        <f t="shared" si="304"/>
        <v>45842</v>
      </c>
      <c r="D2768" s="4">
        <f t="shared" ca="1" si="306"/>
        <v>209</v>
      </c>
      <c r="E2768" s="2">
        <f t="shared" ca="1" si="307"/>
        <v>4861</v>
      </c>
      <c r="F2768" s="2">
        <f t="shared" ca="1" si="308"/>
        <v>25303</v>
      </c>
      <c r="G2768" s="2">
        <f t="shared" ca="1" si="309"/>
        <v>1235</v>
      </c>
    </row>
    <row r="2769" spans="1:7" x14ac:dyDescent="0.3">
      <c r="A2769" s="5" t="str">
        <f t="shared" si="303"/>
        <v>New Balance</v>
      </c>
      <c r="B2769" s="5" t="str">
        <f t="shared" si="305"/>
        <v>2002R</v>
      </c>
      <c r="C2769" s="3">
        <f t="shared" si="304"/>
        <v>45842</v>
      </c>
      <c r="D2769" s="4">
        <f t="shared" ca="1" si="306"/>
        <v>167</v>
      </c>
      <c r="E2769" s="2">
        <f t="shared" ca="1" si="307"/>
        <v>6629</v>
      </c>
      <c r="F2769" s="2">
        <f t="shared" ca="1" si="308"/>
        <v>26091</v>
      </c>
      <c r="G2769" s="2">
        <f t="shared" ca="1" si="309"/>
        <v>1762</v>
      </c>
    </row>
    <row r="2770" spans="1:7" x14ac:dyDescent="0.3">
      <c r="A2770" s="5" t="str">
        <f t="shared" si="303"/>
        <v>Reebok</v>
      </c>
      <c r="B2770" s="5" t="str">
        <f t="shared" si="305"/>
        <v>Instapump Fury</v>
      </c>
      <c r="C2770" s="3">
        <f t="shared" si="304"/>
        <v>45842</v>
      </c>
      <c r="D2770" s="4">
        <f t="shared" ca="1" si="306"/>
        <v>175</v>
      </c>
      <c r="E2770" s="2">
        <f t="shared" ca="1" si="307"/>
        <v>4451</v>
      </c>
      <c r="F2770" s="2">
        <f t="shared" ca="1" si="308"/>
        <v>11742</v>
      </c>
      <c r="G2770" s="2">
        <f t="shared" ca="1" si="309"/>
        <v>598</v>
      </c>
    </row>
    <row r="2771" spans="1:7" x14ac:dyDescent="0.3">
      <c r="A2771" s="5" t="str">
        <f t="shared" si="303"/>
        <v>Nike</v>
      </c>
      <c r="B2771" s="5" t="str">
        <f t="shared" si="305"/>
        <v>Cortez</v>
      </c>
      <c r="C2771" s="3">
        <f t="shared" si="304"/>
        <v>45842</v>
      </c>
      <c r="D2771" s="4">
        <f t="shared" ca="1" si="306"/>
        <v>73</v>
      </c>
      <c r="E2771" s="2">
        <f t="shared" ca="1" si="307"/>
        <v>3083</v>
      </c>
      <c r="F2771" s="2">
        <f t="shared" ca="1" si="308"/>
        <v>11384</v>
      </c>
      <c r="G2771" s="2">
        <f t="shared" ca="1" si="309"/>
        <v>364</v>
      </c>
    </row>
    <row r="2772" spans="1:7" x14ac:dyDescent="0.3">
      <c r="A2772" s="5" t="str">
        <f t="shared" si="303"/>
        <v>Adidas</v>
      </c>
      <c r="B2772" s="5" t="str">
        <f t="shared" si="305"/>
        <v>NMD S1</v>
      </c>
      <c r="C2772" s="3">
        <f t="shared" si="304"/>
        <v>45842</v>
      </c>
      <c r="D2772" s="4">
        <f t="shared" ca="1" si="306"/>
        <v>66</v>
      </c>
      <c r="E2772" s="2">
        <f t="shared" ca="1" si="307"/>
        <v>9177</v>
      </c>
      <c r="F2772" s="2">
        <f t="shared" ca="1" si="308"/>
        <v>19794</v>
      </c>
      <c r="G2772" s="2">
        <f t="shared" ca="1" si="309"/>
        <v>1337</v>
      </c>
    </row>
    <row r="2773" spans="1:7" x14ac:dyDescent="0.3">
      <c r="A2773" s="5" t="str">
        <f t="shared" si="303"/>
        <v>Puma</v>
      </c>
      <c r="B2773" s="5" t="str">
        <f t="shared" si="305"/>
        <v>Suede Classic</v>
      </c>
      <c r="C2773" s="3">
        <f t="shared" si="304"/>
        <v>45842</v>
      </c>
      <c r="D2773" s="4">
        <f t="shared" ca="1" si="306"/>
        <v>207</v>
      </c>
      <c r="E2773" s="2">
        <f t="shared" ca="1" si="307"/>
        <v>10925</v>
      </c>
      <c r="F2773" s="2">
        <f t="shared" ca="1" si="308"/>
        <v>30122</v>
      </c>
      <c r="G2773" s="2">
        <f t="shared" ca="1" si="309"/>
        <v>2166</v>
      </c>
    </row>
    <row r="2774" spans="1:7" x14ac:dyDescent="0.3">
      <c r="A2774" s="5" t="str">
        <f t="shared" si="303"/>
        <v>New Balance</v>
      </c>
      <c r="B2774" s="5" t="str">
        <f t="shared" si="305"/>
        <v>990v6</v>
      </c>
      <c r="C2774" s="3">
        <f t="shared" si="304"/>
        <v>45842</v>
      </c>
      <c r="D2774" s="4">
        <f t="shared" ca="1" si="306"/>
        <v>61</v>
      </c>
      <c r="E2774" s="2">
        <f t="shared" ca="1" si="307"/>
        <v>10207</v>
      </c>
      <c r="F2774" s="2">
        <f t="shared" ca="1" si="308"/>
        <v>34716</v>
      </c>
      <c r="G2774" s="2">
        <f t="shared" ca="1" si="309"/>
        <v>1265</v>
      </c>
    </row>
    <row r="2775" spans="1:7" x14ac:dyDescent="0.3">
      <c r="A2775" s="5" t="str">
        <f t="shared" si="303"/>
        <v>Reebok</v>
      </c>
      <c r="B2775" s="5" t="str">
        <f t="shared" si="305"/>
        <v>Nano X3</v>
      </c>
      <c r="C2775" s="3">
        <f t="shared" si="304"/>
        <v>45842</v>
      </c>
      <c r="D2775" s="4">
        <f t="shared" ca="1" si="306"/>
        <v>117</v>
      </c>
      <c r="E2775" s="2">
        <f t="shared" ca="1" si="307"/>
        <v>7112</v>
      </c>
      <c r="F2775" s="2">
        <f t="shared" ca="1" si="308"/>
        <v>28740</v>
      </c>
      <c r="G2775" s="2">
        <f t="shared" ca="1" si="309"/>
        <v>680</v>
      </c>
    </row>
    <row r="2776" spans="1:7" x14ac:dyDescent="0.3">
      <c r="A2776" s="5" t="str">
        <f t="shared" si="303"/>
        <v>Nike</v>
      </c>
      <c r="B2776" s="5" t="str">
        <f t="shared" si="305"/>
        <v>Vaporfly 3</v>
      </c>
      <c r="C2776" s="3">
        <f t="shared" si="304"/>
        <v>45842</v>
      </c>
      <c r="D2776" s="4">
        <f t="shared" ca="1" si="306"/>
        <v>205</v>
      </c>
      <c r="E2776" s="2">
        <f t="shared" ca="1" si="307"/>
        <v>1744</v>
      </c>
      <c r="F2776" s="2">
        <f t="shared" ca="1" si="308"/>
        <v>27637</v>
      </c>
      <c r="G2776" s="2">
        <f t="shared" ca="1" si="309"/>
        <v>2068</v>
      </c>
    </row>
    <row r="2777" spans="1:7" x14ac:dyDescent="0.3">
      <c r="A2777" s="5" t="str">
        <f t="shared" si="303"/>
        <v>Adidas</v>
      </c>
      <c r="B2777" s="5" t="str">
        <f t="shared" si="305"/>
        <v>Samba</v>
      </c>
      <c r="C2777" s="3">
        <f t="shared" si="304"/>
        <v>45843</v>
      </c>
      <c r="D2777" s="4">
        <f t="shared" ca="1" si="306"/>
        <v>187</v>
      </c>
      <c r="E2777" s="2">
        <f t="shared" ca="1" si="307"/>
        <v>6119</v>
      </c>
      <c r="F2777" s="2">
        <f t="shared" ca="1" si="308"/>
        <v>17713</v>
      </c>
      <c r="G2777" s="2">
        <f t="shared" ca="1" si="309"/>
        <v>571</v>
      </c>
    </row>
    <row r="2778" spans="1:7" x14ac:dyDescent="0.3">
      <c r="A2778" s="5" t="str">
        <f t="shared" si="303"/>
        <v>Puma</v>
      </c>
      <c r="B2778" s="5" t="str">
        <f t="shared" si="305"/>
        <v>Mayze</v>
      </c>
      <c r="C2778" s="3">
        <f t="shared" si="304"/>
        <v>45843</v>
      </c>
      <c r="D2778" s="4">
        <f t="shared" ca="1" si="306"/>
        <v>185</v>
      </c>
      <c r="E2778" s="2">
        <f t="shared" ca="1" si="307"/>
        <v>7957</v>
      </c>
      <c r="F2778" s="2">
        <f t="shared" ca="1" si="308"/>
        <v>22255</v>
      </c>
      <c r="G2778" s="2">
        <f t="shared" ca="1" si="309"/>
        <v>1280</v>
      </c>
    </row>
    <row r="2779" spans="1:7" x14ac:dyDescent="0.3">
      <c r="A2779" s="5" t="str">
        <f t="shared" si="303"/>
        <v>New Balance</v>
      </c>
      <c r="B2779" s="5" t="str">
        <f t="shared" si="305"/>
        <v>574 Core</v>
      </c>
      <c r="C2779" s="3">
        <f t="shared" si="304"/>
        <v>45843</v>
      </c>
      <c r="D2779" s="4">
        <f t="shared" ca="1" si="306"/>
        <v>30</v>
      </c>
      <c r="E2779" s="2">
        <f t="shared" ca="1" si="307"/>
        <v>5263</v>
      </c>
      <c r="F2779" s="2">
        <f t="shared" ca="1" si="308"/>
        <v>27218</v>
      </c>
      <c r="G2779" s="2">
        <f t="shared" ca="1" si="309"/>
        <v>2135</v>
      </c>
    </row>
    <row r="2780" spans="1:7" x14ac:dyDescent="0.3">
      <c r="A2780" s="5" t="str">
        <f t="shared" si="303"/>
        <v>Reebok</v>
      </c>
      <c r="B2780" s="5" t="str">
        <f t="shared" si="305"/>
        <v>Club C 85</v>
      </c>
      <c r="C2780" s="3">
        <f t="shared" si="304"/>
        <v>45843</v>
      </c>
      <c r="D2780" s="4">
        <f t="shared" ca="1" si="306"/>
        <v>182</v>
      </c>
      <c r="E2780" s="2">
        <f t="shared" ca="1" si="307"/>
        <v>4968</v>
      </c>
      <c r="F2780" s="2">
        <f t="shared" ca="1" si="308"/>
        <v>13887</v>
      </c>
      <c r="G2780" s="2">
        <f t="shared" ca="1" si="309"/>
        <v>327</v>
      </c>
    </row>
    <row r="2781" spans="1:7" x14ac:dyDescent="0.3">
      <c r="A2781" s="5" t="str">
        <f t="shared" si="303"/>
        <v>Nike</v>
      </c>
      <c r="B2781" s="5" t="str">
        <f t="shared" si="305"/>
        <v>Pegasus 40</v>
      </c>
      <c r="C2781" s="3">
        <f t="shared" si="304"/>
        <v>45843</v>
      </c>
      <c r="D2781" s="4">
        <f t="shared" ca="1" si="306"/>
        <v>156</v>
      </c>
      <c r="E2781" s="2">
        <f t="shared" ca="1" si="307"/>
        <v>2209</v>
      </c>
      <c r="F2781" s="2">
        <f t="shared" ca="1" si="308"/>
        <v>29762</v>
      </c>
      <c r="G2781" s="2">
        <f t="shared" ca="1" si="309"/>
        <v>2259</v>
      </c>
    </row>
    <row r="2782" spans="1:7" x14ac:dyDescent="0.3">
      <c r="A2782" s="5" t="str">
        <f t="shared" si="303"/>
        <v>Adidas</v>
      </c>
      <c r="B2782" s="5" t="str">
        <f t="shared" si="305"/>
        <v>Gazelle</v>
      </c>
      <c r="C2782" s="3">
        <f t="shared" si="304"/>
        <v>45843</v>
      </c>
      <c r="D2782" s="4">
        <f t="shared" ca="1" si="306"/>
        <v>235</v>
      </c>
      <c r="E2782" s="2">
        <f t="shared" ca="1" si="307"/>
        <v>4768</v>
      </c>
      <c r="F2782" s="2">
        <f t="shared" ca="1" si="308"/>
        <v>17791</v>
      </c>
      <c r="G2782" s="2">
        <f t="shared" ca="1" si="309"/>
        <v>1077</v>
      </c>
    </row>
    <row r="2783" spans="1:7" x14ac:dyDescent="0.3">
      <c r="A2783" s="5" t="str">
        <f t="shared" si="303"/>
        <v>Puma</v>
      </c>
      <c r="B2783" s="5" t="str">
        <f t="shared" si="305"/>
        <v>Slipstream</v>
      </c>
      <c r="C2783" s="3">
        <f t="shared" si="304"/>
        <v>45843</v>
      </c>
      <c r="D2783" s="4">
        <f t="shared" ca="1" si="306"/>
        <v>139</v>
      </c>
      <c r="E2783" s="2">
        <f t="shared" ca="1" si="307"/>
        <v>4678</v>
      </c>
      <c r="F2783" s="2">
        <f t="shared" ca="1" si="308"/>
        <v>31165</v>
      </c>
      <c r="G2783" s="2">
        <f t="shared" ca="1" si="309"/>
        <v>1588</v>
      </c>
    </row>
    <row r="2784" spans="1:7" x14ac:dyDescent="0.3">
      <c r="A2784" s="5" t="str">
        <f t="shared" si="303"/>
        <v>New Balance</v>
      </c>
      <c r="B2784" s="5" t="str">
        <f t="shared" si="305"/>
        <v>550</v>
      </c>
      <c r="C2784" s="3">
        <f t="shared" si="304"/>
        <v>45843</v>
      </c>
      <c r="D2784" s="4">
        <f t="shared" ca="1" si="306"/>
        <v>22</v>
      </c>
      <c r="E2784" s="2">
        <f t="shared" ca="1" si="307"/>
        <v>7145</v>
      </c>
      <c r="F2784" s="2">
        <f t="shared" ca="1" si="308"/>
        <v>32955</v>
      </c>
      <c r="G2784" s="2">
        <f t="shared" ca="1" si="309"/>
        <v>2009</v>
      </c>
    </row>
    <row r="2785" spans="1:7" x14ac:dyDescent="0.3">
      <c r="A2785" s="5" t="str">
        <f t="shared" si="303"/>
        <v>Reebok</v>
      </c>
      <c r="B2785" s="5" t="str">
        <f t="shared" si="305"/>
        <v>Classic Leather</v>
      </c>
      <c r="C2785" s="3">
        <f t="shared" si="304"/>
        <v>45843</v>
      </c>
      <c r="D2785" s="4">
        <f t="shared" ca="1" si="306"/>
        <v>172</v>
      </c>
      <c r="E2785" s="2">
        <f t="shared" ca="1" si="307"/>
        <v>5511</v>
      </c>
      <c r="F2785" s="2">
        <f t="shared" ca="1" si="308"/>
        <v>22960</v>
      </c>
      <c r="G2785" s="2">
        <f t="shared" ca="1" si="309"/>
        <v>1258</v>
      </c>
    </row>
    <row r="2786" spans="1:7" x14ac:dyDescent="0.3">
      <c r="A2786" s="5" t="str">
        <f t="shared" si="303"/>
        <v>Nike</v>
      </c>
      <c r="B2786" s="5" t="str">
        <f t="shared" si="305"/>
        <v>Air Force 1</v>
      </c>
      <c r="C2786" s="3">
        <f t="shared" si="304"/>
        <v>45843</v>
      </c>
      <c r="D2786" s="4">
        <f t="shared" ca="1" si="306"/>
        <v>159</v>
      </c>
      <c r="E2786" s="2">
        <f t="shared" ca="1" si="307"/>
        <v>2034</v>
      </c>
      <c r="F2786" s="2">
        <f t="shared" ca="1" si="308"/>
        <v>26599</v>
      </c>
      <c r="G2786" s="2">
        <f t="shared" ca="1" si="309"/>
        <v>1845</v>
      </c>
    </row>
    <row r="2787" spans="1:7" x14ac:dyDescent="0.3">
      <c r="A2787" s="5" t="str">
        <f t="shared" si="303"/>
        <v>Adidas</v>
      </c>
      <c r="B2787" s="5" t="str">
        <f t="shared" si="305"/>
        <v>Superstar</v>
      </c>
      <c r="C2787" s="3">
        <f t="shared" si="304"/>
        <v>45843</v>
      </c>
      <c r="D2787" s="4">
        <f t="shared" ca="1" si="306"/>
        <v>128</v>
      </c>
      <c r="E2787" s="2">
        <f t="shared" ca="1" si="307"/>
        <v>7604</v>
      </c>
      <c r="F2787" s="2">
        <f t="shared" ca="1" si="308"/>
        <v>24860</v>
      </c>
      <c r="G2787" s="2">
        <f t="shared" ca="1" si="309"/>
        <v>1813</v>
      </c>
    </row>
    <row r="2788" spans="1:7" x14ac:dyDescent="0.3">
      <c r="A2788" s="5" t="str">
        <f t="shared" si="303"/>
        <v>Puma</v>
      </c>
      <c r="B2788" s="5" t="str">
        <f t="shared" si="305"/>
        <v>Rider Vintage</v>
      </c>
      <c r="C2788" s="3">
        <f t="shared" si="304"/>
        <v>45843</v>
      </c>
      <c r="D2788" s="4">
        <f t="shared" ca="1" si="306"/>
        <v>204</v>
      </c>
      <c r="E2788" s="2">
        <f t="shared" ca="1" si="307"/>
        <v>8160</v>
      </c>
      <c r="F2788" s="2">
        <f t="shared" ca="1" si="308"/>
        <v>12945</v>
      </c>
      <c r="G2788" s="2">
        <f t="shared" ca="1" si="309"/>
        <v>828</v>
      </c>
    </row>
    <row r="2789" spans="1:7" x14ac:dyDescent="0.3">
      <c r="A2789" s="5" t="str">
        <f t="shared" si="303"/>
        <v>New Balance</v>
      </c>
      <c r="B2789" s="5" t="str">
        <f t="shared" si="305"/>
        <v>327</v>
      </c>
      <c r="C2789" s="3">
        <f t="shared" si="304"/>
        <v>45843</v>
      </c>
      <c r="D2789" s="4">
        <f t="shared" ca="1" si="306"/>
        <v>103</v>
      </c>
      <c r="E2789" s="2">
        <f t="shared" ca="1" si="307"/>
        <v>6107</v>
      </c>
      <c r="F2789" s="2">
        <f t="shared" ca="1" si="308"/>
        <v>10267</v>
      </c>
      <c r="G2789" s="2">
        <f t="shared" ca="1" si="309"/>
        <v>811</v>
      </c>
    </row>
    <row r="2790" spans="1:7" x14ac:dyDescent="0.3">
      <c r="A2790" s="5" t="str">
        <f t="shared" si="303"/>
        <v>Reebok</v>
      </c>
      <c r="B2790" s="5" t="str">
        <f t="shared" si="305"/>
        <v>Question Mid</v>
      </c>
      <c r="C2790" s="3">
        <f t="shared" si="304"/>
        <v>45843</v>
      </c>
      <c r="D2790" s="4">
        <f t="shared" ca="1" si="306"/>
        <v>82</v>
      </c>
      <c r="E2790" s="2">
        <f t="shared" ca="1" si="307"/>
        <v>3378</v>
      </c>
      <c r="F2790" s="2">
        <f t="shared" ca="1" si="308"/>
        <v>10813</v>
      </c>
      <c r="G2790" s="2">
        <f t="shared" ca="1" si="309"/>
        <v>709</v>
      </c>
    </row>
    <row r="2791" spans="1:7" x14ac:dyDescent="0.3">
      <c r="A2791" s="5" t="str">
        <f t="shared" si="303"/>
        <v>Nike</v>
      </c>
      <c r="B2791" s="5" t="str">
        <f t="shared" si="305"/>
        <v>Air Max 270</v>
      </c>
      <c r="C2791" s="3">
        <f t="shared" si="304"/>
        <v>45843</v>
      </c>
      <c r="D2791" s="4">
        <f t="shared" ca="1" si="306"/>
        <v>89</v>
      </c>
      <c r="E2791" s="2">
        <f t="shared" ca="1" si="307"/>
        <v>11057</v>
      </c>
      <c r="F2791" s="2">
        <f t="shared" ca="1" si="308"/>
        <v>13532</v>
      </c>
      <c r="G2791" s="2">
        <f t="shared" ca="1" si="309"/>
        <v>647</v>
      </c>
    </row>
    <row r="2792" spans="1:7" x14ac:dyDescent="0.3">
      <c r="A2792" s="5" t="str">
        <f t="shared" si="303"/>
        <v>Adidas</v>
      </c>
      <c r="B2792" s="5" t="str">
        <f t="shared" si="305"/>
        <v>Stan Smith</v>
      </c>
      <c r="C2792" s="3">
        <f t="shared" si="304"/>
        <v>45844</v>
      </c>
      <c r="D2792" s="4">
        <f t="shared" ca="1" si="306"/>
        <v>30</v>
      </c>
      <c r="E2792" s="2">
        <f t="shared" ca="1" si="307"/>
        <v>2179</v>
      </c>
      <c r="F2792" s="2">
        <f t="shared" ca="1" si="308"/>
        <v>20057</v>
      </c>
      <c r="G2792" s="2">
        <f t="shared" ca="1" si="309"/>
        <v>902</v>
      </c>
    </row>
    <row r="2793" spans="1:7" x14ac:dyDescent="0.3">
      <c r="A2793" s="5" t="str">
        <f t="shared" si="303"/>
        <v>Puma</v>
      </c>
      <c r="B2793" s="5" t="str">
        <f t="shared" si="305"/>
        <v>Cali Dream</v>
      </c>
      <c r="C2793" s="3">
        <f t="shared" si="304"/>
        <v>45844</v>
      </c>
      <c r="D2793" s="4">
        <f t="shared" ca="1" si="306"/>
        <v>188</v>
      </c>
      <c r="E2793" s="2">
        <f t="shared" ca="1" si="307"/>
        <v>7098</v>
      </c>
      <c r="F2793" s="2">
        <f t="shared" ca="1" si="308"/>
        <v>24788</v>
      </c>
      <c r="G2793" s="2">
        <f t="shared" ca="1" si="309"/>
        <v>1020</v>
      </c>
    </row>
    <row r="2794" spans="1:7" x14ac:dyDescent="0.3">
      <c r="A2794" s="5" t="str">
        <f t="shared" si="303"/>
        <v>New Balance</v>
      </c>
      <c r="B2794" s="5" t="str">
        <f t="shared" si="305"/>
        <v>9060</v>
      </c>
      <c r="C2794" s="3">
        <f t="shared" si="304"/>
        <v>45844</v>
      </c>
      <c r="D2794" s="4">
        <f t="shared" ca="1" si="306"/>
        <v>142</v>
      </c>
      <c r="E2794" s="2">
        <f t="shared" ca="1" si="307"/>
        <v>10318</v>
      </c>
      <c r="F2794" s="2">
        <f t="shared" ca="1" si="308"/>
        <v>9014</v>
      </c>
      <c r="G2794" s="2">
        <f t="shared" ca="1" si="309"/>
        <v>283</v>
      </c>
    </row>
    <row r="2795" spans="1:7" x14ac:dyDescent="0.3">
      <c r="A2795" s="5" t="str">
        <f t="shared" ref="A2795:A2858" si="310">CHOOSE(MOD(ROW(A2794),5)+1,"Nike","Adidas","Puma","New Balance","Reebok")</f>
        <v>Reebok</v>
      </c>
      <c r="B2795" s="5" t="str">
        <f t="shared" si="305"/>
        <v>Zig Kinetica</v>
      </c>
      <c r="C2795" s="3">
        <f t="shared" ref="C2795:C2858" si="311">DATE(2025,1,1)+INT((ROW(A2795)-2)/15)</f>
        <v>45844</v>
      </c>
      <c r="D2795" s="4">
        <f t="shared" ca="1" si="306"/>
        <v>188</v>
      </c>
      <c r="E2795" s="2">
        <f t="shared" ca="1" si="307"/>
        <v>7275</v>
      </c>
      <c r="F2795" s="2">
        <f t="shared" ca="1" si="308"/>
        <v>31721</v>
      </c>
      <c r="G2795" s="2">
        <f t="shared" ca="1" si="309"/>
        <v>1503</v>
      </c>
    </row>
    <row r="2796" spans="1:7" x14ac:dyDescent="0.3">
      <c r="A2796" s="5" t="str">
        <f t="shared" si="310"/>
        <v>Nike</v>
      </c>
      <c r="B2796" s="5" t="str">
        <f t="shared" si="305"/>
        <v>Jordan 1</v>
      </c>
      <c r="C2796" s="3">
        <f t="shared" si="311"/>
        <v>45844</v>
      </c>
      <c r="D2796" s="4">
        <f t="shared" ca="1" si="306"/>
        <v>71</v>
      </c>
      <c r="E2796" s="2">
        <f t="shared" ca="1" si="307"/>
        <v>4466</v>
      </c>
      <c r="F2796" s="2">
        <f t="shared" ca="1" si="308"/>
        <v>17138</v>
      </c>
      <c r="G2796" s="2">
        <f t="shared" ca="1" si="309"/>
        <v>775</v>
      </c>
    </row>
    <row r="2797" spans="1:7" x14ac:dyDescent="0.3">
      <c r="A2797" s="5" t="str">
        <f t="shared" si="310"/>
        <v>Adidas</v>
      </c>
      <c r="B2797" s="5" t="str">
        <f t="shared" si="305"/>
        <v>Ultraboost 23</v>
      </c>
      <c r="C2797" s="3">
        <f t="shared" si="311"/>
        <v>45844</v>
      </c>
      <c r="D2797" s="4">
        <f t="shared" ca="1" si="306"/>
        <v>174</v>
      </c>
      <c r="E2797" s="2">
        <f t="shared" ca="1" si="307"/>
        <v>3852</v>
      </c>
      <c r="F2797" s="2">
        <f t="shared" ca="1" si="308"/>
        <v>34135</v>
      </c>
      <c r="G2797" s="2">
        <f t="shared" ca="1" si="309"/>
        <v>1366</v>
      </c>
    </row>
    <row r="2798" spans="1:7" x14ac:dyDescent="0.3">
      <c r="A2798" s="5" t="str">
        <f t="shared" si="310"/>
        <v>Puma</v>
      </c>
      <c r="B2798" s="5" t="str">
        <f t="shared" si="305"/>
        <v>RS-X</v>
      </c>
      <c r="C2798" s="3">
        <f t="shared" si="311"/>
        <v>45844</v>
      </c>
      <c r="D2798" s="4">
        <f t="shared" ca="1" si="306"/>
        <v>125</v>
      </c>
      <c r="E2798" s="2">
        <f t="shared" ca="1" si="307"/>
        <v>7239</v>
      </c>
      <c r="F2798" s="2">
        <f t="shared" ca="1" si="308"/>
        <v>9892</v>
      </c>
      <c r="G2798" s="2">
        <f t="shared" ca="1" si="309"/>
        <v>348</v>
      </c>
    </row>
    <row r="2799" spans="1:7" x14ac:dyDescent="0.3">
      <c r="A2799" s="5" t="str">
        <f t="shared" si="310"/>
        <v>New Balance</v>
      </c>
      <c r="B2799" s="5" t="str">
        <f t="shared" si="305"/>
        <v>2002R</v>
      </c>
      <c r="C2799" s="3">
        <f t="shared" si="311"/>
        <v>45844</v>
      </c>
      <c r="D2799" s="4">
        <f t="shared" ca="1" si="306"/>
        <v>79</v>
      </c>
      <c r="E2799" s="2">
        <f t="shared" ca="1" si="307"/>
        <v>6879</v>
      </c>
      <c r="F2799" s="2">
        <f t="shared" ca="1" si="308"/>
        <v>10009</v>
      </c>
      <c r="G2799" s="2">
        <f t="shared" ca="1" si="309"/>
        <v>673</v>
      </c>
    </row>
    <row r="2800" spans="1:7" x14ac:dyDescent="0.3">
      <c r="A2800" s="5" t="str">
        <f t="shared" si="310"/>
        <v>Reebok</v>
      </c>
      <c r="B2800" s="5" t="str">
        <f t="shared" si="305"/>
        <v>Instapump Fury</v>
      </c>
      <c r="C2800" s="3">
        <f t="shared" si="311"/>
        <v>45844</v>
      </c>
      <c r="D2800" s="4">
        <f t="shared" ca="1" si="306"/>
        <v>171</v>
      </c>
      <c r="E2800" s="2">
        <f t="shared" ca="1" si="307"/>
        <v>6360</v>
      </c>
      <c r="F2800" s="2">
        <f t="shared" ca="1" si="308"/>
        <v>27067</v>
      </c>
      <c r="G2800" s="2">
        <f t="shared" ca="1" si="309"/>
        <v>2051</v>
      </c>
    </row>
    <row r="2801" spans="1:7" x14ac:dyDescent="0.3">
      <c r="A2801" s="5" t="str">
        <f t="shared" si="310"/>
        <v>Nike</v>
      </c>
      <c r="B2801" s="5" t="str">
        <f t="shared" si="305"/>
        <v>Cortez</v>
      </c>
      <c r="C2801" s="3">
        <f t="shared" si="311"/>
        <v>45844</v>
      </c>
      <c r="D2801" s="4">
        <f t="shared" ca="1" si="306"/>
        <v>246</v>
      </c>
      <c r="E2801" s="2">
        <f t="shared" ca="1" si="307"/>
        <v>6970</v>
      </c>
      <c r="F2801" s="2">
        <f t="shared" ca="1" si="308"/>
        <v>11137</v>
      </c>
      <c r="G2801" s="2">
        <f t="shared" ca="1" si="309"/>
        <v>733</v>
      </c>
    </row>
    <row r="2802" spans="1:7" x14ac:dyDescent="0.3">
      <c r="A2802" s="5" t="str">
        <f t="shared" si="310"/>
        <v>Adidas</v>
      </c>
      <c r="B2802" s="5" t="str">
        <f t="shared" si="305"/>
        <v>NMD S1</v>
      </c>
      <c r="C2802" s="3">
        <f t="shared" si="311"/>
        <v>45844</v>
      </c>
      <c r="D2802" s="4">
        <f t="shared" ca="1" si="306"/>
        <v>120</v>
      </c>
      <c r="E2802" s="2">
        <f t="shared" ca="1" si="307"/>
        <v>10764</v>
      </c>
      <c r="F2802" s="2">
        <f t="shared" ca="1" si="308"/>
        <v>6352</v>
      </c>
      <c r="G2802" s="2">
        <f t="shared" ca="1" si="309"/>
        <v>309</v>
      </c>
    </row>
    <row r="2803" spans="1:7" x14ac:dyDescent="0.3">
      <c r="A2803" s="5" t="str">
        <f t="shared" si="310"/>
        <v>Puma</v>
      </c>
      <c r="B2803" s="5" t="str">
        <f t="shared" si="305"/>
        <v>Suede Classic</v>
      </c>
      <c r="C2803" s="3">
        <f t="shared" si="311"/>
        <v>45844</v>
      </c>
      <c r="D2803" s="4">
        <f t="shared" ca="1" si="306"/>
        <v>209</v>
      </c>
      <c r="E2803" s="2">
        <f t="shared" ca="1" si="307"/>
        <v>6315</v>
      </c>
      <c r="F2803" s="2">
        <f t="shared" ca="1" si="308"/>
        <v>33875</v>
      </c>
      <c r="G2803" s="2">
        <f t="shared" ca="1" si="309"/>
        <v>891</v>
      </c>
    </row>
    <row r="2804" spans="1:7" x14ac:dyDescent="0.3">
      <c r="A2804" s="5" t="str">
        <f t="shared" si="310"/>
        <v>New Balance</v>
      </c>
      <c r="B2804" s="5" t="str">
        <f t="shared" si="305"/>
        <v>990v6</v>
      </c>
      <c r="C2804" s="3">
        <f t="shared" si="311"/>
        <v>45844</v>
      </c>
      <c r="D2804" s="4">
        <f t="shared" ca="1" si="306"/>
        <v>22</v>
      </c>
      <c r="E2804" s="2">
        <f t="shared" ca="1" si="307"/>
        <v>2823</v>
      </c>
      <c r="F2804" s="2">
        <f t="shared" ca="1" si="308"/>
        <v>10360</v>
      </c>
      <c r="G2804" s="2">
        <f t="shared" ca="1" si="309"/>
        <v>284</v>
      </c>
    </row>
    <row r="2805" spans="1:7" x14ac:dyDescent="0.3">
      <c r="A2805" s="5" t="str">
        <f t="shared" si="310"/>
        <v>Reebok</v>
      </c>
      <c r="B2805" s="5" t="str">
        <f t="shared" si="305"/>
        <v>Nano X3</v>
      </c>
      <c r="C2805" s="3">
        <f t="shared" si="311"/>
        <v>45844</v>
      </c>
      <c r="D2805" s="4">
        <f t="shared" ca="1" si="306"/>
        <v>41</v>
      </c>
      <c r="E2805" s="2">
        <f t="shared" ca="1" si="307"/>
        <v>10175</v>
      </c>
      <c r="F2805" s="2">
        <f t="shared" ca="1" si="308"/>
        <v>8273</v>
      </c>
      <c r="G2805" s="2">
        <f t="shared" ca="1" si="309"/>
        <v>509</v>
      </c>
    </row>
    <row r="2806" spans="1:7" x14ac:dyDescent="0.3">
      <c r="A2806" s="5" t="str">
        <f t="shared" si="310"/>
        <v>Nike</v>
      </c>
      <c r="B2806" s="5" t="str">
        <f t="shared" si="305"/>
        <v>Vaporfly 3</v>
      </c>
      <c r="C2806" s="3">
        <f t="shared" si="311"/>
        <v>45844</v>
      </c>
      <c r="D2806" s="4">
        <f t="shared" ca="1" si="306"/>
        <v>153</v>
      </c>
      <c r="E2806" s="2">
        <f t="shared" ca="1" si="307"/>
        <v>9866</v>
      </c>
      <c r="F2806" s="2">
        <f t="shared" ca="1" si="308"/>
        <v>29523</v>
      </c>
      <c r="G2806" s="2">
        <f t="shared" ca="1" si="309"/>
        <v>1418</v>
      </c>
    </row>
    <row r="2807" spans="1:7" x14ac:dyDescent="0.3">
      <c r="A2807" s="5" t="str">
        <f t="shared" si="310"/>
        <v>Adidas</v>
      </c>
      <c r="B2807" s="5" t="str">
        <f t="shared" si="305"/>
        <v>Samba</v>
      </c>
      <c r="C2807" s="3">
        <f t="shared" si="311"/>
        <v>45845</v>
      </c>
      <c r="D2807" s="4">
        <f t="shared" ca="1" si="306"/>
        <v>176</v>
      </c>
      <c r="E2807" s="2">
        <f t="shared" ca="1" si="307"/>
        <v>5934</v>
      </c>
      <c r="F2807" s="2">
        <f t="shared" ca="1" si="308"/>
        <v>27303</v>
      </c>
      <c r="G2807" s="2">
        <f t="shared" ca="1" si="309"/>
        <v>694</v>
      </c>
    </row>
    <row r="2808" spans="1:7" x14ac:dyDescent="0.3">
      <c r="A2808" s="5" t="str">
        <f t="shared" si="310"/>
        <v>Puma</v>
      </c>
      <c r="B2808" s="5" t="str">
        <f t="shared" si="305"/>
        <v>Mayze</v>
      </c>
      <c r="C2808" s="3">
        <f t="shared" si="311"/>
        <v>45845</v>
      </c>
      <c r="D2808" s="4">
        <f t="shared" ca="1" si="306"/>
        <v>62</v>
      </c>
      <c r="E2808" s="2">
        <f t="shared" ca="1" si="307"/>
        <v>7190</v>
      </c>
      <c r="F2808" s="2">
        <f t="shared" ca="1" si="308"/>
        <v>30294</v>
      </c>
      <c r="G2808" s="2">
        <f t="shared" ca="1" si="309"/>
        <v>2349</v>
      </c>
    </row>
    <row r="2809" spans="1:7" x14ac:dyDescent="0.3">
      <c r="A2809" s="5" t="str">
        <f t="shared" si="310"/>
        <v>New Balance</v>
      </c>
      <c r="B2809" s="5" t="str">
        <f t="shared" si="305"/>
        <v>574 Core</v>
      </c>
      <c r="C2809" s="3">
        <f t="shared" si="311"/>
        <v>45845</v>
      </c>
      <c r="D2809" s="4">
        <f t="shared" ca="1" si="306"/>
        <v>65</v>
      </c>
      <c r="E2809" s="2">
        <f t="shared" ca="1" si="307"/>
        <v>6492</v>
      </c>
      <c r="F2809" s="2">
        <f t="shared" ca="1" si="308"/>
        <v>19247</v>
      </c>
      <c r="G2809" s="2">
        <f t="shared" ca="1" si="309"/>
        <v>765</v>
      </c>
    </row>
    <row r="2810" spans="1:7" x14ac:dyDescent="0.3">
      <c r="A2810" s="5" t="str">
        <f t="shared" si="310"/>
        <v>Reebok</v>
      </c>
      <c r="B2810" s="5" t="str">
        <f t="shared" si="305"/>
        <v>Club C 85</v>
      </c>
      <c r="C2810" s="3">
        <f t="shared" si="311"/>
        <v>45845</v>
      </c>
      <c r="D2810" s="4">
        <f t="shared" ca="1" si="306"/>
        <v>74</v>
      </c>
      <c r="E2810" s="2">
        <f t="shared" ca="1" si="307"/>
        <v>9935</v>
      </c>
      <c r="F2810" s="2">
        <f t="shared" ca="1" si="308"/>
        <v>13939</v>
      </c>
      <c r="G2810" s="2">
        <f t="shared" ca="1" si="309"/>
        <v>369</v>
      </c>
    </row>
    <row r="2811" spans="1:7" x14ac:dyDescent="0.3">
      <c r="A2811" s="5" t="str">
        <f t="shared" si="310"/>
        <v>Nike</v>
      </c>
      <c r="B2811" s="5" t="str">
        <f t="shared" si="305"/>
        <v>Pegasus 40</v>
      </c>
      <c r="C2811" s="3">
        <f t="shared" si="311"/>
        <v>45845</v>
      </c>
      <c r="D2811" s="4">
        <f t="shared" ca="1" si="306"/>
        <v>190</v>
      </c>
      <c r="E2811" s="2">
        <f t="shared" ca="1" si="307"/>
        <v>6929</v>
      </c>
      <c r="F2811" s="2">
        <f t="shared" ca="1" si="308"/>
        <v>21300</v>
      </c>
      <c r="G2811" s="2">
        <f t="shared" ca="1" si="309"/>
        <v>1170</v>
      </c>
    </row>
    <row r="2812" spans="1:7" x14ac:dyDescent="0.3">
      <c r="A2812" s="5" t="str">
        <f t="shared" si="310"/>
        <v>Adidas</v>
      </c>
      <c r="B2812" s="5" t="str">
        <f t="shared" si="305"/>
        <v>Gazelle</v>
      </c>
      <c r="C2812" s="3">
        <f t="shared" si="311"/>
        <v>45845</v>
      </c>
      <c r="D2812" s="4">
        <f t="shared" ca="1" si="306"/>
        <v>181</v>
      </c>
      <c r="E2812" s="2">
        <f t="shared" ca="1" si="307"/>
        <v>8099</v>
      </c>
      <c r="F2812" s="2">
        <f t="shared" ca="1" si="308"/>
        <v>25279</v>
      </c>
      <c r="G2812" s="2">
        <f t="shared" ca="1" si="309"/>
        <v>1653</v>
      </c>
    </row>
    <row r="2813" spans="1:7" x14ac:dyDescent="0.3">
      <c r="A2813" s="5" t="str">
        <f t="shared" si="310"/>
        <v>Puma</v>
      </c>
      <c r="B2813" s="5" t="str">
        <f t="shared" si="305"/>
        <v>Slipstream</v>
      </c>
      <c r="C2813" s="3">
        <f t="shared" si="311"/>
        <v>45845</v>
      </c>
      <c r="D2813" s="4">
        <f t="shared" ca="1" si="306"/>
        <v>96</v>
      </c>
      <c r="E2813" s="2">
        <f t="shared" ca="1" si="307"/>
        <v>8413</v>
      </c>
      <c r="F2813" s="2">
        <f t="shared" ca="1" si="308"/>
        <v>25446</v>
      </c>
      <c r="G2813" s="2">
        <f t="shared" ca="1" si="309"/>
        <v>1498</v>
      </c>
    </row>
    <row r="2814" spans="1:7" x14ac:dyDescent="0.3">
      <c r="A2814" s="5" t="str">
        <f t="shared" si="310"/>
        <v>New Balance</v>
      </c>
      <c r="B2814" s="5" t="str">
        <f t="shared" si="305"/>
        <v>550</v>
      </c>
      <c r="C2814" s="3">
        <f t="shared" si="311"/>
        <v>45845</v>
      </c>
      <c r="D2814" s="4">
        <f t="shared" ca="1" si="306"/>
        <v>78</v>
      </c>
      <c r="E2814" s="2">
        <f t="shared" ca="1" si="307"/>
        <v>11258</v>
      </c>
      <c r="F2814" s="2">
        <f t="shared" ca="1" si="308"/>
        <v>7235</v>
      </c>
      <c r="G2814" s="2">
        <f t="shared" ca="1" si="309"/>
        <v>451</v>
      </c>
    </row>
    <row r="2815" spans="1:7" x14ac:dyDescent="0.3">
      <c r="A2815" s="5" t="str">
        <f t="shared" si="310"/>
        <v>Reebok</v>
      </c>
      <c r="B2815" s="5" t="str">
        <f t="shared" si="305"/>
        <v>Classic Leather</v>
      </c>
      <c r="C2815" s="3">
        <f t="shared" si="311"/>
        <v>45845</v>
      </c>
      <c r="D2815" s="4">
        <f t="shared" ca="1" si="306"/>
        <v>57</v>
      </c>
      <c r="E2815" s="2">
        <f t="shared" ca="1" si="307"/>
        <v>6311</v>
      </c>
      <c r="F2815" s="2">
        <f t="shared" ca="1" si="308"/>
        <v>25387</v>
      </c>
      <c r="G2815" s="2">
        <f t="shared" ca="1" si="309"/>
        <v>1412</v>
      </c>
    </row>
    <row r="2816" spans="1:7" x14ac:dyDescent="0.3">
      <c r="A2816" s="5" t="str">
        <f t="shared" si="310"/>
        <v>Nike</v>
      </c>
      <c r="B2816" s="5" t="str">
        <f t="shared" si="305"/>
        <v>Air Force 1</v>
      </c>
      <c r="C2816" s="3">
        <f t="shared" si="311"/>
        <v>45845</v>
      </c>
      <c r="D2816" s="4">
        <f t="shared" ca="1" si="306"/>
        <v>48</v>
      </c>
      <c r="E2816" s="2">
        <f t="shared" ca="1" si="307"/>
        <v>10662</v>
      </c>
      <c r="F2816" s="2">
        <f t="shared" ca="1" si="308"/>
        <v>14202</v>
      </c>
      <c r="G2816" s="2">
        <f t="shared" ca="1" si="309"/>
        <v>909</v>
      </c>
    </row>
    <row r="2817" spans="1:7" x14ac:dyDescent="0.3">
      <c r="A2817" s="5" t="str">
        <f t="shared" si="310"/>
        <v>Adidas</v>
      </c>
      <c r="B2817" s="5" t="str">
        <f t="shared" si="305"/>
        <v>Superstar</v>
      </c>
      <c r="C2817" s="3">
        <f t="shared" si="311"/>
        <v>45845</v>
      </c>
      <c r="D2817" s="4">
        <f t="shared" ca="1" si="306"/>
        <v>119</v>
      </c>
      <c r="E2817" s="2">
        <f t="shared" ca="1" si="307"/>
        <v>1678</v>
      </c>
      <c r="F2817" s="2">
        <f t="shared" ca="1" si="308"/>
        <v>21659</v>
      </c>
      <c r="G2817" s="2">
        <f t="shared" ca="1" si="309"/>
        <v>583</v>
      </c>
    </row>
    <row r="2818" spans="1:7" x14ac:dyDescent="0.3">
      <c r="A2818" s="5" t="str">
        <f t="shared" si="310"/>
        <v>Puma</v>
      </c>
      <c r="B2818" s="5" t="str">
        <f t="shared" si="305"/>
        <v>Rider Vintage</v>
      </c>
      <c r="C2818" s="3">
        <f t="shared" si="311"/>
        <v>45845</v>
      </c>
      <c r="D2818" s="4">
        <f t="shared" ca="1" si="306"/>
        <v>33</v>
      </c>
      <c r="E2818" s="2">
        <f t="shared" ca="1" si="307"/>
        <v>11892</v>
      </c>
      <c r="F2818" s="2">
        <f t="shared" ca="1" si="308"/>
        <v>32976</v>
      </c>
      <c r="G2818" s="2">
        <f t="shared" ca="1" si="309"/>
        <v>1471</v>
      </c>
    </row>
    <row r="2819" spans="1:7" x14ac:dyDescent="0.3">
      <c r="A2819" s="5" t="str">
        <f t="shared" si="310"/>
        <v>New Balance</v>
      </c>
      <c r="B2819" s="5" t="str">
        <f t="shared" ref="B2819:B2882" si="312">IF(A2819="Nike",CHOOSE(MOD(ROW(A2818),6)+1,"Air Max 270","Air Force 1","Pegasus 40","Vaporfly 3","Cortez","Jordan 1"),
 IF(A2819="Adidas",CHOOSE(MOD(ROW(A2818),6)+1,"Ultraboost 23","Stan Smith","Superstar","Gazelle","Samba","NMD S1"),
 IF(A2819="Puma",CHOOSE(MOD(ROW(A2818),6)+1,"Suede Classic","RS-X","Cali Dream","Rider Vintage","Slipstream","Mayze"),
 IF(A2819="New Balance",CHOOSE(MOD(ROW(A2818),6)+1,"574 Core","990v6","2002R","9060","327","550"),
 IF(A2819="Reebok",CHOOSE(MOD(ROW(A2818),6)+1,"Classic Leather","Club C 85","Nano X3","Instapump Fury","Zig Kinetica","Question Mid"),"")))))</f>
        <v>327</v>
      </c>
      <c r="C2819" s="3">
        <f t="shared" si="311"/>
        <v>45845</v>
      </c>
      <c r="D2819" s="4">
        <f t="shared" ref="D2819:D2882" ca="1" si="313">RANDBETWEEN(20,250)</f>
        <v>146</v>
      </c>
      <c r="E2819" s="2">
        <f t="shared" ref="E2819:E2882" ca="1" si="314">ROUND(RANDBETWEEN(1500,12000)+(RANDBETWEEN(-200,200)),2)</f>
        <v>10926</v>
      </c>
      <c r="F2819" s="2">
        <f t="shared" ref="F2819:F2882" ca="1" si="315">RANDBETWEEN(5000,35000)</f>
        <v>24690</v>
      </c>
      <c r="G2819" s="2">
        <f t="shared" ref="G2819:G2882" ca="1" si="316">RANDBETWEEN(ROUND(F2819*0.02,0),ROUND(F2819*0.08,0))</f>
        <v>1333</v>
      </c>
    </row>
    <row r="2820" spans="1:7" x14ac:dyDescent="0.3">
      <c r="A2820" s="5" t="str">
        <f t="shared" si="310"/>
        <v>Reebok</v>
      </c>
      <c r="B2820" s="5" t="str">
        <f t="shared" si="312"/>
        <v>Question Mid</v>
      </c>
      <c r="C2820" s="3">
        <f t="shared" si="311"/>
        <v>45845</v>
      </c>
      <c r="D2820" s="4">
        <f t="shared" ca="1" si="313"/>
        <v>34</v>
      </c>
      <c r="E2820" s="2">
        <f t="shared" ca="1" si="314"/>
        <v>5209</v>
      </c>
      <c r="F2820" s="2">
        <f t="shared" ca="1" si="315"/>
        <v>27169</v>
      </c>
      <c r="G2820" s="2">
        <f t="shared" ca="1" si="316"/>
        <v>1095</v>
      </c>
    </row>
    <row r="2821" spans="1:7" x14ac:dyDescent="0.3">
      <c r="A2821" s="5" t="str">
        <f t="shared" si="310"/>
        <v>Nike</v>
      </c>
      <c r="B2821" s="5" t="str">
        <f t="shared" si="312"/>
        <v>Air Max 270</v>
      </c>
      <c r="C2821" s="3">
        <f t="shared" si="311"/>
        <v>45845</v>
      </c>
      <c r="D2821" s="4">
        <f t="shared" ca="1" si="313"/>
        <v>207</v>
      </c>
      <c r="E2821" s="2">
        <f t="shared" ca="1" si="314"/>
        <v>9257</v>
      </c>
      <c r="F2821" s="2">
        <f t="shared" ca="1" si="315"/>
        <v>11596</v>
      </c>
      <c r="G2821" s="2">
        <f t="shared" ca="1" si="316"/>
        <v>260</v>
      </c>
    </row>
    <row r="2822" spans="1:7" x14ac:dyDescent="0.3">
      <c r="A2822" s="5" t="str">
        <f t="shared" si="310"/>
        <v>Adidas</v>
      </c>
      <c r="B2822" s="5" t="str">
        <f t="shared" si="312"/>
        <v>Stan Smith</v>
      </c>
      <c r="C2822" s="3">
        <f t="shared" si="311"/>
        <v>45846</v>
      </c>
      <c r="D2822" s="4">
        <f t="shared" ca="1" si="313"/>
        <v>91</v>
      </c>
      <c r="E2822" s="2">
        <f t="shared" ca="1" si="314"/>
        <v>2212</v>
      </c>
      <c r="F2822" s="2">
        <f t="shared" ca="1" si="315"/>
        <v>14616</v>
      </c>
      <c r="G2822" s="2">
        <f t="shared" ca="1" si="316"/>
        <v>1035</v>
      </c>
    </row>
    <row r="2823" spans="1:7" x14ac:dyDescent="0.3">
      <c r="A2823" s="5" t="str">
        <f t="shared" si="310"/>
        <v>Puma</v>
      </c>
      <c r="B2823" s="5" t="str">
        <f t="shared" si="312"/>
        <v>Cali Dream</v>
      </c>
      <c r="C2823" s="3">
        <f t="shared" si="311"/>
        <v>45846</v>
      </c>
      <c r="D2823" s="4">
        <f t="shared" ca="1" si="313"/>
        <v>126</v>
      </c>
      <c r="E2823" s="2">
        <f t="shared" ca="1" si="314"/>
        <v>1737</v>
      </c>
      <c r="F2823" s="2">
        <f t="shared" ca="1" si="315"/>
        <v>32811</v>
      </c>
      <c r="G2823" s="2">
        <f t="shared" ca="1" si="316"/>
        <v>830</v>
      </c>
    </row>
    <row r="2824" spans="1:7" x14ac:dyDescent="0.3">
      <c r="A2824" s="5" t="str">
        <f t="shared" si="310"/>
        <v>New Balance</v>
      </c>
      <c r="B2824" s="5" t="str">
        <f t="shared" si="312"/>
        <v>9060</v>
      </c>
      <c r="C2824" s="3">
        <f t="shared" si="311"/>
        <v>45846</v>
      </c>
      <c r="D2824" s="4">
        <f t="shared" ca="1" si="313"/>
        <v>140</v>
      </c>
      <c r="E2824" s="2">
        <f t="shared" ca="1" si="314"/>
        <v>9380</v>
      </c>
      <c r="F2824" s="2">
        <f t="shared" ca="1" si="315"/>
        <v>14528</v>
      </c>
      <c r="G2824" s="2">
        <f t="shared" ca="1" si="316"/>
        <v>675</v>
      </c>
    </row>
    <row r="2825" spans="1:7" x14ac:dyDescent="0.3">
      <c r="A2825" s="5" t="str">
        <f t="shared" si="310"/>
        <v>Reebok</v>
      </c>
      <c r="B2825" s="5" t="str">
        <f t="shared" si="312"/>
        <v>Zig Kinetica</v>
      </c>
      <c r="C2825" s="3">
        <f t="shared" si="311"/>
        <v>45846</v>
      </c>
      <c r="D2825" s="4">
        <f t="shared" ca="1" si="313"/>
        <v>104</v>
      </c>
      <c r="E2825" s="2">
        <f t="shared" ca="1" si="314"/>
        <v>9976</v>
      </c>
      <c r="F2825" s="2">
        <f t="shared" ca="1" si="315"/>
        <v>7061</v>
      </c>
      <c r="G2825" s="2">
        <f t="shared" ca="1" si="316"/>
        <v>274</v>
      </c>
    </row>
    <row r="2826" spans="1:7" x14ac:dyDescent="0.3">
      <c r="A2826" s="5" t="str">
        <f t="shared" si="310"/>
        <v>Nike</v>
      </c>
      <c r="B2826" s="5" t="str">
        <f t="shared" si="312"/>
        <v>Jordan 1</v>
      </c>
      <c r="C2826" s="3">
        <f t="shared" si="311"/>
        <v>45846</v>
      </c>
      <c r="D2826" s="4">
        <f t="shared" ca="1" si="313"/>
        <v>159</v>
      </c>
      <c r="E2826" s="2">
        <f t="shared" ca="1" si="314"/>
        <v>1807</v>
      </c>
      <c r="F2826" s="2">
        <f t="shared" ca="1" si="315"/>
        <v>5171</v>
      </c>
      <c r="G2826" s="2">
        <f t="shared" ca="1" si="316"/>
        <v>262</v>
      </c>
    </row>
    <row r="2827" spans="1:7" x14ac:dyDescent="0.3">
      <c r="A2827" s="5" t="str">
        <f t="shared" si="310"/>
        <v>Adidas</v>
      </c>
      <c r="B2827" s="5" t="str">
        <f t="shared" si="312"/>
        <v>Ultraboost 23</v>
      </c>
      <c r="C2827" s="3">
        <f t="shared" si="311"/>
        <v>45846</v>
      </c>
      <c r="D2827" s="4">
        <f t="shared" ca="1" si="313"/>
        <v>134</v>
      </c>
      <c r="E2827" s="2">
        <f t="shared" ca="1" si="314"/>
        <v>8946</v>
      </c>
      <c r="F2827" s="2">
        <f t="shared" ca="1" si="315"/>
        <v>23034</v>
      </c>
      <c r="G2827" s="2">
        <f t="shared" ca="1" si="316"/>
        <v>729</v>
      </c>
    </row>
    <row r="2828" spans="1:7" x14ac:dyDescent="0.3">
      <c r="A2828" s="5" t="str">
        <f t="shared" si="310"/>
        <v>Puma</v>
      </c>
      <c r="B2828" s="5" t="str">
        <f t="shared" si="312"/>
        <v>RS-X</v>
      </c>
      <c r="C2828" s="3">
        <f t="shared" si="311"/>
        <v>45846</v>
      </c>
      <c r="D2828" s="4">
        <f t="shared" ca="1" si="313"/>
        <v>27</v>
      </c>
      <c r="E2828" s="2">
        <f t="shared" ca="1" si="314"/>
        <v>3444</v>
      </c>
      <c r="F2828" s="2">
        <f t="shared" ca="1" si="315"/>
        <v>6680</v>
      </c>
      <c r="G2828" s="2">
        <f t="shared" ca="1" si="316"/>
        <v>249</v>
      </c>
    </row>
    <row r="2829" spans="1:7" x14ac:dyDescent="0.3">
      <c r="A2829" s="5" t="str">
        <f t="shared" si="310"/>
        <v>New Balance</v>
      </c>
      <c r="B2829" s="5" t="str">
        <f t="shared" si="312"/>
        <v>2002R</v>
      </c>
      <c r="C2829" s="3">
        <f t="shared" si="311"/>
        <v>45846</v>
      </c>
      <c r="D2829" s="4">
        <f t="shared" ca="1" si="313"/>
        <v>125</v>
      </c>
      <c r="E2829" s="2">
        <f t="shared" ca="1" si="314"/>
        <v>2997</v>
      </c>
      <c r="F2829" s="2">
        <f t="shared" ca="1" si="315"/>
        <v>34787</v>
      </c>
      <c r="G2829" s="2">
        <f t="shared" ca="1" si="316"/>
        <v>1795</v>
      </c>
    </row>
    <row r="2830" spans="1:7" x14ac:dyDescent="0.3">
      <c r="A2830" s="5" t="str">
        <f t="shared" si="310"/>
        <v>Reebok</v>
      </c>
      <c r="B2830" s="5" t="str">
        <f t="shared" si="312"/>
        <v>Instapump Fury</v>
      </c>
      <c r="C2830" s="3">
        <f t="shared" si="311"/>
        <v>45846</v>
      </c>
      <c r="D2830" s="4">
        <f t="shared" ca="1" si="313"/>
        <v>33</v>
      </c>
      <c r="E2830" s="2">
        <f t="shared" ca="1" si="314"/>
        <v>10951</v>
      </c>
      <c r="F2830" s="2">
        <f t="shared" ca="1" si="315"/>
        <v>20638</v>
      </c>
      <c r="G2830" s="2">
        <f t="shared" ca="1" si="316"/>
        <v>754</v>
      </c>
    </row>
    <row r="2831" spans="1:7" x14ac:dyDescent="0.3">
      <c r="A2831" s="5" t="str">
        <f t="shared" si="310"/>
        <v>Nike</v>
      </c>
      <c r="B2831" s="5" t="str">
        <f t="shared" si="312"/>
        <v>Cortez</v>
      </c>
      <c r="C2831" s="3">
        <f t="shared" si="311"/>
        <v>45846</v>
      </c>
      <c r="D2831" s="4">
        <f t="shared" ca="1" si="313"/>
        <v>173</v>
      </c>
      <c r="E2831" s="2">
        <f t="shared" ca="1" si="314"/>
        <v>8522</v>
      </c>
      <c r="F2831" s="2">
        <f t="shared" ca="1" si="315"/>
        <v>14568</v>
      </c>
      <c r="G2831" s="2">
        <f t="shared" ca="1" si="316"/>
        <v>1031</v>
      </c>
    </row>
    <row r="2832" spans="1:7" x14ac:dyDescent="0.3">
      <c r="A2832" s="5" t="str">
        <f t="shared" si="310"/>
        <v>Adidas</v>
      </c>
      <c r="B2832" s="5" t="str">
        <f t="shared" si="312"/>
        <v>NMD S1</v>
      </c>
      <c r="C2832" s="3">
        <f t="shared" si="311"/>
        <v>45846</v>
      </c>
      <c r="D2832" s="4">
        <f t="shared" ca="1" si="313"/>
        <v>163</v>
      </c>
      <c r="E2832" s="2">
        <f t="shared" ca="1" si="314"/>
        <v>4408</v>
      </c>
      <c r="F2832" s="2">
        <f t="shared" ca="1" si="315"/>
        <v>26895</v>
      </c>
      <c r="G2832" s="2">
        <f t="shared" ca="1" si="316"/>
        <v>1129</v>
      </c>
    </row>
    <row r="2833" spans="1:7" x14ac:dyDescent="0.3">
      <c r="A2833" s="5" t="str">
        <f t="shared" si="310"/>
        <v>Puma</v>
      </c>
      <c r="B2833" s="5" t="str">
        <f t="shared" si="312"/>
        <v>Suede Classic</v>
      </c>
      <c r="C2833" s="3">
        <f t="shared" si="311"/>
        <v>45846</v>
      </c>
      <c r="D2833" s="4">
        <f t="shared" ca="1" si="313"/>
        <v>187</v>
      </c>
      <c r="E2833" s="2">
        <f t="shared" ca="1" si="314"/>
        <v>5076</v>
      </c>
      <c r="F2833" s="2">
        <f t="shared" ca="1" si="315"/>
        <v>16698</v>
      </c>
      <c r="G2833" s="2">
        <f t="shared" ca="1" si="316"/>
        <v>1119</v>
      </c>
    </row>
    <row r="2834" spans="1:7" x14ac:dyDescent="0.3">
      <c r="A2834" s="5" t="str">
        <f t="shared" si="310"/>
        <v>New Balance</v>
      </c>
      <c r="B2834" s="5" t="str">
        <f t="shared" si="312"/>
        <v>990v6</v>
      </c>
      <c r="C2834" s="3">
        <f t="shared" si="311"/>
        <v>45846</v>
      </c>
      <c r="D2834" s="4">
        <f t="shared" ca="1" si="313"/>
        <v>199</v>
      </c>
      <c r="E2834" s="2">
        <f t="shared" ca="1" si="314"/>
        <v>9505</v>
      </c>
      <c r="F2834" s="2">
        <f t="shared" ca="1" si="315"/>
        <v>23634</v>
      </c>
      <c r="G2834" s="2">
        <f t="shared" ca="1" si="316"/>
        <v>1095</v>
      </c>
    </row>
    <row r="2835" spans="1:7" x14ac:dyDescent="0.3">
      <c r="A2835" s="5" t="str">
        <f t="shared" si="310"/>
        <v>Reebok</v>
      </c>
      <c r="B2835" s="5" t="str">
        <f t="shared" si="312"/>
        <v>Nano X3</v>
      </c>
      <c r="C2835" s="3">
        <f t="shared" si="311"/>
        <v>45846</v>
      </c>
      <c r="D2835" s="4">
        <f t="shared" ca="1" si="313"/>
        <v>205</v>
      </c>
      <c r="E2835" s="2">
        <f t="shared" ca="1" si="314"/>
        <v>9389</v>
      </c>
      <c r="F2835" s="2">
        <f t="shared" ca="1" si="315"/>
        <v>19074</v>
      </c>
      <c r="G2835" s="2">
        <f t="shared" ca="1" si="316"/>
        <v>1070</v>
      </c>
    </row>
    <row r="2836" spans="1:7" x14ac:dyDescent="0.3">
      <c r="A2836" s="5" t="str">
        <f t="shared" si="310"/>
        <v>Nike</v>
      </c>
      <c r="B2836" s="5" t="str">
        <f t="shared" si="312"/>
        <v>Vaporfly 3</v>
      </c>
      <c r="C2836" s="3">
        <f t="shared" si="311"/>
        <v>45846</v>
      </c>
      <c r="D2836" s="4">
        <f t="shared" ca="1" si="313"/>
        <v>231</v>
      </c>
      <c r="E2836" s="2">
        <f t="shared" ca="1" si="314"/>
        <v>11925</v>
      </c>
      <c r="F2836" s="2">
        <f t="shared" ca="1" si="315"/>
        <v>5838</v>
      </c>
      <c r="G2836" s="2">
        <f t="shared" ca="1" si="316"/>
        <v>396</v>
      </c>
    </row>
    <row r="2837" spans="1:7" x14ac:dyDescent="0.3">
      <c r="A2837" s="5" t="str">
        <f t="shared" si="310"/>
        <v>Adidas</v>
      </c>
      <c r="B2837" s="5" t="str">
        <f t="shared" si="312"/>
        <v>Samba</v>
      </c>
      <c r="C2837" s="3">
        <f t="shared" si="311"/>
        <v>45847</v>
      </c>
      <c r="D2837" s="4">
        <f t="shared" ca="1" si="313"/>
        <v>101</v>
      </c>
      <c r="E2837" s="2">
        <f t="shared" ca="1" si="314"/>
        <v>7184</v>
      </c>
      <c r="F2837" s="2">
        <f t="shared" ca="1" si="315"/>
        <v>5731</v>
      </c>
      <c r="G2837" s="2">
        <f t="shared" ca="1" si="316"/>
        <v>141</v>
      </c>
    </row>
    <row r="2838" spans="1:7" x14ac:dyDescent="0.3">
      <c r="A2838" s="5" t="str">
        <f t="shared" si="310"/>
        <v>Puma</v>
      </c>
      <c r="B2838" s="5" t="str">
        <f t="shared" si="312"/>
        <v>Mayze</v>
      </c>
      <c r="C2838" s="3">
        <f t="shared" si="311"/>
        <v>45847</v>
      </c>
      <c r="D2838" s="4">
        <f t="shared" ca="1" si="313"/>
        <v>125</v>
      </c>
      <c r="E2838" s="2">
        <f t="shared" ca="1" si="314"/>
        <v>8692</v>
      </c>
      <c r="F2838" s="2">
        <f t="shared" ca="1" si="315"/>
        <v>28332</v>
      </c>
      <c r="G2838" s="2">
        <f t="shared" ca="1" si="316"/>
        <v>763</v>
      </c>
    </row>
    <row r="2839" spans="1:7" x14ac:dyDescent="0.3">
      <c r="A2839" s="5" t="str">
        <f t="shared" si="310"/>
        <v>New Balance</v>
      </c>
      <c r="B2839" s="5" t="str">
        <f t="shared" si="312"/>
        <v>574 Core</v>
      </c>
      <c r="C2839" s="3">
        <f t="shared" si="311"/>
        <v>45847</v>
      </c>
      <c r="D2839" s="4">
        <f t="shared" ca="1" si="313"/>
        <v>127</v>
      </c>
      <c r="E2839" s="2">
        <f t="shared" ca="1" si="314"/>
        <v>10654</v>
      </c>
      <c r="F2839" s="2">
        <f t="shared" ca="1" si="315"/>
        <v>15783</v>
      </c>
      <c r="G2839" s="2">
        <f t="shared" ca="1" si="316"/>
        <v>874</v>
      </c>
    </row>
    <row r="2840" spans="1:7" x14ac:dyDescent="0.3">
      <c r="A2840" s="5" t="str">
        <f t="shared" si="310"/>
        <v>Reebok</v>
      </c>
      <c r="B2840" s="5" t="str">
        <f t="shared" si="312"/>
        <v>Club C 85</v>
      </c>
      <c r="C2840" s="3">
        <f t="shared" si="311"/>
        <v>45847</v>
      </c>
      <c r="D2840" s="4">
        <f t="shared" ca="1" si="313"/>
        <v>108</v>
      </c>
      <c r="E2840" s="2">
        <f t="shared" ca="1" si="314"/>
        <v>10932</v>
      </c>
      <c r="F2840" s="2">
        <f t="shared" ca="1" si="315"/>
        <v>22452</v>
      </c>
      <c r="G2840" s="2">
        <f t="shared" ca="1" si="316"/>
        <v>1521</v>
      </c>
    </row>
    <row r="2841" spans="1:7" x14ac:dyDescent="0.3">
      <c r="A2841" s="5" t="str">
        <f t="shared" si="310"/>
        <v>Nike</v>
      </c>
      <c r="B2841" s="5" t="str">
        <f t="shared" si="312"/>
        <v>Pegasus 40</v>
      </c>
      <c r="C2841" s="3">
        <f t="shared" si="311"/>
        <v>45847</v>
      </c>
      <c r="D2841" s="4">
        <f t="shared" ca="1" si="313"/>
        <v>155</v>
      </c>
      <c r="E2841" s="2">
        <f t="shared" ca="1" si="314"/>
        <v>1425</v>
      </c>
      <c r="F2841" s="2">
        <f t="shared" ca="1" si="315"/>
        <v>25844</v>
      </c>
      <c r="G2841" s="2">
        <f t="shared" ca="1" si="316"/>
        <v>1112</v>
      </c>
    </row>
    <row r="2842" spans="1:7" x14ac:dyDescent="0.3">
      <c r="A2842" s="5" t="str">
        <f t="shared" si="310"/>
        <v>Adidas</v>
      </c>
      <c r="B2842" s="5" t="str">
        <f t="shared" si="312"/>
        <v>Gazelle</v>
      </c>
      <c r="C2842" s="3">
        <f t="shared" si="311"/>
        <v>45847</v>
      </c>
      <c r="D2842" s="4">
        <f t="shared" ca="1" si="313"/>
        <v>89</v>
      </c>
      <c r="E2842" s="2">
        <f t="shared" ca="1" si="314"/>
        <v>5819</v>
      </c>
      <c r="F2842" s="2">
        <f t="shared" ca="1" si="315"/>
        <v>18644</v>
      </c>
      <c r="G2842" s="2">
        <f t="shared" ca="1" si="316"/>
        <v>1321</v>
      </c>
    </row>
    <row r="2843" spans="1:7" x14ac:dyDescent="0.3">
      <c r="A2843" s="5" t="str">
        <f t="shared" si="310"/>
        <v>Puma</v>
      </c>
      <c r="B2843" s="5" t="str">
        <f t="shared" si="312"/>
        <v>Slipstream</v>
      </c>
      <c r="C2843" s="3">
        <f t="shared" si="311"/>
        <v>45847</v>
      </c>
      <c r="D2843" s="4">
        <f t="shared" ca="1" si="313"/>
        <v>72</v>
      </c>
      <c r="E2843" s="2">
        <f t="shared" ca="1" si="314"/>
        <v>6924</v>
      </c>
      <c r="F2843" s="2">
        <f t="shared" ca="1" si="315"/>
        <v>17027</v>
      </c>
      <c r="G2843" s="2">
        <f t="shared" ca="1" si="316"/>
        <v>637</v>
      </c>
    </row>
    <row r="2844" spans="1:7" x14ac:dyDescent="0.3">
      <c r="A2844" s="5" t="str">
        <f t="shared" si="310"/>
        <v>New Balance</v>
      </c>
      <c r="B2844" s="5" t="str">
        <f t="shared" si="312"/>
        <v>550</v>
      </c>
      <c r="C2844" s="3">
        <f t="shared" si="311"/>
        <v>45847</v>
      </c>
      <c r="D2844" s="4">
        <f t="shared" ca="1" si="313"/>
        <v>188</v>
      </c>
      <c r="E2844" s="2">
        <f t="shared" ca="1" si="314"/>
        <v>7961</v>
      </c>
      <c r="F2844" s="2">
        <f t="shared" ca="1" si="315"/>
        <v>20656</v>
      </c>
      <c r="G2844" s="2">
        <f t="shared" ca="1" si="316"/>
        <v>1355</v>
      </c>
    </row>
    <row r="2845" spans="1:7" x14ac:dyDescent="0.3">
      <c r="A2845" s="5" t="str">
        <f t="shared" si="310"/>
        <v>Reebok</v>
      </c>
      <c r="B2845" s="5" t="str">
        <f t="shared" si="312"/>
        <v>Classic Leather</v>
      </c>
      <c r="C2845" s="3">
        <f t="shared" si="311"/>
        <v>45847</v>
      </c>
      <c r="D2845" s="4">
        <f t="shared" ca="1" si="313"/>
        <v>104</v>
      </c>
      <c r="E2845" s="2">
        <f t="shared" ca="1" si="314"/>
        <v>8585</v>
      </c>
      <c r="F2845" s="2">
        <f t="shared" ca="1" si="315"/>
        <v>33578</v>
      </c>
      <c r="G2845" s="2">
        <f t="shared" ca="1" si="316"/>
        <v>1181</v>
      </c>
    </row>
    <row r="2846" spans="1:7" x14ac:dyDescent="0.3">
      <c r="A2846" s="5" t="str">
        <f t="shared" si="310"/>
        <v>Nike</v>
      </c>
      <c r="B2846" s="5" t="str">
        <f t="shared" si="312"/>
        <v>Air Force 1</v>
      </c>
      <c r="C2846" s="3">
        <f t="shared" si="311"/>
        <v>45847</v>
      </c>
      <c r="D2846" s="4">
        <f t="shared" ca="1" si="313"/>
        <v>134</v>
      </c>
      <c r="E2846" s="2">
        <f t="shared" ca="1" si="314"/>
        <v>11336</v>
      </c>
      <c r="F2846" s="2">
        <f t="shared" ca="1" si="315"/>
        <v>16022</v>
      </c>
      <c r="G2846" s="2">
        <f t="shared" ca="1" si="316"/>
        <v>1226</v>
      </c>
    </row>
    <row r="2847" spans="1:7" x14ac:dyDescent="0.3">
      <c r="A2847" s="5" t="str">
        <f t="shared" si="310"/>
        <v>Adidas</v>
      </c>
      <c r="B2847" s="5" t="str">
        <f t="shared" si="312"/>
        <v>Superstar</v>
      </c>
      <c r="C2847" s="3">
        <f t="shared" si="311"/>
        <v>45847</v>
      </c>
      <c r="D2847" s="4">
        <f t="shared" ca="1" si="313"/>
        <v>211</v>
      </c>
      <c r="E2847" s="2">
        <f t="shared" ca="1" si="314"/>
        <v>1964</v>
      </c>
      <c r="F2847" s="2">
        <f t="shared" ca="1" si="315"/>
        <v>24134</v>
      </c>
      <c r="G2847" s="2">
        <f t="shared" ca="1" si="316"/>
        <v>1002</v>
      </c>
    </row>
    <row r="2848" spans="1:7" x14ac:dyDescent="0.3">
      <c r="A2848" s="5" t="str">
        <f t="shared" si="310"/>
        <v>Puma</v>
      </c>
      <c r="B2848" s="5" t="str">
        <f t="shared" si="312"/>
        <v>Rider Vintage</v>
      </c>
      <c r="C2848" s="3">
        <f t="shared" si="311"/>
        <v>45847</v>
      </c>
      <c r="D2848" s="4">
        <f t="shared" ca="1" si="313"/>
        <v>155</v>
      </c>
      <c r="E2848" s="2">
        <f t="shared" ca="1" si="314"/>
        <v>5504</v>
      </c>
      <c r="F2848" s="2">
        <f t="shared" ca="1" si="315"/>
        <v>18970</v>
      </c>
      <c r="G2848" s="2">
        <f t="shared" ca="1" si="316"/>
        <v>728</v>
      </c>
    </row>
    <row r="2849" spans="1:7" x14ac:dyDescent="0.3">
      <c r="A2849" s="5" t="str">
        <f t="shared" si="310"/>
        <v>New Balance</v>
      </c>
      <c r="B2849" s="5" t="str">
        <f t="shared" si="312"/>
        <v>327</v>
      </c>
      <c r="C2849" s="3">
        <f t="shared" si="311"/>
        <v>45847</v>
      </c>
      <c r="D2849" s="4">
        <f t="shared" ca="1" si="313"/>
        <v>222</v>
      </c>
      <c r="E2849" s="2">
        <f t="shared" ca="1" si="314"/>
        <v>2215</v>
      </c>
      <c r="F2849" s="2">
        <f t="shared" ca="1" si="315"/>
        <v>30974</v>
      </c>
      <c r="G2849" s="2">
        <f t="shared" ca="1" si="316"/>
        <v>2096</v>
      </c>
    </row>
    <row r="2850" spans="1:7" x14ac:dyDescent="0.3">
      <c r="A2850" s="5" t="str">
        <f t="shared" si="310"/>
        <v>Reebok</v>
      </c>
      <c r="B2850" s="5" t="str">
        <f t="shared" si="312"/>
        <v>Question Mid</v>
      </c>
      <c r="C2850" s="3">
        <f t="shared" si="311"/>
        <v>45847</v>
      </c>
      <c r="D2850" s="4">
        <f t="shared" ca="1" si="313"/>
        <v>81</v>
      </c>
      <c r="E2850" s="2">
        <f t="shared" ca="1" si="314"/>
        <v>11058</v>
      </c>
      <c r="F2850" s="2">
        <f t="shared" ca="1" si="315"/>
        <v>14506</v>
      </c>
      <c r="G2850" s="2">
        <f t="shared" ca="1" si="316"/>
        <v>858</v>
      </c>
    </row>
    <row r="2851" spans="1:7" x14ac:dyDescent="0.3">
      <c r="A2851" s="5" t="str">
        <f t="shared" si="310"/>
        <v>Nike</v>
      </c>
      <c r="B2851" s="5" t="str">
        <f t="shared" si="312"/>
        <v>Air Max 270</v>
      </c>
      <c r="C2851" s="3">
        <f t="shared" si="311"/>
        <v>45847</v>
      </c>
      <c r="D2851" s="4">
        <f t="shared" ca="1" si="313"/>
        <v>106</v>
      </c>
      <c r="E2851" s="2">
        <f t="shared" ca="1" si="314"/>
        <v>9812</v>
      </c>
      <c r="F2851" s="2">
        <f t="shared" ca="1" si="315"/>
        <v>22209</v>
      </c>
      <c r="G2851" s="2">
        <f t="shared" ca="1" si="316"/>
        <v>1396</v>
      </c>
    </row>
    <row r="2852" spans="1:7" x14ac:dyDescent="0.3">
      <c r="A2852" s="5" t="str">
        <f t="shared" si="310"/>
        <v>Adidas</v>
      </c>
      <c r="B2852" s="5" t="str">
        <f t="shared" si="312"/>
        <v>Stan Smith</v>
      </c>
      <c r="C2852" s="3">
        <f t="shared" si="311"/>
        <v>45848</v>
      </c>
      <c r="D2852" s="4">
        <f t="shared" ca="1" si="313"/>
        <v>101</v>
      </c>
      <c r="E2852" s="2">
        <f t="shared" ca="1" si="314"/>
        <v>9125</v>
      </c>
      <c r="F2852" s="2">
        <f t="shared" ca="1" si="315"/>
        <v>23265</v>
      </c>
      <c r="G2852" s="2">
        <f t="shared" ca="1" si="316"/>
        <v>518</v>
      </c>
    </row>
    <row r="2853" spans="1:7" x14ac:dyDescent="0.3">
      <c r="A2853" s="5" t="str">
        <f t="shared" si="310"/>
        <v>Puma</v>
      </c>
      <c r="B2853" s="5" t="str">
        <f t="shared" si="312"/>
        <v>Cali Dream</v>
      </c>
      <c r="C2853" s="3">
        <f t="shared" si="311"/>
        <v>45848</v>
      </c>
      <c r="D2853" s="4">
        <f t="shared" ca="1" si="313"/>
        <v>132</v>
      </c>
      <c r="E2853" s="2">
        <f t="shared" ca="1" si="314"/>
        <v>9362</v>
      </c>
      <c r="F2853" s="2">
        <f t="shared" ca="1" si="315"/>
        <v>10695</v>
      </c>
      <c r="G2853" s="2">
        <f t="shared" ca="1" si="316"/>
        <v>781</v>
      </c>
    </row>
    <row r="2854" spans="1:7" x14ac:dyDescent="0.3">
      <c r="A2854" s="5" t="str">
        <f t="shared" si="310"/>
        <v>New Balance</v>
      </c>
      <c r="B2854" s="5" t="str">
        <f t="shared" si="312"/>
        <v>9060</v>
      </c>
      <c r="C2854" s="3">
        <f t="shared" si="311"/>
        <v>45848</v>
      </c>
      <c r="D2854" s="4">
        <f t="shared" ca="1" si="313"/>
        <v>193</v>
      </c>
      <c r="E2854" s="2">
        <f t="shared" ca="1" si="314"/>
        <v>2560</v>
      </c>
      <c r="F2854" s="2">
        <f t="shared" ca="1" si="315"/>
        <v>31123</v>
      </c>
      <c r="G2854" s="2">
        <f t="shared" ca="1" si="316"/>
        <v>796</v>
      </c>
    </row>
    <row r="2855" spans="1:7" x14ac:dyDescent="0.3">
      <c r="A2855" s="5" t="str">
        <f t="shared" si="310"/>
        <v>Reebok</v>
      </c>
      <c r="B2855" s="5" t="str">
        <f t="shared" si="312"/>
        <v>Zig Kinetica</v>
      </c>
      <c r="C2855" s="3">
        <f t="shared" si="311"/>
        <v>45848</v>
      </c>
      <c r="D2855" s="4">
        <f t="shared" ca="1" si="313"/>
        <v>234</v>
      </c>
      <c r="E2855" s="2">
        <f t="shared" ca="1" si="314"/>
        <v>6092</v>
      </c>
      <c r="F2855" s="2">
        <f t="shared" ca="1" si="315"/>
        <v>23222</v>
      </c>
      <c r="G2855" s="2">
        <f t="shared" ca="1" si="316"/>
        <v>1825</v>
      </c>
    </row>
    <row r="2856" spans="1:7" x14ac:dyDescent="0.3">
      <c r="A2856" s="5" t="str">
        <f t="shared" si="310"/>
        <v>Nike</v>
      </c>
      <c r="B2856" s="5" t="str">
        <f t="shared" si="312"/>
        <v>Jordan 1</v>
      </c>
      <c r="C2856" s="3">
        <f t="shared" si="311"/>
        <v>45848</v>
      </c>
      <c r="D2856" s="4">
        <f t="shared" ca="1" si="313"/>
        <v>138</v>
      </c>
      <c r="E2856" s="2">
        <f t="shared" ca="1" si="314"/>
        <v>2971</v>
      </c>
      <c r="F2856" s="2">
        <f t="shared" ca="1" si="315"/>
        <v>24634</v>
      </c>
      <c r="G2856" s="2">
        <f t="shared" ca="1" si="316"/>
        <v>1137</v>
      </c>
    </row>
    <row r="2857" spans="1:7" x14ac:dyDescent="0.3">
      <c r="A2857" s="5" t="str">
        <f t="shared" si="310"/>
        <v>Adidas</v>
      </c>
      <c r="B2857" s="5" t="str">
        <f t="shared" si="312"/>
        <v>Ultraboost 23</v>
      </c>
      <c r="C2857" s="3">
        <f t="shared" si="311"/>
        <v>45848</v>
      </c>
      <c r="D2857" s="4">
        <f t="shared" ca="1" si="313"/>
        <v>107</v>
      </c>
      <c r="E2857" s="2">
        <f t="shared" ca="1" si="314"/>
        <v>11123</v>
      </c>
      <c r="F2857" s="2">
        <f t="shared" ca="1" si="315"/>
        <v>32383</v>
      </c>
      <c r="G2857" s="2">
        <f t="shared" ca="1" si="316"/>
        <v>1555</v>
      </c>
    </row>
    <row r="2858" spans="1:7" x14ac:dyDescent="0.3">
      <c r="A2858" s="5" t="str">
        <f t="shared" si="310"/>
        <v>Puma</v>
      </c>
      <c r="B2858" s="5" t="str">
        <f t="shared" si="312"/>
        <v>RS-X</v>
      </c>
      <c r="C2858" s="3">
        <f t="shared" si="311"/>
        <v>45848</v>
      </c>
      <c r="D2858" s="4">
        <f t="shared" ca="1" si="313"/>
        <v>169</v>
      </c>
      <c r="E2858" s="2">
        <f t="shared" ca="1" si="314"/>
        <v>3062</v>
      </c>
      <c r="F2858" s="2">
        <f t="shared" ca="1" si="315"/>
        <v>5051</v>
      </c>
      <c r="G2858" s="2">
        <f t="shared" ca="1" si="316"/>
        <v>190</v>
      </c>
    </row>
    <row r="2859" spans="1:7" x14ac:dyDescent="0.3">
      <c r="A2859" s="5" t="str">
        <f t="shared" ref="A2859:A2922" si="317">CHOOSE(MOD(ROW(A2858),5)+1,"Nike","Adidas","Puma","New Balance","Reebok")</f>
        <v>New Balance</v>
      </c>
      <c r="B2859" s="5" t="str">
        <f t="shared" si="312"/>
        <v>2002R</v>
      </c>
      <c r="C2859" s="3">
        <f t="shared" ref="C2859:C2922" si="318">DATE(2025,1,1)+INT((ROW(A2859)-2)/15)</f>
        <v>45848</v>
      </c>
      <c r="D2859" s="4">
        <f t="shared" ca="1" si="313"/>
        <v>242</v>
      </c>
      <c r="E2859" s="2">
        <f t="shared" ca="1" si="314"/>
        <v>11448</v>
      </c>
      <c r="F2859" s="2">
        <f t="shared" ca="1" si="315"/>
        <v>31772</v>
      </c>
      <c r="G2859" s="2">
        <f t="shared" ca="1" si="316"/>
        <v>1799</v>
      </c>
    </row>
    <row r="2860" spans="1:7" x14ac:dyDescent="0.3">
      <c r="A2860" s="5" t="str">
        <f t="shared" si="317"/>
        <v>Reebok</v>
      </c>
      <c r="B2860" s="5" t="str">
        <f t="shared" si="312"/>
        <v>Instapump Fury</v>
      </c>
      <c r="C2860" s="3">
        <f t="shared" si="318"/>
        <v>45848</v>
      </c>
      <c r="D2860" s="4">
        <f t="shared" ca="1" si="313"/>
        <v>84</v>
      </c>
      <c r="E2860" s="2">
        <f t="shared" ca="1" si="314"/>
        <v>8979</v>
      </c>
      <c r="F2860" s="2">
        <f t="shared" ca="1" si="315"/>
        <v>26750</v>
      </c>
      <c r="G2860" s="2">
        <f t="shared" ca="1" si="316"/>
        <v>1779</v>
      </c>
    </row>
    <row r="2861" spans="1:7" x14ac:dyDescent="0.3">
      <c r="A2861" s="5" t="str">
        <f t="shared" si="317"/>
        <v>Nike</v>
      </c>
      <c r="B2861" s="5" t="str">
        <f t="shared" si="312"/>
        <v>Cortez</v>
      </c>
      <c r="C2861" s="3">
        <f t="shared" si="318"/>
        <v>45848</v>
      </c>
      <c r="D2861" s="4">
        <f t="shared" ca="1" si="313"/>
        <v>205</v>
      </c>
      <c r="E2861" s="2">
        <f t="shared" ca="1" si="314"/>
        <v>5327</v>
      </c>
      <c r="F2861" s="2">
        <f t="shared" ca="1" si="315"/>
        <v>31044</v>
      </c>
      <c r="G2861" s="2">
        <f t="shared" ca="1" si="316"/>
        <v>1112</v>
      </c>
    </row>
    <row r="2862" spans="1:7" x14ac:dyDescent="0.3">
      <c r="A2862" s="5" t="str">
        <f t="shared" si="317"/>
        <v>Adidas</v>
      </c>
      <c r="B2862" s="5" t="str">
        <f t="shared" si="312"/>
        <v>NMD S1</v>
      </c>
      <c r="C2862" s="3">
        <f t="shared" si="318"/>
        <v>45848</v>
      </c>
      <c r="D2862" s="4">
        <f t="shared" ca="1" si="313"/>
        <v>148</v>
      </c>
      <c r="E2862" s="2">
        <f t="shared" ca="1" si="314"/>
        <v>11559</v>
      </c>
      <c r="F2862" s="2">
        <f t="shared" ca="1" si="315"/>
        <v>6483</v>
      </c>
      <c r="G2862" s="2">
        <f t="shared" ca="1" si="316"/>
        <v>328</v>
      </c>
    </row>
    <row r="2863" spans="1:7" x14ac:dyDescent="0.3">
      <c r="A2863" s="5" t="str">
        <f t="shared" si="317"/>
        <v>Puma</v>
      </c>
      <c r="B2863" s="5" t="str">
        <f t="shared" si="312"/>
        <v>Suede Classic</v>
      </c>
      <c r="C2863" s="3">
        <f t="shared" si="318"/>
        <v>45848</v>
      </c>
      <c r="D2863" s="4">
        <f t="shared" ca="1" si="313"/>
        <v>95</v>
      </c>
      <c r="E2863" s="2">
        <f t="shared" ca="1" si="314"/>
        <v>3406</v>
      </c>
      <c r="F2863" s="2">
        <f t="shared" ca="1" si="315"/>
        <v>34875</v>
      </c>
      <c r="G2863" s="2">
        <f t="shared" ca="1" si="316"/>
        <v>2336</v>
      </c>
    </row>
    <row r="2864" spans="1:7" x14ac:dyDescent="0.3">
      <c r="A2864" s="5" t="str">
        <f t="shared" si="317"/>
        <v>New Balance</v>
      </c>
      <c r="B2864" s="5" t="str">
        <f t="shared" si="312"/>
        <v>990v6</v>
      </c>
      <c r="C2864" s="3">
        <f t="shared" si="318"/>
        <v>45848</v>
      </c>
      <c r="D2864" s="4">
        <f t="shared" ca="1" si="313"/>
        <v>83</v>
      </c>
      <c r="E2864" s="2">
        <f t="shared" ca="1" si="314"/>
        <v>11763</v>
      </c>
      <c r="F2864" s="2">
        <f t="shared" ca="1" si="315"/>
        <v>9349</v>
      </c>
      <c r="G2864" s="2">
        <f t="shared" ca="1" si="316"/>
        <v>191</v>
      </c>
    </row>
    <row r="2865" spans="1:7" x14ac:dyDescent="0.3">
      <c r="A2865" s="5" t="str">
        <f t="shared" si="317"/>
        <v>Reebok</v>
      </c>
      <c r="B2865" s="5" t="str">
        <f t="shared" si="312"/>
        <v>Nano X3</v>
      </c>
      <c r="C2865" s="3">
        <f t="shared" si="318"/>
        <v>45848</v>
      </c>
      <c r="D2865" s="4">
        <f t="shared" ca="1" si="313"/>
        <v>116</v>
      </c>
      <c r="E2865" s="2">
        <f t="shared" ca="1" si="314"/>
        <v>5961</v>
      </c>
      <c r="F2865" s="2">
        <f t="shared" ca="1" si="315"/>
        <v>16221</v>
      </c>
      <c r="G2865" s="2">
        <f t="shared" ca="1" si="316"/>
        <v>730</v>
      </c>
    </row>
    <row r="2866" spans="1:7" x14ac:dyDescent="0.3">
      <c r="A2866" s="5" t="str">
        <f t="shared" si="317"/>
        <v>Nike</v>
      </c>
      <c r="B2866" s="5" t="str">
        <f t="shared" si="312"/>
        <v>Vaporfly 3</v>
      </c>
      <c r="C2866" s="3">
        <f t="shared" si="318"/>
        <v>45848</v>
      </c>
      <c r="D2866" s="4">
        <f t="shared" ca="1" si="313"/>
        <v>230</v>
      </c>
      <c r="E2866" s="2">
        <f t="shared" ca="1" si="314"/>
        <v>8236</v>
      </c>
      <c r="F2866" s="2">
        <f t="shared" ca="1" si="315"/>
        <v>22572</v>
      </c>
      <c r="G2866" s="2">
        <f t="shared" ca="1" si="316"/>
        <v>613</v>
      </c>
    </row>
    <row r="2867" spans="1:7" x14ac:dyDescent="0.3">
      <c r="A2867" s="5" t="str">
        <f t="shared" si="317"/>
        <v>Adidas</v>
      </c>
      <c r="B2867" s="5" t="str">
        <f t="shared" si="312"/>
        <v>Samba</v>
      </c>
      <c r="C2867" s="3">
        <f t="shared" si="318"/>
        <v>45849</v>
      </c>
      <c r="D2867" s="4">
        <f t="shared" ca="1" si="313"/>
        <v>83</v>
      </c>
      <c r="E2867" s="2">
        <f t="shared" ca="1" si="314"/>
        <v>9057</v>
      </c>
      <c r="F2867" s="2">
        <f t="shared" ca="1" si="315"/>
        <v>26316</v>
      </c>
      <c r="G2867" s="2">
        <f t="shared" ca="1" si="316"/>
        <v>895</v>
      </c>
    </row>
    <row r="2868" spans="1:7" x14ac:dyDescent="0.3">
      <c r="A2868" s="5" t="str">
        <f t="shared" si="317"/>
        <v>Puma</v>
      </c>
      <c r="B2868" s="5" t="str">
        <f t="shared" si="312"/>
        <v>Mayze</v>
      </c>
      <c r="C2868" s="3">
        <f t="shared" si="318"/>
        <v>45849</v>
      </c>
      <c r="D2868" s="4">
        <f t="shared" ca="1" si="313"/>
        <v>28</v>
      </c>
      <c r="E2868" s="2">
        <f t="shared" ca="1" si="314"/>
        <v>8428</v>
      </c>
      <c r="F2868" s="2">
        <f t="shared" ca="1" si="315"/>
        <v>26601</v>
      </c>
      <c r="G2868" s="2">
        <f t="shared" ca="1" si="316"/>
        <v>1679</v>
      </c>
    </row>
    <row r="2869" spans="1:7" x14ac:dyDescent="0.3">
      <c r="A2869" s="5" t="str">
        <f t="shared" si="317"/>
        <v>New Balance</v>
      </c>
      <c r="B2869" s="5" t="str">
        <f t="shared" si="312"/>
        <v>574 Core</v>
      </c>
      <c r="C2869" s="3">
        <f t="shared" si="318"/>
        <v>45849</v>
      </c>
      <c r="D2869" s="4">
        <f t="shared" ca="1" si="313"/>
        <v>201</v>
      </c>
      <c r="E2869" s="2">
        <f t="shared" ca="1" si="314"/>
        <v>10437</v>
      </c>
      <c r="F2869" s="2">
        <f t="shared" ca="1" si="315"/>
        <v>17284</v>
      </c>
      <c r="G2869" s="2">
        <f t="shared" ca="1" si="316"/>
        <v>1331</v>
      </c>
    </row>
    <row r="2870" spans="1:7" x14ac:dyDescent="0.3">
      <c r="A2870" s="5" t="str">
        <f t="shared" si="317"/>
        <v>Reebok</v>
      </c>
      <c r="B2870" s="5" t="str">
        <f t="shared" si="312"/>
        <v>Club C 85</v>
      </c>
      <c r="C2870" s="3">
        <f t="shared" si="318"/>
        <v>45849</v>
      </c>
      <c r="D2870" s="4">
        <f t="shared" ca="1" si="313"/>
        <v>128</v>
      </c>
      <c r="E2870" s="2">
        <f t="shared" ca="1" si="314"/>
        <v>6808</v>
      </c>
      <c r="F2870" s="2">
        <f t="shared" ca="1" si="315"/>
        <v>33011</v>
      </c>
      <c r="G2870" s="2">
        <f t="shared" ca="1" si="316"/>
        <v>1137</v>
      </c>
    </row>
    <row r="2871" spans="1:7" x14ac:dyDescent="0.3">
      <c r="A2871" s="5" t="str">
        <f t="shared" si="317"/>
        <v>Nike</v>
      </c>
      <c r="B2871" s="5" t="str">
        <f t="shared" si="312"/>
        <v>Pegasus 40</v>
      </c>
      <c r="C2871" s="3">
        <f t="shared" si="318"/>
        <v>45849</v>
      </c>
      <c r="D2871" s="4">
        <f t="shared" ca="1" si="313"/>
        <v>174</v>
      </c>
      <c r="E2871" s="2">
        <f t="shared" ca="1" si="314"/>
        <v>10442</v>
      </c>
      <c r="F2871" s="2">
        <f t="shared" ca="1" si="315"/>
        <v>32065</v>
      </c>
      <c r="G2871" s="2">
        <f t="shared" ca="1" si="316"/>
        <v>1512</v>
      </c>
    </row>
    <row r="2872" spans="1:7" x14ac:dyDescent="0.3">
      <c r="A2872" s="5" t="str">
        <f t="shared" si="317"/>
        <v>Adidas</v>
      </c>
      <c r="B2872" s="5" t="str">
        <f t="shared" si="312"/>
        <v>Gazelle</v>
      </c>
      <c r="C2872" s="3">
        <f t="shared" si="318"/>
        <v>45849</v>
      </c>
      <c r="D2872" s="4">
        <f t="shared" ca="1" si="313"/>
        <v>119</v>
      </c>
      <c r="E2872" s="2">
        <f t="shared" ca="1" si="314"/>
        <v>7751</v>
      </c>
      <c r="F2872" s="2">
        <f t="shared" ca="1" si="315"/>
        <v>10088</v>
      </c>
      <c r="G2872" s="2">
        <f t="shared" ca="1" si="316"/>
        <v>700</v>
      </c>
    </row>
    <row r="2873" spans="1:7" x14ac:dyDescent="0.3">
      <c r="A2873" s="5" t="str">
        <f t="shared" si="317"/>
        <v>Puma</v>
      </c>
      <c r="B2873" s="5" t="str">
        <f t="shared" si="312"/>
        <v>Slipstream</v>
      </c>
      <c r="C2873" s="3">
        <f t="shared" si="318"/>
        <v>45849</v>
      </c>
      <c r="D2873" s="4">
        <f t="shared" ca="1" si="313"/>
        <v>23</v>
      </c>
      <c r="E2873" s="2">
        <f t="shared" ca="1" si="314"/>
        <v>2612</v>
      </c>
      <c r="F2873" s="2">
        <f t="shared" ca="1" si="315"/>
        <v>34072</v>
      </c>
      <c r="G2873" s="2">
        <f t="shared" ca="1" si="316"/>
        <v>871</v>
      </c>
    </row>
    <row r="2874" spans="1:7" x14ac:dyDescent="0.3">
      <c r="A2874" s="5" t="str">
        <f t="shared" si="317"/>
        <v>New Balance</v>
      </c>
      <c r="B2874" s="5" t="str">
        <f t="shared" si="312"/>
        <v>550</v>
      </c>
      <c r="C2874" s="3">
        <f t="shared" si="318"/>
        <v>45849</v>
      </c>
      <c r="D2874" s="4">
        <f t="shared" ca="1" si="313"/>
        <v>24</v>
      </c>
      <c r="E2874" s="2">
        <f t="shared" ca="1" si="314"/>
        <v>5336</v>
      </c>
      <c r="F2874" s="2">
        <f t="shared" ca="1" si="315"/>
        <v>18640</v>
      </c>
      <c r="G2874" s="2">
        <f t="shared" ca="1" si="316"/>
        <v>448</v>
      </c>
    </row>
    <row r="2875" spans="1:7" x14ac:dyDescent="0.3">
      <c r="A2875" s="5" t="str">
        <f t="shared" si="317"/>
        <v>Reebok</v>
      </c>
      <c r="B2875" s="5" t="str">
        <f t="shared" si="312"/>
        <v>Classic Leather</v>
      </c>
      <c r="C2875" s="3">
        <f t="shared" si="318"/>
        <v>45849</v>
      </c>
      <c r="D2875" s="4">
        <f t="shared" ca="1" si="313"/>
        <v>150</v>
      </c>
      <c r="E2875" s="2">
        <f t="shared" ca="1" si="314"/>
        <v>10508</v>
      </c>
      <c r="F2875" s="2">
        <f t="shared" ca="1" si="315"/>
        <v>17020</v>
      </c>
      <c r="G2875" s="2">
        <f t="shared" ca="1" si="316"/>
        <v>1178</v>
      </c>
    </row>
    <row r="2876" spans="1:7" x14ac:dyDescent="0.3">
      <c r="A2876" s="5" t="str">
        <f t="shared" si="317"/>
        <v>Nike</v>
      </c>
      <c r="B2876" s="5" t="str">
        <f t="shared" si="312"/>
        <v>Air Force 1</v>
      </c>
      <c r="C2876" s="3">
        <f t="shared" si="318"/>
        <v>45849</v>
      </c>
      <c r="D2876" s="4">
        <f t="shared" ca="1" si="313"/>
        <v>140</v>
      </c>
      <c r="E2876" s="2">
        <f t="shared" ca="1" si="314"/>
        <v>3335</v>
      </c>
      <c r="F2876" s="2">
        <f t="shared" ca="1" si="315"/>
        <v>18868</v>
      </c>
      <c r="G2876" s="2">
        <f t="shared" ca="1" si="316"/>
        <v>1182</v>
      </c>
    </row>
    <row r="2877" spans="1:7" x14ac:dyDescent="0.3">
      <c r="A2877" s="5" t="str">
        <f t="shared" si="317"/>
        <v>Adidas</v>
      </c>
      <c r="B2877" s="5" t="str">
        <f t="shared" si="312"/>
        <v>Superstar</v>
      </c>
      <c r="C2877" s="3">
        <f t="shared" si="318"/>
        <v>45849</v>
      </c>
      <c r="D2877" s="4">
        <f t="shared" ca="1" si="313"/>
        <v>25</v>
      </c>
      <c r="E2877" s="2">
        <f t="shared" ca="1" si="314"/>
        <v>2818</v>
      </c>
      <c r="F2877" s="2">
        <f t="shared" ca="1" si="315"/>
        <v>28216</v>
      </c>
      <c r="G2877" s="2">
        <f t="shared" ca="1" si="316"/>
        <v>1629</v>
      </c>
    </row>
    <row r="2878" spans="1:7" x14ac:dyDescent="0.3">
      <c r="A2878" s="5" t="str">
        <f t="shared" si="317"/>
        <v>Puma</v>
      </c>
      <c r="B2878" s="5" t="str">
        <f t="shared" si="312"/>
        <v>Rider Vintage</v>
      </c>
      <c r="C2878" s="3">
        <f t="shared" si="318"/>
        <v>45849</v>
      </c>
      <c r="D2878" s="4">
        <f t="shared" ca="1" si="313"/>
        <v>133</v>
      </c>
      <c r="E2878" s="2">
        <f t="shared" ca="1" si="314"/>
        <v>6793</v>
      </c>
      <c r="F2878" s="2">
        <f t="shared" ca="1" si="315"/>
        <v>12399</v>
      </c>
      <c r="G2878" s="2">
        <f t="shared" ca="1" si="316"/>
        <v>880</v>
      </c>
    </row>
    <row r="2879" spans="1:7" x14ac:dyDescent="0.3">
      <c r="A2879" s="5" t="str">
        <f t="shared" si="317"/>
        <v>New Balance</v>
      </c>
      <c r="B2879" s="5" t="str">
        <f t="shared" si="312"/>
        <v>327</v>
      </c>
      <c r="C2879" s="3">
        <f t="shared" si="318"/>
        <v>45849</v>
      </c>
      <c r="D2879" s="4">
        <f t="shared" ca="1" si="313"/>
        <v>216</v>
      </c>
      <c r="E2879" s="2">
        <f t="shared" ca="1" si="314"/>
        <v>11015</v>
      </c>
      <c r="F2879" s="2">
        <f t="shared" ca="1" si="315"/>
        <v>34379</v>
      </c>
      <c r="G2879" s="2">
        <f t="shared" ca="1" si="316"/>
        <v>1929</v>
      </c>
    </row>
    <row r="2880" spans="1:7" x14ac:dyDescent="0.3">
      <c r="A2880" s="5" t="str">
        <f t="shared" si="317"/>
        <v>Reebok</v>
      </c>
      <c r="B2880" s="5" t="str">
        <f t="shared" si="312"/>
        <v>Question Mid</v>
      </c>
      <c r="C2880" s="3">
        <f t="shared" si="318"/>
        <v>45849</v>
      </c>
      <c r="D2880" s="4">
        <f t="shared" ca="1" si="313"/>
        <v>173</v>
      </c>
      <c r="E2880" s="2">
        <f t="shared" ca="1" si="314"/>
        <v>7308</v>
      </c>
      <c r="F2880" s="2">
        <f t="shared" ca="1" si="315"/>
        <v>21646</v>
      </c>
      <c r="G2880" s="2">
        <f t="shared" ca="1" si="316"/>
        <v>1317</v>
      </c>
    </row>
    <row r="2881" spans="1:7" x14ac:dyDescent="0.3">
      <c r="A2881" s="5" t="str">
        <f t="shared" si="317"/>
        <v>Nike</v>
      </c>
      <c r="B2881" s="5" t="str">
        <f t="shared" si="312"/>
        <v>Air Max 270</v>
      </c>
      <c r="C2881" s="3">
        <f t="shared" si="318"/>
        <v>45849</v>
      </c>
      <c r="D2881" s="4">
        <f t="shared" ca="1" si="313"/>
        <v>144</v>
      </c>
      <c r="E2881" s="2">
        <f t="shared" ca="1" si="314"/>
        <v>4690</v>
      </c>
      <c r="F2881" s="2">
        <f t="shared" ca="1" si="315"/>
        <v>19385</v>
      </c>
      <c r="G2881" s="2">
        <f t="shared" ca="1" si="316"/>
        <v>726</v>
      </c>
    </row>
    <row r="2882" spans="1:7" x14ac:dyDescent="0.3">
      <c r="A2882" s="5" t="str">
        <f t="shared" si="317"/>
        <v>Adidas</v>
      </c>
      <c r="B2882" s="5" t="str">
        <f t="shared" si="312"/>
        <v>Stan Smith</v>
      </c>
      <c r="C2882" s="3">
        <f t="shared" si="318"/>
        <v>45850</v>
      </c>
      <c r="D2882" s="4">
        <f t="shared" ca="1" si="313"/>
        <v>117</v>
      </c>
      <c r="E2882" s="2">
        <f t="shared" ca="1" si="314"/>
        <v>6333</v>
      </c>
      <c r="F2882" s="2">
        <f t="shared" ca="1" si="315"/>
        <v>14449</v>
      </c>
      <c r="G2882" s="2">
        <f t="shared" ca="1" si="316"/>
        <v>836</v>
      </c>
    </row>
    <row r="2883" spans="1:7" x14ac:dyDescent="0.3">
      <c r="A2883" s="5" t="str">
        <f t="shared" si="317"/>
        <v>Puma</v>
      </c>
      <c r="B2883" s="5" t="str">
        <f t="shared" ref="B2883:B2946" si="319">IF(A2883="Nike",CHOOSE(MOD(ROW(A2882),6)+1,"Air Max 270","Air Force 1","Pegasus 40","Vaporfly 3","Cortez","Jordan 1"),
 IF(A2883="Adidas",CHOOSE(MOD(ROW(A2882),6)+1,"Ultraboost 23","Stan Smith","Superstar","Gazelle","Samba","NMD S1"),
 IF(A2883="Puma",CHOOSE(MOD(ROW(A2882),6)+1,"Suede Classic","RS-X","Cali Dream","Rider Vintage","Slipstream","Mayze"),
 IF(A2883="New Balance",CHOOSE(MOD(ROW(A2882),6)+1,"574 Core","990v6","2002R","9060","327","550"),
 IF(A2883="Reebok",CHOOSE(MOD(ROW(A2882),6)+1,"Classic Leather","Club C 85","Nano X3","Instapump Fury","Zig Kinetica","Question Mid"),"")))))</f>
        <v>Cali Dream</v>
      </c>
      <c r="C2883" s="3">
        <f t="shared" si="318"/>
        <v>45850</v>
      </c>
      <c r="D2883" s="4">
        <f t="shared" ref="D2883:D2946" ca="1" si="320">RANDBETWEEN(20,250)</f>
        <v>35</v>
      </c>
      <c r="E2883" s="2">
        <f t="shared" ref="E2883:E2946" ca="1" si="321">ROUND(RANDBETWEEN(1500,12000)+(RANDBETWEEN(-200,200)),2)</f>
        <v>9993</v>
      </c>
      <c r="F2883" s="2">
        <f t="shared" ref="F2883:F2946" ca="1" si="322">RANDBETWEEN(5000,35000)</f>
        <v>5338</v>
      </c>
      <c r="G2883" s="2">
        <f t="shared" ref="G2883:G2946" ca="1" si="323">RANDBETWEEN(ROUND(F2883*0.02,0),ROUND(F2883*0.08,0))</f>
        <v>410</v>
      </c>
    </row>
    <row r="2884" spans="1:7" x14ac:dyDescent="0.3">
      <c r="A2884" s="5" t="str">
        <f t="shared" si="317"/>
        <v>New Balance</v>
      </c>
      <c r="B2884" s="5" t="str">
        <f t="shared" si="319"/>
        <v>9060</v>
      </c>
      <c r="C2884" s="3">
        <f t="shared" si="318"/>
        <v>45850</v>
      </c>
      <c r="D2884" s="4">
        <f t="shared" ca="1" si="320"/>
        <v>250</v>
      </c>
      <c r="E2884" s="2">
        <f t="shared" ca="1" si="321"/>
        <v>9152</v>
      </c>
      <c r="F2884" s="2">
        <f t="shared" ca="1" si="322"/>
        <v>29398</v>
      </c>
      <c r="G2884" s="2">
        <f t="shared" ca="1" si="323"/>
        <v>1067</v>
      </c>
    </row>
    <row r="2885" spans="1:7" x14ac:dyDescent="0.3">
      <c r="A2885" s="5" t="str">
        <f t="shared" si="317"/>
        <v>Reebok</v>
      </c>
      <c r="B2885" s="5" t="str">
        <f t="shared" si="319"/>
        <v>Zig Kinetica</v>
      </c>
      <c r="C2885" s="3">
        <f t="shared" si="318"/>
        <v>45850</v>
      </c>
      <c r="D2885" s="4">
        <f t="shared" ca="1" si="320"/>
        <v>86</v>
      </c>
      <c r="E2885" s="2">
        <f t="shared" ca="1" si="321"/>
        <v>4903</v>
      </c>
      <c r="F2885" s="2">
        <f t="shared" ca="1" si="322"/>
        <v>20272</v>
      </c>
      <c r="G2885" s="2">
        <f t="shared" ca="1" si="323"/>
        <v>1046</v>
      </c>
    </row>
    <row r="2886" spans="1:7" x14ac:dyDescent="0.3">
      <c r="A2886" s="5" t="str">
        <f t="shared" si="317"/>
        <v>Nike</v>
      </c>
      <c r="B2886" s="5" t="str">
        <f t="shared" si="319"/>
        <v>Jordan 1</v>
      </c>
      <c r="C2886" s="3">
        <f t="shared" si="318"/>
        <v>45850</v>
      </c>
      <c r="D2886" s="4">
        <f t="shared" ca="1" si="320"/>
        <v>184</v>
      </c>
      <c r="E2886" s="2">
        <f t="shared" ca="1" si="321"/>
        <v>1555</v>
      </c>
      <c r="F2886" s="2">
        <f t="shared" ca="1" si="322"/>
        <v>17762</v>
      </c>
      <c r="G2886" s="2">
        <f t="shared" ca="1" si="323"/>
        <v>739</v>
      </c>
    </row>
    <row r="2887" spans="1:7" x14ac:dyDescent="0.3">
      <c r="A2887" s="5" t="str">
        <f t="shared" si="317"/>
        <v>Adidas</v>
      </c>
      <c r="B2887" s="5" t="str">
        <f t="shared" si="319"/>
        <v>Ultraboost 23</v>
      </c>
      <c r="C2887" s="3">
        <f t="shared" si="318"/>
        <v>45850</v>
      </c>
      <c r="D2887" s="4">
        <f t="shared" ca="1" si="320"/>
        <v>98</v>
      </c>
      <c r="E2887" s="2">
        <f t="shared" ca="1" si="321"/>
        <v>4071</v>
      </c>
      <c r="F2887" s="2">
        <f t="shared" ca="1" si="322"/>
        <v>10886</v>
      </c>
      <c r="G2887" s="2">
        <f t="shared" ca="1" si="323"/>
        <v>664</v>
      </c>
    </row>
    <row r="2888" spans="1:7" x14ac:dyDescent="0.3">
      <c r="A2888" s="5" t="str">
        <f t="shared" si="317"/>
        <v>Puma</v>
      </c>
      <c r="B2888" s="5" t="str">
        <f t="shared" si="319"/>
        <v>RS-X</v>
      </c>
      <c r="C2888" s="3">
        <f t="shared" si="318"/>
        <v>45850</v>
      </c>
      <c r="D2888" s="4">
        <f t="shared" ca="1" si="320"/>
        <v>226</v>
      </c>
      <c r="E2888" s="2">
        <f t="shared" ca="1" si="321"/>
        <v>6175</v>
      </c>
      <c r="F2888" s="2">
        <f t="shared" ca="1" si="322"/>
        <v>16144</v>
      </c>
      <c r="G2888" s="2">
        <f t="shared" ca="1" si="323"/>
        <v>812</v>
      </c>
    </row>
    <row r="2889" spans="1:7" x14ac:dyDescent="0.3">
      <c r="A2889" s="5" t="str">
        <f t="shared" si="317"/>
        <v>New Balance</v>
      </c>
      <c r="B2889" s="5" t="str">
        <f t="shared" si="319"/>
        <v>2002R</v>
      </c>
      <c r="C2889" s="3">
        <f t="shared" si="318"/>
        <v>45850</v>
      </c>
      <c r="D2889" s="4">
        <f t="shared" ca="1" si="320"/>
        <v>93</v>
      </c>
      <c r="E2889" s="2">
        <f t="shared" ca="1" si="321"/>
        <v>6010</v>
      </c>
      <c r="F2889" s="2">
        <f t="shared" ca="1" si="322"/>
        <v>25706</v>
      </c>
      <c r="G2889" s="2">
        <f t="shared" ca="1" si="323"/>
        <v>797</v>
      </c>
    </row>
    <row r="2890" spans="1:7" x14ac:dyDescent="0.3">
      <c r="A2890" s="5" t="str">
        <f t="shared" si="317"/>
        <v>Reebok</v>
      </c>
      <c r="B2890" s="5" t="str">
        <f t="shared" si="319"/>
        <v>Instapump Fury</v>
      </c>
      <c r="C2890" s="3">
        <f t="shared" si="318"/>
        <v>45850</v>
      </c>
      <c r="D2890" s="4">
        <f t="shared" ca="1" si="320"/>
        <v>24</v>
      </c>
      <c r="E2890" s="2">
        <f t="shared" ca="1" si="321"/>
        <v>2381</v>
      </c>
      <c r="F2890" s="2">
        <f t="shared" ca="1" si="322"/>
        <v>18835</v>
      </c>
      <c r="G2890" s="2">
        <f t="shared" ca="1" si="323"/>
        <v>1235</v>
      </c>
    </row>
    <row r="2891" spans="1:7" x14ac:dyDescent="0.3">
      <c r="A2891" s="5" t="str">
        <f t="shared" si="317"/>
        <v>Nike</v>
      </c>
      <c r="B2891" s="5" t="str">
        <f t="shared" si="319"/>
        <v>Cortez</v>
      </c>
      <c r="C2891" s="3">
        <f t="shared" si="318"/>
        <v>45850</v>
      </c>
      <c r="D2891" s="4">
        <f t="shared" ca="1" si="320"/>
        <v>108</v>
      </c>
      <c r="E2891" s="2">
        <f t="shared" ca="1" si="321"/>
        <v>6092</v>
      </c>
      <c r="F2891" s="2">
        <f t="shared" ca="1" si="322"/>
        <v>15891</v>
      </c>
      <c r="G2891" s="2">
        <f t="shared" ca="1" si="323"/>
        <v>1079</v>
      </c>
    </row>
    <row r="2892" spans="1:7" x14ac:dyDescent="0.3">
      <c r="A2892" s="5" t="str">
        <f t="shared" si="317"/>
        <v>Adidas</v>
      </c>
      <c r="B2892" s="5" t="str">
        <f t="shared" si="319"/>
        <v>NMD S1</v>
      </c>
      <c r="C2892" s="3">
        <f t="shared" si="318"/>
        <v>45850</v>
      </c>
      <c r="D2892" s="4">
        <f t="shared" ca="1" si="320"/>
        <v>143</v>
      </c>
      <c r="E2892" s="2">
        <f t="shared" ca="1" si="321"/>
        <v>4092</v>
      </c>
      <c r="F2892" s="2">
        <f t="shared" ca="1" si="322"/>
        <v>18268</v>
      </c>
      <c r="G2892" s="2">
        <f t="shared" ca="1" si="323"/>
        <v>1118</v>
      </c>
    </row>
    <row r="2893" spans="1:7" x14ac:dyDescent="0.3">
      <c r="A2893" s="5" t="str">
        <f t="shared" si="317"/>
        <v>Puma</v>
      </c>
      <c r="B2893" s="5" t="str">
        <f t="shared" si="319"/>
        <v>Suede Classic</v>
      </c>
      <c r="C2893" s="3">
        <f t="shared" si="318"/>
        <v>45850</v>
      </c>
      <c r="D2893" s="4">
        <f t="shared" ca="1" si="320"/>
        <v>235</v>
      </c>
      <c r="E2893" s="2">
        <f t="shared" ca="1" si="321"/>
        <v>8451</v>
      </c>
      <c r="F2893" s="2">
        <f t="shared" ca="1" si="322"/>
        <v>19354</v>
      </c>
      <c r="G2893" s="2">
        <f t="shared" ca="1" si="323"/>
        <v>962</v>
      </c>
    </row>
    <row r="2894" spans="1:7" x14ac:dyDescent="0.3">
      <c r="A2894" s="5" t="str">
        <f t="shared" si="317"/>
        <v>New Balance</v>
      </c>
      <c r="B2894" s="5" t="str">
        <f t="shared" si="319"/>
        <v>990v6</v>
      </c>
      <c r="C2894" s="3">
        <f t="shared" si="318"/>
        <v>45850</v>
      </c>
      <c r="D2894" s="4">
        <f t="shared" ca="1" si="320"/>
        <v>211</v>
      </c>
      <c r="E2894" s="2">
        <f t="shared" ca="1" si="321"/>
        <v>11297</v>
      </c>
      <c r="F2894" s="2">
        <f t="shared" ca="1" si="322"/>
        <v>26171</v>
      </c>
      <c r="G2894" s="2">
        <f t="shared" ca="1" si="323"/>
        <v>1367</v>
      </c>
    </row>
    <row r="2895" spans="1:7" x14ac:dyDescent="0.3">
      <c r="A2895" s="5" t="str">
        <f t="shared" si="317"/>
        <v>Reebok</v>
      </c>
      <c r="B2895" s="5" t="str">
        <f t="shared" si="319"/>
        <v>Nano X3</v>
      </c>
      <c r="C2895" s="3">
        <f t="shared" si="318"/>
        <v>45850</v>
      </c>
      <c r="D2895" s="4">
        <f t="shared" ca="1" si="320"/>
        <v>120</v>
      </c>
      <c r="E2895" s="2">
        <f t="shared" ca="1" si="321"/>
        <v>1770</v>
      </c>
      <c r="F2895" s="2">
        <f t="shared" ca="1" si="322"/>
        <v>14617</v>
      </c>
      <c r="G2895" s="2">
        <f t="shared" ca="1" si="323"/>
        <v>803</v>
      </c>
    </row>
    <row r="2896" spans="1:7" x14ac:dyDescent="0.3">
      <c r="A2896" s="5" t="str">
        <f t="shared" si="317"/>
        <v>Nike</v>
      </c>
      <c r="B2896" s="5" t="str">
        <f t="shared" si="319"/>
        <v>Vaporfly 3</v>
      </c>
      <c r="C2896" s="3">
        <f t="shared" si="318"/>
        <v>45850</v>
      </c>
      <c r="D2896" s="4">
        <f t="shared" ca="1" si="320"/>
        <v>216</v>
      </c>
      <c r="E2896" s="2">
        <f t="shared" ca="1" si="321"/>
        <v>11025</v>
      </c>
      <c r="F2896" s="2">
        <f t="shared" ca="1" si="322"/>
        <v>7701</v>
      </c>
      <c r="G2896" s="2">
        <f t="shared" ca="1" si="323"/>
        <v>577</v>
      </c>
    </row>
    <row r="2897" spans="1:7" x14ac:dyDescent="0.3">
      <c r="A2897" s="5" t="str">
        <f t="shared" si="317"/>
        <v>Adidas</v>
      </c>
      <c r="B2897" s="5" t="str">
        <f t="shared" si="319"/>
        <v>Samba</v>
      </c>
      <c r="C2897" s="3">
        <f t="shared" si="318"/>
        <v>45851</v>
      </c>
      <c r="D2897" s="4">
        <f t="shared" ca="1" si="320"/>
        <v>208</v>
      </c>
      <c r="E2897" s="2">
        <f t="shared" ca="1" si="321"/>
        <v>1624</v>
      </c>
      <c r="F2897" s="2">
        <f t="shared" ca="1" si="322"/>
        <v>18128</v>
      </c>
      <c r="G2897" s="2">
        <f t="shared" ca="1" si="323"/>
        <v>695</v>
      </c>
    </row>
    <row r="2898" spans="1:7" x14ac:dyDescent="0.3">
      <c r="A2898" s="5" t="str">
        <f t="shared" si="317"/>
        <v>Puma</v>
      </c>
      <c r="B2898" s="5" t="str">
        <f t="shared" si="319"/>
        <v>Mayze</v>
      </c>
      <c r="C2898" s="3">
        <f t="shared" si="318"/>
        <v>45851</v>
      </c>
      <c r="D2898" s="4">
        <f t="shared" ca="1" si="320"/>
        <v>217</v>
      </c>
      <c r="E2898" s="2">
        <f t="shared" ca="1" si="321"/>
        <v>4384</v>
      </c>
      <c r="F2898" s="2">
        <f t="shared" ca="1" si="322"/>
        <v>23510</v>
      </c>
      <c r="G2898" s="2">
        <f t="shared" ca="1" si="323"/>
        <v>1575</v>
      </c>
    </row>
    <row r="2899" spans="1:7" x14ac:dyDescent="0.3">
      <c r="A2899" s="5" t="str">
        <f t="shared" si="317"/>
        <v>New Balance</v>
      </c>
      <c r="B2899" s="5" t="str">
        <f t="shared" si="319"/>
        <v>574 Core</v>
      </c>
      <c r="C2899" s="3">
        <f t="shared" si="318"/>
        <v>45851</v>
      </c>
      <c r="D2899" s="4">
        <f t="shared" ca="1" si="320"/>
        <v>21</v>
      </c>
      <c r="E2899" s="2">
        <f t="shared" ca="1" si="321"/>
        <v>10420</v>
      </c>
      <c r="F2899" s="2">
        <f t="shared" ca="1" si="322"/>
        <v>30634</v>
      </c>
      <c r="G2899" s="2">
        <f t="shared" ca="1" si="323"/>
        <v>2005</v>
      </c>
    </row>
    <row r="2900" spans="1:7" x14ac:dyDescent="0.3">
      <c r="A2900" s="5" t="str">
        <f t="shared" si="317"/>
        <v>Reebok</v>
      </c>
      <c r="B2900" s="5" t="str">
        <f t="shared" si="319"/>
        <v>Club C 85</v>
      </c>
      <c r="C2900" s="3">
        <f t="shared" si="318"/>
        <v>45851</v>
      </c>
      <c r="D2900" s="4">
        <f t="shared" ca="1" si="320"/>
        <v>73</v>
      </c>
      <c r="E2900" s="2">
        <f t="shared" ca="1" si="321"/>
        <v>11581</v>
      </c>
      <c r="F2900" s="2">
        <f t="shared" ca="1" si="322"/>
        <v>23475</v>
      </c>
      <c r="G2900" s="2">
        <f t="shared" ca="1" si="323"/>
        <v>1259</v>
      </c>
    </row>
    <row r="2901" spans="1:7" x14ac:dyDescent="0.3">
      <c r="A2901" s="5" t="str">
        <f t="shared" si="317"/>
        <v>Nike</v>
      </c>
      <c r="B2901" s="5" t="str">
        <f t="shared" si="319"/>
        <v>Pegasus 40</v>
      </c>
      <c r="C2901" s="3">
        <f t="shared" si="318"/>
        <v>45851</v>
      </c>
      <c r="D2901" s="4">
        <f t="shared" ca="1" si="320"/>
        <v>127</v>
      </c>
      <c r="E2901" s="2">
        <f t="shared" ca="1" si="321"/>
        <v>4556</v>
      </c>
      <c r="F2901" s="2">
        <f t="shared" ca="1" si="322"/>
        <v>31990</v>
      </c>
      <c r="G2901" s="2">
        <f t="shared" ca="1" si="323"/>
        <v>1227</v>
      </c>
    </row>
    <row r="2902" spans="1:7" x14ac:dyDescent="0.3">
      <c r="A2902" s="5" t="str">
        <f t="shared" si="317"/>
        <v>Adidas</v>
      </c>
      <c r="B2902" s="5" t="str">
        <f t="shared" si="319"/>
        <v>Gazelle</v>
      </c>
      <c r="C2902" s="3">
        <f t="shared" si="318"/>
        <v>45851</v>
      </c>
      <c r="D2902" s="4">
        <f t="shared" ca="1" si="320"/>
        <v>178</v>
      </c>
      <c r="E2902" s="2">
        <f t="shared" ca="1" si="321"/>
        <v>5080</v>
      </c>
      <c r="F2902" s="2">
        <f t="shared" ca="1" si="322"/>
        <v>32286</v>
      </c>
      <c r="G2902" s="2">
        <f t="shared" ca="1" si="323"/>
        <v>1557</v>
      </c>
    </row>
    <row r="2903" spans="1:7" x14ac:dyDescent="0.3">
      <c r="A2903" s="5" t="str">
        <f t="shared" si="317"/>
        <v>Puma</v>
      </c>
      <c r="B2903" s="5" t="str">
        <f t="shared" si="319"/>
        <v>Slipstream</v>
      </c>
      <c r="C2903" s="3">
        <f t="shared" si="318"/>
        <v>45851</v>
      </c>
      <c r="D2903" s="4">
        <f t="shared" ca="1" si="320"/>
        <v>143</v>
      </c>
      <c r="E2903" s="2">
        <f t="shared" ca="1" si="321"/>
        <v>7746</v>
      </c>
      <c r="F2903" s="2">
        <f t="shared" ca="1" si="322"/>
        <v>21051</v>
      </c>
      <c r="G2903" s="2">
        <f t="shared" ca="1" si="323"/>
        <v>661</v>
      </c>
    </row>
    <row r="2904" spans="1:7" x14ac:dyDescent="0.3">
      <c r="A2904" s="5" t="str">
        <f t="shared" si="317"/>
        <v>New Balance</v>
      </c>
      <c r="B2904" s="5" t="str">
        <f t="shared" si="319"/>
        <v>550</v>
      </c>
      <c r="C2904" s="3">
        <f t="shared" si="318"/>
        <v>45851</v>
      </c>
      <c r="D2904" s="4">
        <f t="shared" ca="1" si="320"/>
        <v>201</v>
      </c>
      <c r="E2904" s="2">
        <f t="shared" ca="1" si="321"/>
        <v>9803</v>
      </c>
      <c r="F2904" s="2">
        <f t="shared" ca="1" si="322"/>
        <v>25030</v>
      </c>
      <c r="G2904" s="2">
        <f t="shared" ca="1" si="323"/>
        <v>1726</v>
      </c>
    </row>
    <row r="2905" spans="1:7" x14ac:dyDescent="0.3">
      <c r="A2905" s="5" t="str">
        <f t="shared" si="317"/>
        <v>Reebok</v>
      </c>
      <c r="B2905" s="5" t="str">
        <f t="shared" si="319"/>
        <v>Classic Leather</v>
      </c>
      <c r="C2905" s="3">
        <f t="shared" si="318"/>
        <v>45851</v>
      </c>
      <c r="D2905" s="4">
        <f t="shared" ca="1" si="320"/>
        <v>157</v>
      </c>
      <c r="E2905" s="2">
        <f t="shared" ca="1" si="321"/>
        <v>8721</v>
      </c>
      <c r="F2905" s="2">
        <f t="shared" ca="1" si="322"/>
        <v>19548</v>
      </c>
      <c r="G2905" s="2">
        <f t="shared" ca="1" si="323"/>
        <v>711</v>
      </c>
    </row>
    <row r="2906" spans="1:7" x14ac:dyDescent="0.3">
      <c r="A2906" s="5" t="str">
        <f t="shared" si="317"/>
        <v>Nike</v>
      </c>
      <c r="B2906" s="5" t="str">
        <f t="shared" si="319"/>
        <v>Air Force 1</v>
      </c>
      <c r="C2906" s="3">
        <f t="shared" si="318"/>
        <v>45851</v>
      </c>
      <c r="D2906" s="4">
        <f t="shared" ca="1" si="320"/>
        <v>66</v>
      </c>
      <c r="E2906" s="2">
        <f t="shared" ca="1" si="321"/>
        <v>2855</v>
      </c>
      <c r="F2906" s="2">
        <f t="shared" ca="1" si="322"/>
        <v>24420</v>
      </c>
      <c r="G2906" s="2">
        <f t="shared" ca="1" si="323"/>
        <v>1161</v>
      </c>
    </row>
    <row r="2907" spans="1:7" x14ac:dyDescent="0.3">
      <c r="A2907" s="5" t="str">
        <f t="shared" si="317"/>
        <v>Adidas</v>
      </c>
      <c r="B2907" s="5" t="str">
        <f t="shared" si="319"/>
        <v>Superstar</v>
      </c>
      <c r="C2907" s="3">
        <f t="shared" si="318"/>
        <v>45851</v>
      </c>
      <c r="D2907" s="4">
        <f t="shared" ca="1" si="320"/>
        <v>102</v>
      </c>
      <c r="E2907" s="2">
        <f t="shared" ca="1" si="321"/>
        <v>5360</v>
      </c>
      <c r="F2907" s="2">
        <f t="shared" ca="1" si="322"/>
        <v>34868</v>
      </c>
      <c r="G2907" s="2">
        <f t="shared" ca="1" si="323"/>
        <v>2599</v>
      </c>
    </row>
    <row r="2908" spans="1:7" x14ac:dyDescent="0.3">
      <c r="A2908" s="5" t="str">
        <f t="shared" si="317"/>
        <v>Puma</v>
      </c>
      <c r="B2908" s="5" t="str">
        <f t="shared" si="319"/>
        <v>Rider Vintage</v>
      </c>
      <c r="C2908" s="3">
        <f t="shared" si="318"/>
        <v>45851</v>
      </c>
      <c r="D2908" s="4">
        <f t="shared" ca="1" si="320"/>
        <v>112</v>
      </c>
      <c r="E2908" s="2">
        <f t="shared" ca="1" si="321"/>
        <v>6033</v>
      </c>
      <c r="F2908" s="2">
        <f t="shared" ca="1" si="322"/>
        <v>34572</v>
      </c>
      <c r="G2908" s="2">
        <f t="shared" ca="1" si="323"/>
        <v>2169</v>
      </c>
    </row>
    <row r="2909" spans="1:7" x14ac:dyDescent="0.3">
      <c r="A2909" s="5" t="str">
        <f t="shared" si="317"/>
        <v>New Balance</v>
      </c>
      <c r="B2909" s="5" t="str">
        <f t="shared" si="319"/>
        <v>327</v>
      </c>
      <c r="C2909" s="3">
        <f t="shared" si="318"/>
        <v>45851</v>
      </c>
      <c r="D2909" s="4">
        <f t="shared" ca="1" si="320"/>
        <v>239</v>
      </c>
      <c r="E2909" s="2">
        <f t="shared" ca="1" si="321"/>
        <v>3271</v>
      </c>
      <c r="F2909" s="2">
        <f t="shared" ca="1" si="322"/>
        <v>15586</v>
      </c>
      <c r="G2909" s="2">
        <f t="shared" ca="1" si="323"/>
        <v>852</v>
      </c>
    </row>
    <row r="2910" spans="1:7" x14ac:dyDescent="0.3">
      <c r="A2910" s="5" t="str">
        <f t="shared" si="317"/>
        <v>Reebok</v>
      </c>
      <c r="B2910" s="5" t="str">
        <f t="shared" si="319"/>
        <v>Question Mid</v>
      </c>
      <c r="C2910" s="3">
        <f t="shared" si="318"/>
        <v>45851</v>
      </c>
      <c r="D2910" s="4">
        <f t="shared" ca="1" si="320"/>
        <v>242</v>
      </c>
      <c r="E2910" s="2">
        <f t="shared" ca="1" si="321"/>
        <v>4210</v>
      </c>
      <c r="F2910" s="2">
        <f t="shared" ca="1" si="322"/>
        <v>17252</v>
      </c>
      <c r="G2910" s="2">
        <f t="shared" ca="1" si="323"/>
        <v>363</v>
      </c>
    </row>
    <row r="2911" spans="1:7" x14ac:dyDescent="0.3">
      <c r="A2911" s="5" t="str">
        <f t="shared" si="317"/>
        <v>Nike</v>
      </c>
      <c r="B2911" s="5" t="str">
        <f t="shared" si="319"/>
        <v>Air Max 270</v>
      </c>
      <c r="C2911" s="3">
        <f t="shared" si="318"/>
        <v>45851</v>
      </c>
      <c r="D2911" s="4">
        <f t="shared" ca="1" si="320"/>
        <v>229</v>
      </c>
      <c r="E2911" s="2">
        <f t="shared" ca="1" si="321"/>
        <v>11839</v>
      </c>
      <c r="F2911" s="2">
        <f t="shared" ca="1" si="322"/>
        <v>25991</v>
      </c>
      <c r="G2911" s="2">
        <f t="shared" ca="1" si="323"/>
        <v>1160</v>
      </c>
    </row>
    <row r="2912" spans="1:7" x14ac:dyDescent="0.3">
      <c r="A2912" s="5" t="str">
        <f t="shared" si="317"/>
        <v>Adidas</v>
      </c>
      <c r="B2912" s="5" t="str">
        <f t="shared" si="319"/>
        <v>Stan Smith</v>
      </c>
      <c r="C2912" s="3">
        <f t="shared" si="318"/>
        <v>45852</v>
      </c>
      <c r="D2912" s="4">
        <f t="shared" ca="1" si="320"/>
        <v>86</v>
      </c>
      <c r="E2912" s="2">
        <f t="shared" ca="1" si="321"/>
        <v>11313</v>
      </c>
      <c r="F2912" s="2">
        <f t="shared" ca="1" si="322"/>
        <v>30650</v>
      </c>
      <c r="G2912" s="2">
        <f t="shared" ca="1" si="323"/>
        <v>2175</v>
      </c>
    </row>
    <row r="2913" spans="1:7" x14ac:dyDescent="0.3">
      <c r="A2913" s="5" t="str">
        <f t="shared" si="317"/>
        <v>Puma</v>
      </c>
      <c r="B2913" s="5" t="str">
        <f t="shared" si="319"/>
        <v>Cali Dream</v>
      </c>
      <c r="C2913" s="3">
        <f t="shared" si="318"/>
        <v>45852</v>
      </c>
      <c r="D2913" s="4">
        <f t="shared" ca="1" si="320"/>
        <v>169</v>
      </c>
      <c r="E2913" s="2">
        <f t="shared" ca="1" si="321"/>
        <v>2997</v>
      </c>
      <c r="F2913" s="2">
        <f t="shared" ca="1" si="322"/>
        <v>34684</v>
      </c>
      <c r="G2913" s="2">
        <f t="shared" ca="1" si="323"/>
        <v>2736</v>
      </c>
    </row>
    <row r="2914" spans="1:7" x14ac:dyDescent="0.3">
      <c r="A2914" s="5" t="str">
        <f t="shared" si="317"/>
        <v>New Balance</v>
      </c>
      <c r="B2914" s="5" t="str">
        <f t="shared" si="319"/>
        <v>9060</v>
      </c>
      <c r="C2914" s="3">
        <f t="shared" si="318"/>
        <v>45852</v>
      </c>
      <c r="D2914" s="4">
        <f t="shared" ca="1" si="320"/>
        <v>171</v>
      </c>
      <c r="E2914" s="2">
        <f t="shared" ca="1" si="321"/>
        <v>4094</v>
      </c>
      <c r="F2914" s="2">
        <f t="shared" ca="1" si="322"/>
        <v>25258</v>
      </c>
      <c r="G2914" s="2">
        <f t="shared" ca="1" si="323"/>
        <v>906</v>
      </c>
    </row>
    <row r="2915" spans="1:7" x14ac:dyDescent="0.3">
      <c r="A2915" s="5" t="str">
        <f t="shared" si="317"/>
        <v>Reebok</v>
      </c>
      <c r="B2915" s="5" t="str">
        <f t="shared" si="319"/>
        <v>Zig Kinetica</v>
      </c>
      <c r="C2915" s="3">
        <f t="shared" si="318"/>
        <v>45852</v>
      </c>
      <c r="D2915" s="4">
        <f t="shared" ca="1" si="320"/>
        <v>160</v>
      </c>
      <c r="E2915" s="2">
        <f t="shared" ca="1" si="321"/>
        <v>3082</v>
      </c>
      <c r="F2915" s="2">
        <f t="shared" ca="1" si="322"/>
        <v>29586</v>
      </c>
      <c r="G2915" s="2">
        <f t="shared" ca="1" si="323"/>
        <v>2034</v>
      </c>
    </row>
    <row r="2916" spans="1:7" x14ac:dyDescent="0.3">
      <c r="A2916" s="5" t="str">
        <f t="shared" si="317"/>
        <v>Nike</v>
      </c>
      <c r="B2916" s="5" t="str">
        <f t="shared" si="319"/>
        <v>Jordan 1</v>
      </c>
      <c r="C2916" s="3">
        <f t="shared" si="318"/>
        <v>45852</v>
      </c>
      <c r="D2916" s="4">
        <f t="shared" ca="1" si="320"/>
        <v>21</v>
      </c>
      <c r="E2916" s="2">
        <f t="shared" ca="1" si="321"/>
        <v>5094</v>
      </c>
      <c r="F2916" s="2">
        <f t="shared" ca="1" si="322"/>
        <v>30047</v>
      </c>
      <c r="G2916" s="2">
        <f t="shared" ca="1" si="323"/>
        <v>1537</v>
      </c>
    </row>
    <row r="2917" spans="1:7" x14ac:dyDescent="0.3">
      <c r="A2917" s="5" t="str">
        <f t="shared" si="317"/>
        <v>Adidas</v>
      </c>
      <c r="B2917" s="5" t="str">
        <f t="shared" si="319"/>
        <v>Ultraboost 23</v>
      </c>
      <c r="C2917" s="3">
        <f t="shared" si="318"/>
        <v>45852</v>
      </c>
      <c r="D2917" s="4">
        <f t="shared" ca="1" si="320"/>
        <v>26</v>
      </c>
      <c r="E2917" s="2">
        <f t="shared" ca="1" si="321"/>
        <v>1868</v>
      </c>
      <c r="F2917" s="2">
        <f t="shared" ca="1" si="322"/>
        <v>30686</v>
      </c>
      <c r="G2917" s="2">
        <f t="shared" ca="1" si="323"/>
        <v>1675</v>
      </c>
    </row>
    <row r="2918" spans="1:7" x14ac:dyDescent="0.3">
      <c r="A2918" s="5" t="str">
        <f t="shared" si="317"/>
        <v>Puma</v>
      </c>
      <c r="B2918" s="5" t="str">
        <f t="shared" si="319"/>
        <v>RS-X</v>
      </c>
      <c r="C2918" s="3">
        <f t="shared" si="318"/>
        <v>45852</v>
      </c>
      <c r="D2918" s="4">
        <f t="shared" ca="1" si="320"/>
        <v>188</v>
      </c>
      <c r="E2918" s="2">
        <f t="shared" ca="1" si="321"/>
        <v>3957</v>
      </c>
      <c r="F2918" s="2">
        <f t="shared" ca="1" si="322"/>
        <v>16153</v>
      </c>
      <c r="G2918" s="2">
        <f t="shared" ca="1" si="323"/>
        <v>758</v>
      </c>
    </row>
    <row r="2919" spans="1:7" x14ac:dyDescent="0.3">
      <c r="A2919" s="5" t="str">
        <f t="shared" si="317"/>
        <v>New Balance</v>
      </c>
      <c r="B2919" s="5" t="str">
        <f t="shared" si="319"/>
        <v>2002R</v>
      </c>
      <c r="C2919" s="3">
        <f t="shared" si="318"/>
        <v>45852</v>
      </c>
      <c r="D2919" s="4">
        <f t="shared" ca="1" si="320"/>
        <v>78</v>
      </c>
      <c r="E2919" s="2">
        <f t="shared" ca="1" si="321"/>
        <v>9110</v>
      </c>
      <c r="F2919" s="2">
        <f t="shared" ca="1" si="322"/>
        <v>23839</v>
      </c>
      <c r="G2919" s="2">
        <f t="shared" ca="1" si="323"/>
        <v>1216</v>
      </c>
    </row>
    <row r="2920" spans="1:7" x14ac:dyDescent="0.3">
      <c r="A2920" s="5" t="str">
        <f t="shared" si="317"/>
        <v>Reebok</v>
      </c>
      <c r="B2920" s="5" t="str">
        <f t="shared" si="319"/>
        <v>Instapump Fury</v>
      </c>
      <c r="C2920" s="3">
        <f t="shared" si="318"/>
        <v>45852</v>
      </c>
      <c r="D2920" s="4">
        <f t="shared" ca="1" si="320"/>
        <v>93</v>
      </c>
      <c r="E2920" s="2">
        <f t="shared" ca="1" si="321"/>
        <v>11152</v>
      </c>
      <c r="F2920" s="2">
        <f t="shared" ca="1" si="322"/>
        <v>23899</v>
      </c>
      <c r="G2920" s="2">
        <f t="shared" ca="1" si="323"/>
        <v>920</v>
      </c>
    </row>
    <row r="2921" spans="1:7" x14ac:dyDescent="0.3">
      <c r="A2921" s="5" t="str">
        <f t="shared" si="317"/>
        <v>Nike</v>
      </c>
      <c r="B2921" s="5" t="str">
        <f t="shared" si="319"/>
        <v>Cortez</v>
      </c>
      <c r="C2921" s="3">
        <f t="shared" si="318"/>
        <v>45852</v>
      </c>
      <c r="D2921" s="4">
        <f t="shared" ca="1" si="320"/>
        <v>123</v>
      </c>
      <c r="E2921" s="2">
        <f t="shared" ca="1" si="321"/>
        <v>6796</v>
      </c>
      <c r="F2921" s="2">
        <f t="shared" ca="1" si="322"/>
        <v>26676</v>
      </c>
      <c r="G2921" s="2">
        <f t="shared" ca="1" si="323"/>
        <v>1474</v>
      </c>
    </row>
    <row r="2922" spans="1:7" x14ac:dyDescent="0.3">
      <c r="A2922" s="5" t="str">
        <f t="shared" si="317"/>
        <v>Adidas</v>
      </c>
      <c r="B2922" s="5" t="str">
        <f t="shared" si="319"/>
        <v>NMD S1</v>
      </c>
      <c r="C2922" s="3">
        <f t="shared" si="318"/>
        <v>45852</v>
      </c>
      <c r="D2922" s="4">
        <f t="shared" ca="1" si="320"/>
        <v>21</v>
      </c>
      <c r="E2922" s="2">
        <f t="shared" ca="1" si="321"/>
        <v>3509</v>
      </c>
      <c r="F2922" s="2">
        <f t="shared" ca="1" si="322"/>
        <v>10936</v>
      </c>
      <c r="G2922" s="2">
        <f t="shared" ca="1" si="323"/>
        <v>617</v>
      </c>
    </row>
    <row r="2923" spans="1:7" x14ac:dyDescent="0.3">
      <c r="A2923" s="5" t="str">
        <f t="shared" ref="A2923:A2986" si="324">CHOOSE(MOD(ROW(A2922),5)+1,"Nike","Adidas","Puma","New Balance","Reebok")</f>
        <v>Puma</v>
      </c>
      <c r="B2923" s="5" t="str">
        <f t="shared" si="319"/>
        <v>Suede Classic</v>
      </c>
      <c r="C2923" s="3">
        <f t="shared" ref="C2923:C2986" si="325">DATE(2025,1,1)+INT((ROW(A2923)-2)/15)</f>
        <v>45852</v>
      </c>
      <c r="D2923" s="4">
        <f t="shared" ca="1" si="320"/>
        <v>152</v>
      </c>
      <c r="E2923" s="2">
        <f t="shared" ca="1" si="321"/>
        <v>7446</v>
      </c>
      <c r="F2923" s="2">
        <f t="shared" ca="1" si="322"/>
        <v>32665</v>
      </c>
      <c r="G2923" s="2">
        <f t="shared" ca="1" si="323"/>
        <v>1075</v>
      </c>
    </row>
    <row r="2924" spans="1:7" x14ac:dyDescent="0.3">
      <c r="A2924" s="5" t="str">
        <f t="shared" si="324"/>
        <v>New Balance</v>
      </c>
      <c r="B2924" s="5" t="str">
        <f t="shared" si="319"/>
        <v>990v6</v>
      </c>
      <c r="C2924" s="3">
        <f t="shared" si="325"/>
        <v>45852</v>
      </c>
      <c r="D2924" s="4">
        <f t="shared" ca="1" si="320"/>
        <v>226</v>
      </c>
      <c r="E2924" s="2">
        <f t="shared" ca="1" si="321"/>
        <v>5028</v>
      </c>
      <c r="F2924" s="2">
        <f t="shared" ca="1" si="322"/>
        <v>10915</v>
      </c>
      <c r="G2924" s="2">
        <f t="shared" ca="1" si="323"/>
        <v>490</v>
      </c>
    </row>
    <row r="2925" spans="1:7" x14ac:dyDescent="0.3">
      <c r="A2925" s="5" t="str">
        <f t="shared" si="324"/>
        <v>Reebok</v>
      </c>
      <c r="B2925" s="5" t="str">
        <f t="shared" si="319"/>
        <v>Nano X3</v>
      </c>
      <c r="C2925" s="3">
        <f t="shared" si="325"/>
        <v>45852</v>
      </c>
      <c r="D2925" s="4">
        <f t="shared" ca="1" si="320"/>
        <v>73</v>
      </c>
      <c r="E2925" s="2">
        <f t="shared" ca="1" si="321"/>
        <v>8293</v>
      </c>
      <c r="F2925" s="2">
        <f t="shared" ca="1" si="322"/>
        <v>29125</v>
      </c>
      <c r="G2925" s="2">
        <f t="shared" ca="1" si="323"/>
        <v>1180</v>
      </c>
    </row>
    <row r="2926" spans="1:7" x14ac:dyDescent="0.3">
      <c r="A2926" s="5" t="str">
        <f t="shared" si="324"/>
        <v>Nike</v>
      </c>
      <c r="B2926" s="5" t="str">
        <f t="shared" si="319"/>
        <v>Vaporfly 3</v>
      </c>
      <c r="C2926" s="3">
        <f t="shared" si="325"/>
        <v>45852</v>
      </c>
      <c r="D2926" s="4">
        <f t="shared" ca="1" si="320"/>
        <v>217</v>
      </c>
      <c r="E2926" s="2">
        <f t="shared" ca="1" si="321"/>
        <v>9402</v>
      </c>
      <c r="F2926" s="2">
        <f t="shared" ca="1" si="322"/>
        <v>17031</v>
      </c>
      <c r="G2926" s="2">
        <f t="shared" ca="1" si="323"/>
        <v>403</v>
      </c>
    </row>
    <row r="2927" spans="1:7" x14ac:dyDescent="0.3">
      <c r="A2927" s="5" t="str">
        <f t="shared" si="324"/>
        <v>Adidas</v>
      </c>
      <c r="B2927" s="5" t="str">
        <f t="shared" si="319"/>
        <v>Samba</v>
      </c>
      <c r="C2927" s="3">
        <f t="shared" si="325"/>
        <v>45853</v>
      </c>
      <c r="D2927" s="4">
        <f t="shared" ca="1" si="320"/>
        <v>29</v>
      </c>
      <c r="E2927" s="2">
        <f t="shared" ca="1" si="321"/>
        <v>7158</v>
      </c>
      <c r="F2927" s="2">
        <f t="shared" ca="1" si="322"/>
        <v>30120</v>
      </c>
      <c r="G2927" s="2">
        <f t="shared" ca="1" si="323"/>
        <v>2173</v>
      </c>
    </row>
    <row r="2928" spans="1:7" x14ac:dyDescent="0.3">
      <c r="A2928" s="5" t="str">
        <f t="shared" si="324"/>
        <v>Puma</v>
      </c>
      <c r="B2928" s="5" t="str">
        <f t="shared" si="319"/>
        <v>Mayze</v>
      </c>
      <c r="C2928" s="3">
        <f t="shared" si="325"/>
        <v>45853</v>
      </c>
      <c r="D2928" s="4">
        <f t="shared" ca="1" si="320"/>
        <v>170</v>
      </c>
      <c r="E2928" s="2">
        <f t="shared" ca="1" si="321"/>
        <v>9766</v>
      </c>
      <c r="F2928" s="2">
        <f t="shared" ca="1" si="322"/>
        <v>24795</v>
      </c>
      <c r="G2928" s="2">
        <f t="shared" ca="1" si="323"/>
        <v>685</v>
      </c>
    </row>
    <row r="2929" spans="1:7" x14ac:dyDescent="0.3">
      <c r="A2929" s="5" t="str">
        <f t="shared" si="324"/>
        <v>New Balance</v>
      </c>
      <c r="B2929" s="5" t="str">
        <f t="shared" si="319"/>
        <v>574 Core</v>
      </c>
      <c r="C2929" s="3">
        <f t="shared" si="325"/>
        <v>45853</v>
      </c>
      <c r="D2929" s="4">
        <f t="shared" ca="1" si="320"/>
        <v>158</v>
      </c>
      <c r="E2929" s="2">
        <f t="shared" ca="1" si="321"/>
        <v>12035</v>
      </c>
      <c r="F2929" s="2">
        <f t="shared" ca="1" si="322"/>
        <v>25206</v>
      </c>
      <c r="G2929" s="2">
        <f t="shared" ca="1" si="323"/>
        <v>1321</v>
      </c>
    </row>
    <row r="2930" spans="1:7" x14ac:dyDescent="0.3">
      <c r="A2930" s="5" t="str">
        <f t="shared" si="324"/>
        <v>Reebok</v>
      </c>
      <c r="B2930" s="5" t="str">
        <f t="shared" si="319"/>
        <v>Club C 85</v>
      </c>
      <c r="C2930" s="3">
        <f t="shared" si="325"/>
        <v>45853</v>
      </c>
      <c r="D2930" s="4">
        <f t="shared" ca="1" si="320"/>
        <v>63</v>
      </c>
      <c r="E2930" s="2">
        <f t="shared" ca="1" si="321"/>
        <v>8601</v>
      </c>
      <c r="F2930" s="2">
        <f t="shared" ca="1" si="322"/>
        <v>5460</v>
      </c>
      <c r="G2930" s="2">
        <f t="shared" ca="1" si="323"/>
        <v>407</v>
      </c>
    </row>
    <row r="2931" spans="1:7" x14ac:dyDescent="0.3">
      <c r="A2931" s="5" t="str">
        <f t="shared" si="324"/>
        <v>Nike</v>
      </c>
      <c r="B2931" s="5" t="str">
        <f t="shared" si="319"/>
        <v>Pegasus 40</v>
      </c>
      <c r="C2931" s="3">
        <f t="shared" si="325"/>
        <v>45853</v>
      </c>
      <c r="D2931" s="4">
        <f t="shared" ca="1" si="320"/>
        <v>43</v>
      </c>
      <c r="E2931" s="2">
        <f t="shared" ca="1" si="321"/>
        <v>3395</v>
      </c>
      <c r="F2931" s="2">
        <f t="shared" ca="1" si="322"/>
        <v>21595</v>
      </c>
      <c r="G2931" s="2">
        <f t="shared" ca="1" si="323"/>
        <v>824</v>
      </c>
    </row>
    <row r="2932" spans="1:7" x14ac:dyDescent="0.3">
      <c r="A2932" s="5" t="str">
        <f t="shared" si="324"/>
        <v>Adidas</v>
      </c>
      <c r="B2932" s="5" t="str">
        <f t="shared" si="319"/>
        <v>Gazelle</v>
      </c>
      <c r="C2932" s="3">
        <f t="shared" si="325"/>
        <v>45853</v>
      </c>
      <c r="D2932" s="4">
        <f t="shared" ca="1" si="320"/>
        <v>31</v>
      </c>
      <c r="E2932" s="2">
        <f t="shared" ca="1" si="321"/>
        <v>9165</v>
      </c>
      <c r="F2932" s="2">
        <f t="shared" ca="1" si="322"/>
        <v>12527</v>
      </c>
      <c r="G2932" s="2">
        <f t="shared" ca="1" si="323"/>
        <v>942</v>
      </c>
    </row>
    <row r="2933" spans="1:7" x14ac:dyDescent="0.3">
      <c r="A2933" s="5" t="str">
        <f t="shared" si="324"/>
        <v>Puma</v>
      </c>
      <c r="B2933" s="5" t="str">
        <f t="shared" si="319"/>
        <v>Slipstream</v>
      </c>
      <c r="C2933" s="3">
        <f t="shared" si="325"/>
        <v>45853</v>
      </c>
      <c r="D2933" s="4">
        <f t="shared" ca="1" si="320"/>
        <v>219</v>
      </c>
      <c r="E2933" s="2">
        <f t="shared" ca="1" si="321"/>
        <v>8195</v>
      </c>
      <c r="F2933" s="2">
        <f t="shared" ca="1" si="322"/>
        <v>32648</v>
      </c>
      <c r="G2933" s="2">
        <f t="shared" ca="1" si="323"/>
        <v>847</v>
      </c>
    </row>
    <row r="2934" spans="1:7" x14ac:dyDescent="0.3">
      <c r="A2934" s="5" t="str">
        <f t="shared" si="324"/>
        <v>New Balance</v>
      </c>
      <c r="B2934" s="5" t="str">
        <f t="shared" si="319"/>
        <v>550</v>
      </c>
      <c r="C2934" s="3">
        <f t="shared" si="325"/>
        <v>45853</v>
      </c>
      <c r="D2934" s="4">
        <f t="shared" ca="1" si="320"/>
        <v>202</v>
      </c>
      <c r="E2934" s="2">
        <f t="shared" ca="1" si="321"/>
        <v>11087</v>
      </c>
      <c r="F2934" s="2">
        <f t="shared" ca="1" si="322"/>
        <v>12702</v>
      </c>
      <c r="G2934" s="2">
        <f t="shared" ca="1" si="323"/>
        <v>660</v>
      </c>
    </row>
    <row r="2935" spans="1:7" x14ac:dyDescent="0.3">
      <c r="A2935" s="5" t="str">
        <f t="shared" si="324"/>
        <v>Reebok</v>
      </c>
      <c r="B2935" s="5" t="str">
        <f t="shared" si="319"/>
        <v>Classic Leather</v>
      </c>
      <c r="C2935" s="3">
        <f t="shared" si="325"/>
        <v>45853</v>
      </c>
      <c r="D2935" s="4">
        <f t="shared" ca="1" si="320"/>
        <v>183</v>
      </c>
      <c r="E2935" s="2">
        <f t="shared" ca="1" si="321"/>
        <v>3214</v>
      </c>
      <c r="F2935" s="2">
        <f t="shared" ca="1" si="322"/>
        <v>27225</v>
      </c>
      <c r="G2935" s="2">
        <f t="shared" ca="1" si="323"/>
        <v>1110</v>
      </c>
    </row>
    <row r="2936" spans="1:7" x14ac:dyDescent="0.3">
      <c r="A2936" s="5" t="str">
        <f t="shared" si="324"/>
        <v>Nike</v>
      </c>
      <c r="B2936" s="5" t="str">
        <f t="shared" si="319"/>
        <v>Air Force 1</v>
      </c>
      <c r="C2936" s="3">
        <f t="shared" si="325"/>
        <v>45853</v>
      </c>
      <c r="D2936" s="4">
        <f t="shared" ca="1" si="320"/>
        <v>134</v>
      </c>
      <c r="E2936" s="2">
        <f t="shared" ca="1" si="321"/>
        <v>6941</v>
      </c>
      <c r="F2936" s="2">
        <f t="shared" ca="1" si="322"/>
        <v>7942</v>
      </c>
      <c r="G2936" s="2">
        <f t="shared" ca="1" si="323"/>
        <v>436</v>
      </c>
    </row>
    <row r="2937" spans="1:7" x14ac:dyDescent="0.3">
      <c r="A2937" s="5" t="str">
        <f t="shared" si="324"/>
        <v>Adidas</v>
      </c>
      <c r="B2937" s="5" t="str">
        <f t="shared" si="319"/>
        <v>Superstar</v>
      </c>
      <c r="C2937" s="3">
        <f t="shared" si="325"/>
        <v>45853</v>
      </c>
      <c r="D2937" s="4">
        <f t="shared" ca="1" si="320"/>
        <v>72</v>
      </c>
      <c r="E2937" s="2">
        <f t="shared" ca="1" si="321"/>
        <v>8664</v>
      </c>
      <c r="F2937" s="2">
        <f t="shared" ca="1" si="322"/>
        <v>18497</v>
      </c>
      <c r="G2937" s="2">
        <f t="shared" ca="1" si="323"/>
        <v>1145</v>
      </c>
    </row>
    <row r="2938" spans="1:7" x14ac:dyDescent="0.3">
      <c r="A2938" s="5" t="str">
        <f t="shared" si="324"/>
        <v>Puma</v>
      </c>
      <c r="B2938" s="5" t="str">
        <f t="shared" si="319"/>
        <v>Rider Vintage</v>
      </c>
      <c r="C2938" s="3">
        <f t="shared" si="325"/>
        <v>45853</v>
      </c>
      <c r="D2938" s="4">
        <f t="shared" ca="1" si="320"/>
        <v>90</v>
      </c>
      <c r="E2938" s="2">
        <f t="shared" ca="1" si="321"/>
        <v>3212</v>
      </c>
      <c r="F2938" s="2">
        <f t="shared" ca="1" si="322"/>
        <v>5796</v>
      </c>
      <c r="G2938" s="2">
        <f t="shared" ca="1" si="323"/>
        <v>230</v>
      </c>
    </row>
    <row r="2939" spans="1:7" x14ac:dyDescent="0.3">
      <c r="A2939" s="5" t="str">
        <f t="shared" si="324"/>
        <v>New Balance</v>
      </c>
      <c r="B2939" s="5" t="str">
        <f t="shared" si="319"/>
        <v>327</v>
      </c>
      <c r="C2939" s="3">
        <f t="shared" si="325"/>
        <v>45853</v>
      </c>
      <c r="D2939" s="4">
        <f t="shared" ca="1" si="320"/>
        <v>218</v>
      </c>
      <c r="E2939" s="2">
        <f t="shared" ca="1" si="321"/>
        <v>3687</v>
      </c>
      <c r="F2939" s="2">
        <f t="shared" ca="1" si="322"/>
        <v>34708</v>
      </c>
      <c r="G2939" s="2">
        <f t="shared" ca="1" si="323"/>
        <v>1226</v>
      </c>
    </row>
    <row r="2940" spans="1:7" x14ac:dyDescent="0.3">
      <c r="A2940" s="5" t="str">
        <f t="shared" si="324"/>
        <v>Reebok</v>
      </c>
      <c r="B2940" s="5" t="str">
        <f t="shared" si="319"/>
        <v>Question Mid</v>
      </c>
      <c r="C2940" s="3">
        <f t="shared" si="325"/>
        <v>45853</v>
      </c>
      <c r="D2940" s="4">
        <f t="shared" ca="1" si="320"/>
        <v>136</v>
      </c>
      <c r="E2940" s="2">
        <f t="shared" ca="1" si="321"/>
        <v>3568</v>
      </c>
      <c r="F2940" s="2">
        <f t="shared" ca="1" si="322"/>
        <v>32473</v>
      </c>
      <c r="G2940" s="2">
        <f t="shared" ca="1" si="323"/>
        <v>1011</v>
      </c>
    </row>
    <row r="2941" spans="1:7" x14ac:dyDescent="0.3">
      <c r="A2941" s="5" t="str">
        <f t="shared" si="324"/>
        <v>Nike</v>
      </c>
      <c r="B2941" s="5" t="str">
        <f t="shared" si="319"/>
        <v>Air Max 270</v>
      </c>
      <c r="C2941" s="3">
        <f t="shared" si="325"/>
        <v>45853</v>
      </c>
      <c r="D2941" s="4">
        <f t="shared" ca="1" si="320"/>
        <v>121</v>
      </c>
      <c r="E2941" s="2">
        <f t="shared" ca="1" si="321"/>
        <v>1617</v>
      </c>
      <c r="F2941" s="2">
        <f t="shared" ca="1" si="322"/>
        <v>31118</v>
      </c>
      <c r="G2941" s="2">
        <f t="shared" ca="1" si="323"/>
        <v>1544</v>
      </c>
    </row>
    <row r="2942" spans="1:7" x14ac:dyDescent="0.3">
      <c r="A2942" s="5" t="str">
        <f t="shared" si="324"/>
        <v>Adidas</v>
      </c>
      <c r="B2942" s="5" t="str">
        <f t="shared" si="319"/>
        <v>Stan Smith</v>
      </c>
      <c r="C2942" s="3">
        <f t="shared" si="325"/>
        <v>45854</v>
      </c>
      <c r="D2942" s="4">
        <f t="shared" ca="1" si="320"/>
        <v>173</v>
      </c>
      <c r="E2942" s="2">
        <f t="shared" ca="1" si="321"/>
        <v>7856</v>
      </c>
      <c r="F2942" s="2">
        <f t="shared" ca="1" si="322"/>
        <v>12090</v>
      </c>
      <c r="G2942" s="2">
        <f t="shared" ca="1" si="323"/>
        <v>849</v>
      </c>
    </row>
    <row r="2943" spans="1:7" x14ac:dyDescent="0.3">
      <c r="A2943" s="5" t="str">
        <f t="shared" si="324"/>
        <v>Puma</v>
      </c>
      <c r="B2943" s="5" t="str">
        <f t="shared" si="319"/>
        <v>Cali Dream</v>
      </c>
      <c r="C2943" s="3">
        <f t="shared" si="325"/>
        <v>45854</v>
      </c>
      <c r="D2943" s="4">
        <f t="shared" ca="1" si="320"/>
        <v>148</v>
      </c>
      <c r="E2943" s="2">
        <f t="shared" ca="1" si="321"/>
        <v>3386</v>
      </c>
      <c r="F2943" s="2">
        <f t="shared" ca="1" si="322"/>
        <v>25560</v>
      </c>
      <c r="G2943" s="2">
        <f t="shared" ca="1" si="323"/>
        <v>1447</v>
      </c>
    </row>
    <row r="2944" spans="1:7" x14ac:dyDescent="0.3">
      <c r="A2944" s="5" t="str">
        <f t="shared" si="324"/>
        <v>New Balance</v>
      </c>
      <c r="B2944" s="5" t="str">
        <f t="shared" si="319"/>
        <v>9060</v>
      </c>
      <c r="C2944" s="3">
        <f t="shared" si="325"/>
        <v>45854</v>
      </c>
      <c r="D2944" s="4">
        <f t="shared" ca="1" si="320"/>
        <v>236</v>
      </c>
      <c r="E2944" s="2">
        <f t="shared" ca="1" si="321"/>
        <v>2029</v>
      </c>
      <c r="F2944" s="2">
        <f t="shared" ca="1" si="322"/>
        <v>22019</v>
      </c>
      <c r="G2944" s="2">
        <f t="shared" ca="1" si="323"/>
        <v>685</v>
      </c>
    </row>
    <row r="2945" spans="1:7" x14ac:dyDescent="0.3">
      <c r="A2945" s="5" t="str">
        <f t="shared" si="324"/>
        <v>Reebok</v>
      </c>
      <c r="B2945" s="5" t="str">
        <f t="shared" si="319"/>
        <v>Zig Kinetica</v>
      </c>
      <c r="C2945" s="3">
        <f t="shared" si="325"/>
        <v>45854</v>
      </c>
      <c r="D2945" s="4">
        <f t="shared" ca="1" si="320"/>
        <v>154</v>
      </c>
      <c r="E2945" s="2">
        <f t="shared" ca="1" si="321"/>
        <v>2572</v>
      </c>
      <c r="F2945" s="2">
        <f t="shared" ca="1" si="322"/>
        <v>15589</v>
      </c>
      <c r="G2945" s="2">
        <f t="shared" ca="1" si="323"/>
        <v>546</v>
      </c>
    </row>
    <row r="2946" spans="1:7" x14ac:dyDescent="0.3">
      <c r="A2946" s="5" t="str">
        <f t="shared" si="324"/>
        <v>Nike</v>
      </c>
      <c r="B2946" s="5" t="str">
        <f t="shared" si="319"/>
        <v>Jordan 1</v>
      </c>
      <c r="C2946" s="3">
        <f t="shared" si="325"/>
        <v>45854</v>
      </c>
      <c r="D2946" s="4">
        <f t="shared" ca="1" si="320"/>
        <v>173</v>
      </c>
      <c r="E2946" s="2">
        <f t="shared" ca="1" si="321"/>
        <v>9700</v>
      </c>
      <c r="F2946" s="2">
        <f t="shared" ca="1" si="322"/>
        <v>5453</v>
      </c>
      <c r="G2946" s="2">
        <f t="shared" ca="1" si="323"/>
        <v>391</v>
      </c>
    </row>
    <row r="2947" spans="1:7" x14ac:dyDescent="0.3">
      <c r="A2947" s="5" t="str">
        <f t="shared" si="324"/>
        <v>Adidas</v>
      </c>
      <c r="B2947" s="5" t="str">
        <f t="shared" ref="B2947:B3010" si="326">IF(A2947="Nike",CHOOSE(MOD(ROW(A2946),6)+1,"Air Max 270","Air Force 1","Pegasus 40","Vaporfly 3","Cortez","Jordan 1"),
 IF(A2947="Adidas",CHOOSE(MOD(ROW(A2946),6)+1,"Ultraboost 23","Stan Smith","Superstar","Gazelle","Samba","NMD S1"),
 IF(A2947="Puma",CHOOSE(MOD(ROW(A2946),6)+1,"Suede Classic","RS-X","Cali Dream","Rider Vintage","Slipstream","Mayze"),
 IF(A2947="New Balance",CHOOSE(MOD(ROW(A2946),6)+1,"574 Core","990v6","2002R","9060","327","550"),
 IF(A2947="Reebok",CHOOSE(MOD(ROW(A2946),6)+1,"Classic Leather","Club C 85","Nano X3","Instapump Fury","Zig Kinetica","Question Mid"),"")))))</f>
        <v>Ultraboost 23</v>
      </c>
      <c r="C2947" s="3">
        <f t="shared" si="325"/>
        <v>45854</v>
      </c>
      <c r="D2947" s="4">
        <f t="shared" ref="D2947:D3010" ca="1" si="327">RANDBETWEEN(20,250)</f>
        <v>238</v>
      </c>
      <c r="E2947" s="2">
        <f t="shared" ref="E2947:E3010" ca="1" si="328">ROUND(RANDBETWEEN(1500,12000)+(RANDBETWEEN(-200,200)),2)</f>
        <v>11339</v>
      </c>
      <c r="F2947" s="2">
        <f t="shared" ref="F2947:F3010" ca="1" si="329">RANDBETWEEN(5000,35000)</f>
        <v>26384</v>
      </c>
      <c r="G2947" s="2">
        <f t="shared" ref="G2947:G3010" ca="1" si="330">RANDBETWEEN(ROUND(F2947*0.02,0),ROUND(F2947*0.08,0))</f>
        <v>928</v>
      </c>
    </row>
    <row r="2948" spans="1:7" x14ac:dyDescent="0.3">
      <c r="A2948" s="5" t="str">
        <f t="shared" si="324"/>
        <v>Puma</v>
      </c>
      <c r="B2948" s="5" t="str">
        <f t="shared" si="326"/>
        <v>RS-X</v>
      </c>
      <c r="C2948" s="3">
        <f t="shared" si="325"/>
        <v>45854</v>
      </c>
      <c r="D2948" s="4">
        <f t="shared" ca="1" si="327"/>
        <v>193</v>
      </c>
      <c r="E2948" s="2">
        <f t="shared" ca="1" si="328"/>
        <v>10230</v>
      </c>
      <c r="F2948" s="2">
        <f t="shared" ca="1" si="329"/>
        <v>21938</v>
      </c>
      <c r="G2948" s="2">
        <f t="shared" ca="1" si="330"/>
        <v>1394</v>
      </c>
    </row>
    <row r="2949" spans="1:7" x14ac:dyDescent="0.3">
      <c r="A2949" s="5" t="str">
        <f t="shared" si="324"/>
        <v>New Balance</v>
      </c>
      <c r="B2949" s="5" t="str">
        <f t="shared" si="326"/>
        <v>2002R</v>
      </c>
      <c r="C2949" s="3">
        <f t="shared" si="325"/>
        <v>45854</v>
      </c>
      <c r="D2949" s="4">
        <f t="shared" ca="1" si="327"/>
        <v>241</v>
      </c>
      <c r="E2949" s="2">
        <f t="shared" ca="1" si="328"/>
        <v>11581</v>
      </c>
      <c r="F2949" s="2">
        <f t="shared" ca="1" si="329"/>
        <v>11199</v>
      </c>
      <c r="G2949" s="2">
        <f t="shared" ca="1" si="330"/>
        <v>440</v>
      </c>
    </row>
    <row r="2950" spans="1:7" x14ac:dyDescent="0.3">
      <c r="A2950" s="5" t="str">
        <f t="shared" si="324"/>
        <v>Reebok</v>
      </c>
      <c r="B2950" s="5" t="str">
        <f t="shared" si="326"/>
        <v>Instapump Fury</v>
      </c>
      <c r="C2950" s="3">
        <f t="shared" si="325"/>
        <v>45854</v>
      </c>
      <c r="D2950" s="4">
        <f t="shared" ca="1" si="327"/>
        <v>199</v>
      </c>
      <c r="E2950" s="2">
        <f t="shared" ca="1" si="328"/>
        <v>10044</v>
      </c>
      <c r="F2950" s="2">
        <f t="shared" ca="1" si="329"/>
        <v>24496</v>
      </c>
      <c r="G2950" s="2">
        <f t="shared" ca="1" si="330"/>
        <v>683</v>
      </c>
    </row>
    <row r="2951" spans="1:7" x14ac:dyDescent="0.3">
      <c r="A2951" s="5" t="str">
        <f t="shared" si="324"/>
        <v>Nike</v>
      </c>
      <c r="B2951" s="5" t="str">
        <f t="shared" si="326"/>
        <v>Cortez</v>
      </c>
      <c r="C2951" s="3">
        <f t="shared" si="325"/>
        <v>45854</v>
      </c>
      <c r="D2951" s="4">
        <f t="shared" ca="1" si="327"/>
        <v>210</v>
      </c>
      <c r="E2951" s="2">
        <f t="shared" ca="1" si="328"/>
        <v>1669</v>
      </c>
      <c r="F2951" s="2">
        <f t="shared" ca="1" si="329"/>
        <v>34567</v>
      </c>
      <c r="G2951" s="2">
        <f t="shared" ca="1" si="330"/>
        <v>2042</v>
      </c>
    </row>
    <row r="2952" spans="1:7" x14ac:dyDescent="0.3">
      <c r="A2952" s="5" t="str">
        <f t="shared" si="324"/>
        <v>Adidas</v>
      </c>
      <c r="B2952" s="5" t="str">
        <f t="shared" si="326"/>
        <v>NMD S1</v>
      </c>
      <c r="C2952" s="3">
        <f t="shared" si="325"/>
        <v>45854</v>
      </c>
      <c r="D2952" s="4">
        <f t="shared" ca="1" si="327"/>
        <v>187</v>
      </c>
      <c r="E2952" s="2">
        <f t="shared" ca="1" si="328"/>
        <v>10581</v>
      </c>
      <c r="F2952" s="2">
        <f t="shared" ca="1" si="329"/>
        <v>32839</v>
      </c>
      <c r="G2952" s="2">
        <f t="shared" ca="1" si="330"/>
        <v>677</v>
      </c>
    </row>
    <row r="2953" spans="1:7" x14ac:dyDescent="0.3">
      <c r="A2953" s="5" t="str">
        <f t="shared" si="324"/>
        <v>Puma</v>
      </c>
      <c r="B2953" s="5" t="str">
        <f t="shared" si="326"/>
        <v>Suede Classic</v>
      </c>
      <c r="C2953" s="3">
        <f t="shared" si="325"/>
        <v>45854</v>
      </c>
      <c r="D2953" s="4">
        <f t="shared" ca="1" si="327"/>
        <v>66</v>
      </c>
      <c r="E2953" s="2">
        <f t="shared" ca="1" si="328"/>
        <v>4094</v>
      </c>
      <c r="F2953" s="2">
        <f t="shared" ca="1" si="329"/>
        <v>20257</v>
      </c>
      <c r="G2953" s="2">
        <f t="shared" ca="1" si="330"/>
        <v>698</v>
      </c>
    </row>
    <row r="2954" spans="1:7" x14ac:dyDescent="0.3">
      <c r="A2954" s="5" t="str">
        <f t="shared" si="324"/>
        <v>New Balance</v>
      </c>
      <c r="B2954" s="5" t="str">
        <f t="shared" si="326"/>
        <v>990v6</v>
      </c>
      <c r="C2954" s="3">
        <f t="shared" si="325"/>
        <v>45854</v>
      </c>
      <c r="D2954" s="4">
        <f t="shared" ca="1" si="327"/>
        <v>168</v>
      </c>
      <c r="E2954" s="2">
        <f t="shared" ca="1" si="328"/>
        <v>7995</v>
      </c>
      <c r="F2954" s="2">
        <f t="shared" ca="1" si="329"/>
        <v>9400</v>
      </c>
      <c r="G2954" s="2">
        <f t="shared" ca="1" si="330"/>
        <v>509</v>
      </c>
    </row>
    <row r="2955" spans="1:7" x14ac:dyDescent="0.3">
      <c r="A2955" s="5" t="str">
        <f t="shared" si="324"/>
        <v>Reebok</v>
      </c>
      <c r="B2955" s="5" t="str">
        <f t="shared" si="326"/>
        <v>Nano X3</v>
      </c>
      <c r="C2955" s="3">
        <f t="shared" si="325"/>
        <v>45854</v>
      </c>
      <c r="D2955" s="4">
        <f t="shared" ca="1" si="327"/>
        <v>230</v>
      </c>
      <c r="E2955" s="2">
        <f t="shared" ca="1" si="328"/>
        <v>1607</v>
      </c>
      <c r="F2955" s="2">
        <f t="shared" ca="1" si="329"/>
        <v>25986</v>
      </c>
      <c r="G2955" s="2">
        <f t="shared" ca="1" si="330"/>
        <v>969</v>
      </c>
    </row>
    <row r="2956" spans="1:7" x14ac:dyDescent="0.3">
      <c r="A2956" s="5" t="str">
        <f t="shared" si="324"/>
        <v>Nike</v>
      </c>
      <c r="B2956" s="5" t="str">
        <f t="shared" si="326"/>
        <v>Vaporfly 3</v>
      </c>
      <c r="C2956" s="3">
        <f t="shared" si="325"/>
        <v>45854</v>
      </c>
      <c r="D2956" s="4">
        <f t="shared" ca="1" si="327"/>
        <v>101</v>
      </c>
      <c r="E2956" s="2">
        <f t="shared" ca="1" si="328"/>
        <v>4597</v>
      </c>
      <c r="F2956" s="2">
        <f t="shared" ca="1" si="329"/>
        <v>18652</v>
      </c>
      <c r="G2956" s="2">
        <f t="shared" ca="1" si="330"/>
        <v>1181</v>
      </c>
    </row>
    <row r="2957" spans="1:7" x14ac:dyDescent="0.3">
      <c r="A2957" s="5" t="str">
        <f t="shared" si="324"/>
        <v>Adidas</v>
      </c>
      <c r="B2957" s="5" t="str">
        <f t="shared" si="326"/>
        <v>Samba</v>
      </c>
      <c r="C2957" s="3">
        <f t="shared" si="325"/>
        <v>45855</v>
      </c>
      <c r="D2957" s="4">
        <f t="shared" ca="1" si="327"/>
        <v>236</v>
      </c>
      <c r="E2957" s="2">
        <f t="shared" ca="1" si="328"/>
        <v>6994</v>
      </c>
      <c r="F2957" s="2">
        <f t="shared" ca="1" si="329"/>
        <v>32251</v>
      </c>
      <c r="G2957" s="2">
        <f t="shared" ca="1" si="330"/>
        <v>2411</v>
      </c>
    </row>
    <row r="2958" spans="1:7" x14ac:dyDescent="0.3">
      <c r="A2958" s="5" t="str">
        <f t="shared" si="324"/>
        <v>Puma</v>
      </c>
      <c r="B2958" s="5" t="str">
        <f t="shared" si="326"/>
        <v>Mayze</v>
      </c>
      <c r="C2958" s="3">
        <f t="shared" si="325"/>
        <v>45855</v>
      </c>
      <c r="D2958" s="4">
        <f t="shared" ca="1" si="327"/>
        <v>209</v>
      </c>
      <c r="E2958" s="2">
        <f t="shared" ca="1" si="328"/>
        <v>11533</v>
      </c>
      <c r="F2958" s="2">
        <f t="shared" ca="1" si="329"/>
        <v>20392</v>
      </c>
      <c r="G2958" s="2">
        <f t="shared" ca="1" si="330"/>
        <v>721</v>
      </c>
    </row>
    <row r="2959" spans="1:7" x14ac:dyDescent="0.3">
      <c r="A2959" s="5" t="str">
        <f t="shared" si="324"/>
        <v>New Balance</v>
      </c>
      <c r="B2959" s="5" t="str">
        <f t="shared" si="326"/>
        <v>574 Core</v>
      </c>
      <c r="C2959" s="3">
        <f t="shared" si="325"/>
        <v>45855</v>
      </c>
      <c r="D2959" s="4">
        <f t="shared" ca="1" si="327"/>
        <v>242</v>
      </c>
      <c r="E2959" s="2">
        <f t="shared" ca="1" si="328"/>
        <v>4932</v>
      </c>
      <c r="F2959" s="2">
        <f t="shared" ca="1" si="329"/>
        <v>11295</v>
      </c>
      <c r="G2959" s="2">
        <f t="shared" ca="1" si="330"/>
        <v>808</v>
      </c>
    </row>
    <row r="2960" spans="1:7" x14ac:dyDescent="0.3">
      <c r="A2960" s="5" t="str">
        <f t="shared" si="324"/>
        <v>Reebok</v>
      </c>
      <c r="B2960" s="5" t="str">
        <f t="shared" si="326"/>
        <v>Club C 85</v>
      </c>
      <c r="C2960" s="3">
        <f t="shared" si="325"/>
        <v>45855</v>
      </c>
      <c r="D2960" s="4">
        <f t="shared" ca="1" si="327"/>
        <v>123</v>
      </c>
      <c r="E2960" s="2">
        <f t="shared" ca="1" si="328"/>
        <v>5689</v>
      </c>
      <c r="F2960" s="2">
        <f t="shared" ca="1" si="329"/>
        <v>31027</v>
      </c>
      <c r="G2960" s="2">
        <f t="shared" ca="1" si="330"/>
        <v>1229</v>
      </c>
    </row>
    <row r="2961" spans="1:7" x14ac:dyDescent="0.3">
      <c r="A2961" s="5" t="str">
        <f t="shared" si="324"/>
        <v>Nike</v>
      </c>
      <c r="B2961" s="5" t="str">
        <f t="shared" si="326"/>
        <v>Pegasus 40</v>
      </c>
      <c r="C2961" s="3">
        <f t="shared" si="325"/>
        <v>45855</v>
      </c>
      <c r="D2961" s="4">
        <f t="shared" ca="1" si="327"/>
        <v>199</v>
      </c>
      <c r="E2961" s="2">
        <f t="shared" ca="1" si="328"/>
        <v>7350</v>
      </c>
      <c r="F2961" s="2">
        <f t="shared" ca="1" si="329"/>
        <v>14403</v>
      </c>
      <c r="G2961" s="2">
        <f t="shared" ca="1" si="330"/>
        <v>704</v>
      </c>
    </row>
    <row r="2962" spans="1:7" x14ac:dyDescent="0.3">
      <c r="A2962" s="5" t="str">
        <f t="shared" si="324"/>
        <v>Adidas</v>
      </c>
      <c r="B2962" s="5" t="str">
        <f t="shared" si="326"/>
        <v>Gazelle</v>
      </c>
      <c r="C2962" s="3">
        <f t="shared" si="325"/>
        <v>45855</v>
      </c>
      <c r="D2962" s="4">
        <f t="shared" ca="1" si="327"/>
        <v>156</v>
      </c>
      <c r="E2962" s="2">
        <f t="shared" ca="1" si="328"/>
        <v>8514</v>
      </c>
      <c r="F2962" s="2">
        <f t="shared" ca="1" si="329"/>
        <v>28200</v>
      </c>
      <c r="G2962" s="2">
        <f t="shared" ca="1" si="330"/>
        <v>1253</v>
      </c>
    </row>
    <row r="2963" spans="1:7" x14ac:dyDescent="0.3">
      <c r="A2963" s="5" t="str">
        <f t="shared" si="324"/>
        <v>Puma</v>
      </c>
      <c r="B2963" s="5" t="str">
        <f t="shared" si="326"/>
        <v>Slipstream</v>
      </c>
      <c r="C2963" s="3">
        <f t="shared" si="325"/>
        <v>45855</v>
      </c>
      <c r="D2963" s="4">
        <f t="shared" ca="1" si="327"/>
        <v>44</v>
      </c>
      <c r="E2963" s="2">
        <f t="shared" ca="1" si="328"/>
        <v>4057</v>
      </c>
      <c r="F2963" s="2">
        <f t="shared" ca="1" si="329"/>
        <v>26082</v>
      </c>
      <c r="G2963" s="2">
        <f t="shared" ca="1" si="330"/>
        <v>672</v>
      </c>
    </row>
    <row r="2964" spans="1:7" x14ac:dyDescent="0.3">
      <c r="A2964" s="5" t="str">
        <f t="shared" si="324"/>
        <v>New Balance</v>
      </c>
      <c r="B2964" s="5" t="str">
        <f t="shared" si="326"/>
        <v>550</v>
      </c>
      <c r="C2964" s="3">
        <f t="shared" si="325"/>
        <v>45855</v>
      </c>
      <c r="D2964" s="4">
        <f t="shared" ca="1" si="327"/>
        <v>127</v>
      </c>
      <c r="E2964" s="2">
        <f t="shared" ca="1" si="328"/>
        <v>9000</v>
      </c>
      <c r="F2964" s="2">
        <f t="shared" ca="1" si="329"/>
        <v>34848</v>
      </c>
      <c r="G2964" s="2">
        <f t="shared" ca="1" si="330"/>
        <v>2387</v>
      </c>
    </row>
    <row r="2965" spans="1:7" x14ac:dyDescent="0.3">
      <c r="A2965" s="5" t="str">
        <f t="shared" si="324"/>
        <v>Reebok</v>
      </c>
      <c r="B2965" s="5" t="str">
        <f t="shared" si="326"/>
        <v>Classic Leather</v>
      </c>
      <c r="C2965" s="3">
        <f t="shared" si="325"/>
        <v>45855</v>
      </c>
      <c r="D2965" s="4">
        <f t="shared" ca="1" si="327"/>
        <v>157</v>
      </c>
      <c r="E2965" s="2">
        <f t="shared" ca="1" si="328"/>
        <v>3473</v>
      </c>
      <c r="F2965" s="2">
        <f t="shared" ca="1" si="329"/>
        <v>14698</v>
      </c>
      <c r="G2965" s="2">
        <f t="shared" ca="1" si="330"/>
        <v>508</v>
      </c>
    </row>
    <row r="2966" spans="1:7" x14ac:dyDescent="0.3">
      <c r="A2966" s="5" t="str">
        <f t="shared" si="324"/>
        <v>Nike</v>
      </c>
      <c r="B2966" s="5" t="str">
        <f t="shared" si="326"/>
        <v>Air Force 1</v>
      </c>
      <c r="C2966" s="3">
        <f t="shared" si="325"/>
        <v>45855</v>
      </c>
      <c r="D2966" s="4">
        <f t="shared" ca="1" si="327"/>
        <v>86</v>
      </c>
      <c r="E2966" s="2">
        <f t="shared" ca="1" si="328"/>
        <v>11282</v>
      </c>
      <c r="F2966" s="2">
        <f t="shared" ca="1" si="329"/>
        <v>25082</v>
      </c>
      <c r="G2966" s="2">
        <f t="shared" ca="1" si="330"/>
        <v>642</v>
      </c>
    </row>
    <row r="2967" spans="1:7" x14ac:dyDescent="0.3">
      <c r="A2967" s="5" t="str">
        <f t="shared" si="324"/>
        <v>Adidas</v>
      </c>
      <c r="B2967" s="5" t="str">
        <f t="shared" si="326"/>
        <v>Superstar</v>
      </c>
      <c r="C2967" s="3">
        <f t="shared" si="325"/>
        <v>45855</v>
      </c>
      <c r="D2967" s="4">
        <f t="shared" ca="1" si="327"/>
        <v>100</v>
      </c>
      <c r="E2967" s="2">
        <f t="shared" ca="1" si="328"/>
        <v>4569</v>
      </c>
      <c r="F2967" s="2">
        <f t="shared" ca="1" si="329"/>
        <v>25964</v>
      </c>
      <c r="G2967" s="2">
        <f t="shared" ca="1" si="330"/>
        <v>732</v>
      </c>
    </row>
    <row r="2968" spans="1:7" x14ac:dyDescent="0.3">
      <c r="A2968" s="5" t="str">
        <f t="shared" si="324"/>
        <v>Puma</v>
      </c>
      <c r="B2968" s="5" t="str">
        <f t="shared" si="326"/>
        <v>Rider Vintage</v>
      </c>
      <c r="C2968" s="3">
        <f t="shared" si="325"/>
        <v>45855</v>
      </c>
      <c r="D2968" s="4">
        <f t="shared" ca="1" si="327"/>
        <v>76</v>
      </c>
      <c r="E2968" s="2">
        <f t="shared" ca="1" si="328"/>
        <v>10683</v>
      </c>
      <c r="F2968" s="2">
        <f t="shared" ca="1" si="329"/>
        <v>25858</v>
      </c>
      <c r="G2968" s="2">
        <f t="shared" ca="1" si="330"/>
        <v>1421</v>
      </c>
    </row>
    <row r="2969" spans="1:7" x14ac:dyDescent="0.3">
      <c r="A2969" s="5" t="str">
        <f t="shared" si="324"/>
        <v>New Balance</v>
      </c>
      <c r="B2969" s="5" t="str">
        <f t="shared" si="326"/>
        <v>327</v>
      </c>
      <c r="C2969" s="3">
        <f t="shared" si="325"/>
        <v>45855</v>
      </c>
      <c r="D2969" s="4">
        <f t="shared" ca="1" si="327"/>
        <v>154</v>
      </c>
      <c r="E2969" s="2">
        <f t="shared" ca="1" si="328"/>
        <v>2244</v>
      </c>
      <c r="F2969" s="2">
        <f t="shared" ca="1" si="329"/>
        <v>15156</v>
      </c>
      <c r="G2969" s="2">
        <f t="shared" ca="1" si="330"/>
        <v>662</v>
      </c>
    </row>
    <row r="2970" spans="1:7" x14ac:dyDescent="0.3">
      <c r="A2970" s="5" t="str">
        <f t="shared" si="324"/>
        <v>Reebok</v>
      </c>
      <c r="B2970" s="5" t="str">
        <f t="shared" si="326"/>
        <v>Question Mid</v>
      </c>
      <c r="C2970" s="3">
        <f t="shared" si="325"/>
        <v>45855</v>
      </c>
      <c r="D2970" s="4">
        <f t="shared" ca="1" si="327"/>
        <v>152</v>
      </c>
      <c r="E2970" s="2">
        <f t="shared" ca="1" si="328"/>
        <v>11834</v>
      </c>
      <c r="F2970" s="2">
        <f t="shared" ca="1" si="329"/>
        <v>9776</v>
      </c>
      <c r="G2970" s="2">
        <f t="shared" ca="1" si="330"/>
        <v>331</v>
      </c>
    </row>
    <row r="2971" spans="1:7" x14ac:dyDescent="0.3">
      <c r="A2971" s="5" t="str">
        <f t="shared" si="324"/>
        <v>Nike</v>
      </c>
      <c r="B2971" s="5" t="str">
        <f t="shared" si="326"/>
        <v>Air Max 270</v>
      </c>
      <c r="C2971" s="3">
        <f t="shared" si="325"/>
        <v>45855</v>
      </c>
      <c r="D2971" s="4">
        <f t="shared" ca="1" si="327"/>
        <v>92</v>
      </c>
      <c r="E2971" s="2">
        <f t="shared" ca="1" si="328"/>
        <v>9694</v>
      </c>
      <c r="F2971" s="2">
        <f t="shared" ca="1" si="329"/>
        <v>23610</v>
      </c>
      <c r="G2971" s="2">
        <f t="shared" ca="1" si="330"/>
        <v>848</v>
      </c>
    </row>
    <row r="2972" spans="1:7" x14ac:dyDescent="0.3">
      <c r="A2972" s="5" t="str">
        <f t="shared" si="324"/>
        <v>Adidas</v>
      </c>
      <c r="B2972" s="5" t="str">
        <f t="shared" si="326"/>
        <v>Stan Smith</v>
      </c>
      <c r="C2972" s="3">
        <f t="shared" si="325"/>
        <v>45856</v>
      </c>
      <c r="D2972" s="4">
        <f t="shared" ca="1" si="327"/>
        <v>25</v>
      </c>
      <c r="E2972" s="2">
        <f t="shared" ca="1" si="328"/>
        <v>5028</v>
      </c>
      <c r="F2972" s="2">
        <f t="shared" ca="1" si="329"/>
        <v>33062</v>
      </c>
      <c r="G2972" s="2">
        <f t="shared" ca="1" si="330"/>
        <v>1674</v>
      </c>
    </row>
    <row r="2973" spans="1:7" x14ac:dyDescent="0.3">
      <c r="A2973" s="5" t="str">
        <f t="shared" si="324"/>
        <v>Puma</v>
      </c>
      <c r="B2973" s="5" t="str">
        <f t="shared" si="326"/>
        <v>Cali Dream</v>
      </c>
      <c r="C2973" s="3">
        <f t="shared" si="325"/>
        <v>45856</v>
      </c>
      <c r="D2973" s="4">
        <f t="shared" ca="1" si="327"/>
        <v>53</v>
      </c>
      <c r="E2973" s="2">
        <f t="shared" ca="1" si="328"/>
        <v>2345</v>
      </c>
      <c r="F2973" s="2">
        <f t="shared" ca="1" si="329"/>
        <v>24448</v>
      </c>
      <c r="G2973" s="2">
        <f t="shared" ca="1" si="330"/>
        <v>531</v>
      </c>
    </row>
    <row r="2974" spans="1:7" x14ac:dyDescent="0.3">
      <c r="A2974" s="5" t="str">
        <f t="shared" si="324"/>
        <v>New Balance</v>
      </c>
      <c r="B2974" s="5" t="str">
        <f t="shared" si="326"/>
        <v>9060</v>
      </c>
      <c r="C2974" s="3">
        <f t="shared" si="325"/>
        <v>45856</v>
      </c>
      <c r="D2974" s="4">
        <f t="shared" ca="1" si="327"/>
        <v>219</v>
      </c>
      <c r="E2974" s="2">
        <f t="shared" ca="1" si="328"/>
        <v>7915</v>
      </c>
      <c r="F2974" s="2">
        <f t="shared" ca="1" si="329"/>
        <v>18118</v>
      </c>
      <c r="G2974" s="2">
        <f t="shared" ca="1" si="330"/>
        <v>496</v>
      </c>
    </row>
    <row r="2975" spans="1:7" x14ac:dyDescent="0.3">
      <c r="A2975" s="5" t="str">
        <f t="shared" si="324"/>
        <v>Reebok</v>
      </c>
      <c r="B2975" s="5" t="str">
        <f t="shared" si="326"/>
        <v>Zig Kinetica</v>
      </c>
      <c r="C2975" s="3">
        <f t="shared" si="325"/>
        <v>45856</v>
      </c>
      <c r="D2975" s="4">
        <f t="shared" ca="1" si="327"/>
        <v>94</v>
      </c>
      <c r="E2975" s="2">
        <f t="shared" ca="1" si="328"/>
        <v>2477</v>
      </c>
      <c r="F2975" s="2">
        <f t="shared" ca="1" si="329"/>
        <v>20954</v>
      </c>
      <c r="G2975" s="2">
        <f t="shared" ca="1" si="330"/>
        <v>1026</v>
      </c>
    </row>
    <row r="2976" spans="1:7" x14ac:dyDescent="0.3">
      <c r="A2976" s="5" t="str">
        <f t="shared" si="324"/>
        <v>Nike</v>
      </c>
      <c r="B2976" s="5" t="str">
        <f t="shared" si="326"/>
        <v>Jordan 1</v>
      </c>
      <c r="C2976" s="3">
        <f t="shared" si="325"/>
        <v>45856</v>
      </c>
      <c r="D2976" s="4">
        <f t="shared" ca="1" si="327"/>
        <v>151</v>
      </c>
      <c r="E2976" s="2">
        <f t="shared" ca="1" si="328"/>
        <v>4211</v>
      </c>
      <c r="F2976" s="2">
        <f t="shared" ca="1" si="329"/>
        <v>9673</v>
      </c>
      <c r="G2976" s="2">
        <f t="shared" ca="1" si="330"/>
        <v>439</v>
      </c>
    </row>
    <row r="2977" spans="1:7" x14ac:dyDescent="0.3">
      <c r="A2977" s="5" t="str">
        <f t="shared" si="324"/>
        <v>Adidas</v>
      </c>
      <c r="B2977" s="5" t="str">
        <f t="shared" si="326"/>
        <v>Ultraboost 23</v>
      </c>
      <c r="C2977" s="3">
        <f t="shared" si="325"/>
        <v>45856</v>
      </c>
      <c r="D2977" s="4">
        <f t="shared" ca="1" si="327"/>
        <v>109</v>
      </c>
      <c r="E2977" s="2">
        <f t="shared" ca="1" si="328"/>
        <v>7146</v>
      </c>
      <c r="F2977" s="2">
        <f t="shared" ca="1" si="329"/>
        <v>19366</v>
      </c>
      <c r="G2977" s="2">
        <f t="shared" ca="1" si="330"/>
        <v>1164</v>
      </c>
    </row>
    <row r="2978" spans="1:7" x14ac:dyDescent="0.3">
      <c r="A2978" s="5" t="str">
        <f t="shared" si="324"/>
        <v>Puma</v>
      </c>
      <c r="B2978" s="5" t="str">
        <f t="shared" si="326"/>
        <v>RS-X</v>
      </c>
      <c r="C2978" s="3">
        <f t="shared" si="325"/>
        <v>45856</v>
      </c>
      <c r="D2978" s="4">
        <f t="shared" ca="1" si="327"/>
        <v>204</v>
      </c>
      <c r="E2978" s="2">
        <f t="shared" ca="1" si="328"/>
        <v>9909</v>
      </c>
      <c r="F2978" s="2">
        <f t="shared" ca="1" si="329"/>
        <v>17730</v>
      </c>
      <c r="G2978" s="2">
        <f t="shared" ca="1" si="330"/>
        <v>624</v>
      </c>
    </row>
    <row r="2979" spans="1:7" x14ac:dyDescent="0.3">
      <c r="A2979" s="5" t="str">
        <f t="shared" si="324"/>
        <v>New Balance</v>
      </c>
      <c r="B2979" s="5" t="str">
        <f t="shared" si="326"/>
        <v>2002R</v>
      </c>
      <c r="C2979" s="3">
        <f t="shared" si="325"/>
        <v>45856</v>
      </c>
      <c r="D2979" s="4">
        <f t="shared" ca="1" si="327"/>
        <v>150</v>
      </c>
      <c r="E2979" s="2">
        <f t="shared" ca="1" si="328"/>
        <v>7365</v>
      </c>
      <c r="F2979" s="2">
        <f t="shared" ca="1" si="329"/>
        <v>33270</v>
      </c>
      <c r="G2979" s="2">
        <f t="shared" ca="1" si="330"/>
        <v>2206</v>
      </c>
    </row>
    <row r="2980" spans="1:7" x14ac:dyDescent="0.3">
      <c r="A2980" s="5" t="str">
        <f t="shared" si="324"/>
        <v>Reebok</v>
      </c>
      <c r="B2980" s="5" t="str">
        <f t="shared" si="326"/>
        <v>Instapump Fury</v>
      </c>
      <c r="C2980" s="3">
        <f t="shared" si="325"/>
        <v>45856</v>
      </c>
      <c r="D2980" s="4">
        <f t="shared" ca="1" si="327"/>
        <v>202</v>
      </c>
      <c r="E2980" s="2">
        <f t="shared" ca="1" si="328"/>
        <v>4736</v>
      </c>
      <c r="F2980" s="2">
        <f t="shared" ca="1" si="329"/>
        <v>18498</v>
      </c>
      <c r="G2980" s="2">
        <f t="shared" ca="1" si="330"/>
        <v>1335</v>
      </c>
    </row>
    <row r="2981" spans="1:7" x14ac:dyDescent="0.3">
      <c r="A2981" s="5" t="str">
        <f t="shared" si="324"/>
        <v>Nike</v>
      </c>
      <c r="B2981" s="5" t="str">
        <f t="shared" si="326"/>
        <v>Cortez</v>
      </c>
      <c r="C2981" s="3">
        <f t="shared" si="325"/>
        <v>45856</v>
      </c>
      <c r="D2981" s="4">
        <f t="shared" ca="1" si="327"/>
        <v>199</v>
      </c>
      <c r="E2981" s="2">
        <f t="shared" ca="1" si="328"/>
        <v>10982</v>
      </c>
      <c r="F2981" s="2">
        <f t="shared" ca="1" si="329"/>
        <v>17831</v>
      </c>
      <c r="G2981" s="2">
        <f t="shared" ca="1" si="330"/>
        <v>1035</v>
      </c>
    </row>
    <row r="2982" spans="1:7" x14ac:dyDescent="0.3">
      <c r="A2982" s="5" t="str">
        <f t="shared" si="324"/>
        <v>Adidas</v>
      </c>
      <c r="B2982" s="5" t="str">
        <f t="shared" si="326"/>
        <v>NMD S1</v>
      </c>
      <c r="C2982" s="3">
        <f t="shared" si="325"/>
        <v>45856</v>
      </c>
      <c r="D2982" s="4">
        <f t="shared" ca="1" si="327"/>
        <v>234</v>
      </c>
      <c r="E2982" s="2">
        <f t="shared" ca="1" si="328"/>
        <v>8989</v>
      </c>
      <c r="F2982" s="2">
        <f t="shared" ca="1" si="329"/>
        <v>32164</v>
      </c>
      <c r="G2982" s="2">
        <f t="shared" ca="1" si="330"/>
        <v>949</v>
      </c>
    </row>
    <row r="2983" spans="1:7" x14ac:dyDescent="0.3">
      <c r="A2983" s="5" t="str">
        <f t="shared" si="324"/>
        <v>Puma</v>
      </c>
      <c r="B2983" s="5" t="str">
        <f t="shared" si="326"/>
        <v>Suede Classic</v>
      </c>
      <c r="C2983" s="3">
        <f t="shared" si="325"/>
        <v>45856</v>
      </c>
      <c r="D2983" s="4">
        <f t="shared" ca="1" si="327"/>
        <v>193</v>
      </c>
      <c r="E2983" s="2">
        <f t="shared" ca="1" si="328"/>
        <v>3483</v>
      </c>
      <c r="F2983" s="2">
        <f t="shared" ca="1" si="329"/>
        <v>21981</v>
      </c>
      <c r="G2983" s="2">
        <f t="shared" ca="1" si="330"/>
        <v>1110</v>
      </c>
    </row>
    <row r="2984" spans="1:7" x14ac:dyDescent="0.3">
      <c r="A2984" s="5" t="str">
        <f t="shared" si="324"/>
        <v>New Balance</v>
      </c>
      <c r="B2984" s="5" t="str">
        <f t="shared" si="326"/>
        <v>990v6</v>
      </c>
      <c r="C2984" s="3">
        <f t="shared" si="325"/>
        <v>45856</v>
      </c>
      <c r="D2984" s="4">
        <f t="shared" ca="1" si="327"/>
        <v>32</v>
      </c>
      <c r="E2984" s="2">
        <f t="shared" ca="1" si="328"/>
        <v>3358</v>
      </c>
      <c r="F2984" s="2">
        <f t="shared" ca="1" si="329"/>
        <v>19948</v>
      </c>
      <c r="G2984" s="2">
        <f t="shared" ca="1" si="330"/>
        <v>916</v>
      </c>
    </row>
    <row r="2985" spans="1:7" x14ac:dyDescent="0.3">
      <c r="A2985" s="5" t="str">
        <f t="shared" si="324"/>
        <v>Reebok</v>
      </c>
      <c r="B2985" s="5" t="str">
        <f t="shared" si="326"/>
        <v>Nano X3</v>
      </c>
      <c r="C2985" s="3">
        <f t="shared" si="325"/>
        <v>45856</v>
      </c>
      <c r="D2985" s="4">
        <f t="shared" ca="1" si="327"/>
        <v>67</v>
      </c>
      <c r="E2985" s="2">
        <f t="shared" ca="1" si="328"/>
        <v>10532</v>
      </c>
      <c r="F2985" s="2">
        <f t="shared" ca="1" si="329"/>
        <v>21777</v>
      </c>
      <c r="G2985" s="2">
        <f t="shared" ca="1" si="330"/>
        <v>719</v>
      </c>
    </row>
    <row r="2986" spans="1:7" x14ac:dyDescent="0.3">
      <c r="A2986" s="5" t="str">
        <f t="shared" si="324"/>
        <v>Nike</v>
      </c>
      <c r="B2986" s="5" t="str">
        <f t="shared" si="326"/>
        <v>Vaporfly 3</v>
      </c>
      <c r="C2986" s="3">
        <f t="shared" si="325"/>
        <v>45856</v>
      </c>
      <c r="D2986" s="4">
        <f t="shared" ca="1" si="327"/>
        <v>199</v>
      </c>
      <c r="E2986" s="2">
        <f t="shared" ca="1" si="328"/>
        <v>3973</v>
      </c>
      <c r="F2986" s="2">
        <f t="shared" ca="1" si="329"/>
        <v>28933</v>
      </c>
      <c r="G2986" s="2">
        <f t="shared" ca="1" si="330"/>
        <v>681</v>
      </c>
    </row>
    <row r="2987" spans="1:7" x14ac:dyDescent="0.3">
      <c r="A2987" s="5" t="str">
        <f t="shared" ref="A2987:A3050" si="331">CHOOSE(MOD(ROW(A2986),5)+1,"Nike","Adidas","Puma","New Balance","Reebok")</f>
        <v>Adidas</v>
      </c>
      <c r="B2987" s="5" t="str">
        <f t="shared" si="326"/>
        <v>Samba</v>
      </c>
      <c r="C2987" s="3">
        <f t="shared" ref="C2987:C3050" si="332">DATE(2025,1,1)+INT((ROW(A2987)-2)/15)</f>
        <v>45857</v>
      </c>
      <c r="D2987" s="4">
        <f t="shared" ca="1" si="327"/>
        <v>171</v>
      </c>
      <c r="E2987" s="2">
        <f t="shared" ca="1" si="328"/>
        <v>10458</v>
      </c>
      <c r="F2987" s="2">
        <f t="shared" ca="1" si="329"/>
        <v>33664</v>
      </c>
      <c r="G2987" s="2">
        <f t="shared" ca="1" si="330"/>
        <v>2039</v>
      </c>
    </row>
    <row r="2988" spans="1:7" x14ac:dyDescent="0.3">
      <c r="A2988" s="5" t="str">
        <f t="shared" si="331"/>
        <v>Puma</v>
      </c>
      <c r="B2988" s="5" t="str">
        <f t="shared" si="326"/>
        <v>Mayze</v>
      </c>
      <c r="C2988" s="3">
        <f t="shared" si="332"/>
        <v>45857</v>
      </c>
      <c r="D2988" s="4">
        <f t="shared" ca="1" si="327"/>
        <v>212</v>
      </c>
      <c r="E2988" s="2">
        <f t="shared" ca="1" si="328"/>
        <v>9475</v>
      </c>
      <c r="F2988" s="2">
        <f t="shared" ca="1" si="329"/>
        <v>25785</v>
      </c>
      <c r="G2988" s="2">
        <f t="shared" ca="1" si="330"/>
        <v>1193</v>
      </c>
    </row>
    <row r="2989" spans="1:7" x14ac:dyDescent="0.3">
      <c r="A2989" s="5" t="str">
        <f t="shared" si="331"/>
        <v>New Balance</v>
      </c>
      <c r="B2989" s="5" t="str">
        <f t="shared" si="326"/>
        <v>574 Core</v>
      </c>
      <c r="C2989" s="3">
        <f t="shared" si="332"/>
        <v>45857</v>
      </c>
      <c r="D2989" s="4">
        <f t="shared" ca="1" si="327"/>
        <v>75</v>
      </c>
      <c r="E2989" s="2">
        <f t="shared" ca="1" si="328"/>
        <v>9397</v>
      </c>
      <c r="F2989" s="2">
        <f t="shared" ca="1" si="329"/>
        <v>24273</v>
      </c>
      <c r="G2989" s="2">
        <f t="shared" ca="1" si="330"/>
        <v>611</v>
      </c>
    </row>
    <row r="2990" spans="1:7" x14ac:dyDescent="0.3">
      <c r="A2990" s="5" t="str">
        <f t="shared" si="331"/>
        <v>Reebok</v>
      </c>
      <c r="B2990" s="5" t="str">
        <f t="shared" si="326"/>
        <v>Club C 85</v>
      </c>
      <c r="C2990" s="3">
        <f t="shared" si="332"/>
        <v>45857</v>
      </c>
      <c r="D2990" s="4">
        <f t="shared" ca="1" si="327"/>
        <v>110</v>
      </c>
      <c r="E2990" s="2">
        <f t="shared" ca="1" si="328"/>
        <v>4721</v>
      </c>
      <c r="F2990" s="2">
        <f t="shared" ca="1" si="329"/>
        <v>28199</v>
      </c>
      <c r="G2990" s="2">
        <f t="shared" ca="1" si="330"/>
        <v>1835</v>
      </c>
    </row>
    <row r="2991" spans="1:7" x14ac:dyDescent="0.3">
      <c r="A2991" s="5" t="str">
        <f t="shared" si="331"/>
        <v>Nike</v>
      </c>
      <c r="B2991" s="5" t="str">
        <f t="shared" si="326"/>
        <v>Pegasus 40</v>
      </c>
      <c r="C2991" s="3">
        <f t="shared" si="332"/>
        <v>45857</v>
      </c>
      <c r="D2991" s="4">
        <f t="shared" ca="1" si="327"/>
        <v>76</v>
      </c>
      <c r="E2991" s="2">
        <f t="shared" ca="1" si="328"/>
        <v>8035</v>
      </c>
      <c r="F2991" s="2">
        <f t="shared" ca="1" si="329"/>
        <v>25277</v>
      </c>
      <c r="G2991" s="2">
        <f t="shared" ca="1" si="330"/>
        <v>1575</v>
      </c>
    </row>
    <row r="2992" spans="1:7" x14ac:dyDescent="0.3">
      <c r="A2992" s="5" t="str">
        <f t="shared" si="331"/>
        <v>Adidas</v>
      </c>
      <c r="B2992" s="5" t="str">
        <f t="shared" si="326"/>
        <v>Gazelle</v>
      </c>
      <c r="C2992" s="3">
        <f t="shared" si="332"/>
        <v>45857</v>
      </c>
      <c r="D2992" s="4">
        <f t="shared" ca="1" si="327"/>
        <v>165</v>
      </c>
      <c r="E2992" s="2">
        <f t="shared" ca="1" si="328"/>
        <v>11131</v>
      </c>
      <c r="F2992" s="2">
        <f t="shared" ca="1" si="329"/>
        <v>30126</v>
      </c>
      <c r="G2992" s="2">
        <f t="shared" ca="1" si="330"/>
        <v>1679</v>
      </c>
    </row>
    <row r="2993" spans="1:7" x14ac:dyDescent="0.3">
      <c r="A2993" s="5" t="str">
        <f t="shared" si="331"/>
        <v>Puma</v>
      </c>
      <c r="B2993" s="5" t="str">
        <f t="shared" si="326"/>
        <v>Slipstream</v>
      </c>
      <c r="C2993" s="3">
        <f t="shared" si="332"/>
        <v>45857</v>
      </c>
      <c r="D2993" s="4">
        <f t="shared" ca="1" si="327"/>
        <v>225</v>
      </c>
      <c r="E2993" s="2">
        <f t="shared" ca="1" si="328"/>
        <v>7257</v>
      </c>
      <c r="F2993" s="2">
        <f t="shared" ca="1" si="329"/>
        <v>25743</v>
      </c>
      <c r="G2993" s="2">
        <f t="shared" ca="1" si="330"/>
        <v>627</v>
      </c>
    </row>
    <row r="2994" spans="1:7" x14ac:dyDescent="0.3">
      <c r="A2994" s="5" t="str">
        <f t="shared" si="331"/>
        <v>New Balance</v>
      </c>
      <c r="B2994" s="5" t="str">
        <f t="shared" si="326"/>
        <v>550</v>
      </c>
      <c r="C2994" s="3">
        <f t="shared" si="332"/>
        <v>45857</v>
      </c>
      <c r="D2994" s="4">
        <f t="shared" ca="1" si="327"/>
        <v>236</v>
      </c>
      <c r="E2994" s="2">
        <f t="shared" ca="1" si="328"/>
        <v>5316</v>
      </c>
      <c r="F2994" s="2">
        <f t="shared" ca="1" si="329"/>
        <v>20000</v>
      </c>
      <c r="G2994" s="2">
        <f t="shared" ca="1" si="330"/>
        <v>1438</v>
      </c>
    </row>
    <row r="2995" spans="1:7" x14ac:dyDescent="0.3">
      <c r="A2995" s="5" t="str">
        <f t="shared" si="331"/>
        <v>Reebok</v>
      </c>
      <c r="B2995" s="5" t="str">
        <f t="shared" si="326"/>
        <v>Classic Leather</v>
      </c>
      <c r="C2995" s="3">
        <f t="shared" si="332"/>
        <v>45857</v>
      </c>
      <c r="D2995" s="4">
        <f t="shared" ca="1" si="327"/>
        <v>65</v>
      </c>
      <c r="E2995" s="2">
        <f t="shared" ca="1" si="328"/>
        <v>10647</v>
      </c>
      <c r="F2995" s="2">
        <f t="shared" ca="1" si="329"/>
        <v>8464</v>
      </c>
      <c r="G2995" s="2">
        <f t="shared" ca="1" si="330"/>
        <v>315</v>
      </c>
    </row>
    <row r="2996" spans="1:7" x14ac:dyDescent="0.3">
      <c r="A2996" s="5" t="str">
        <f t="shared" si="331"/>
        <v>Nike</v>
      </c>
      <c r="B2996" s="5" t="str">
        <f t="shared" si="326"/>
        <v>Air Force 1</v>
      </c>
      <c r="C2996" s="3">
        <f t="shared" si="332"/>
        <v>45857</v>
      </c>
      <c r="D2996" s="4">
        <f t="shared" ca="1" si="327"/>
        <v>139</v>
      </c>
      <c r="E2996" s="2">
        <f t="shared" ca="1" si="328"/>
        <v>7561</v>
      </c>
      <c r="F2996" s="2">
        <f t="shared" ca="1" si="329"/>
        <v>26147</v>
      </c>
      <c r="G2996" s="2">
        <f t="shared" ca="1" si="330"/>
        <v>2017</v>
      </c>
    </row>
    <row r="2997" spans="1:7" x14ac:dyDescent="0.3">
      <c r="A2997" s="5" t="str">
        <f t="shared" si="331"/>
        <v>Adidas</v>
      </c>
      <c r="B2997" s="5" t="str">
        <f t="shared" si="326"/>
        <v>Superstar</v>
      </c>
      <c r="C2997" s="3">
        <f t="shared" si="332"/>
        <v>45857</v>
      </c>
      <c r="D2997" s="4">
        <f t="shared" ca="1" si="327"/>
        <v>40</v>
      </c>
      <c r="E2997" s="2">
        <f t="shared" ca="1" si="328"/>
        <v>1512</v>
      </c>
      <c r="F2997" s="2">
        <f t="shared" ca="1" si="329"/>
        <v>13740</v>
      </c>
      <c r="G2997" s="2">
        <f t="shared" ca="1" si="330"/>
        <v>597</v>
      </c>
    </row>
    <row r="2998" spans="1:7" x14ac:dyDescent="0.3">
      <c r="A2998" s="5" t="str">
        <f t="shared" si="331"/>
        <v>Puma</v>
      </c>
      <c r="B2998" s="5" t="str">
        <f t="shared" si="326"/>
        <v>Rider Vintage</v>
      </c>
      <c r="C2998" s="3">
        <f t="shared" si="332"/>
        <v>45857</v>
      </c>
      <c r="D2998" s="4">
        <f t="shared" ca="1" si="327"/>
        <v>162</v>
      </c>
      <c r="E2998" s="2">
        <f t="shared" ca="1" si="328"/>
        <v>2055</v>
      </c>
      <c r="F2998" s="2">
        <f t="shared" ca="1" si="329"/>
        <v>18404</v>
      </c>
      <c r="G2998" s="2">
        <f t="shared" ca="1" si="330"/>
        <v>400</v>
      </c>
    </row>
    <row r="2999" spans="1:7" x14ac:dyDescent="0.3">
      <c r="A2999" s="5" t="str">
        <f t="shared" si="331"/>
        <v>New Balance</v>
      </c>
      <c r="B2999" s="5" t="str">
        <f t="shared" si="326"/>
        <v>327</v>
      </c>
      <c r="C2999" s="3">
        <f t="shared" si="332"/>
        <v>45857</v>
      </c>
      <c r="D2999" s="4">
        <f t="shared" ca="1" si="327"/>
        <v>129</v>
      </c>
      <c r="E2999" s="2">
        <f t="shared" ca="1" si="328"/>
        <v>5784</v>
      </c>
      <c r="F2999" s="2">
        <f t="shared" ca="1" si="329"/>
        <v>18210</v>
      </c>
      <c r="G2999" s="2">
        <f t="shared" ca="1" si="330"/>
        <v>1424</v>
      </c>
    </row>
    <row r="3000" spans="1:7" x14ac:dyDescent="0.3">
      <c r="A3000" s="5" t="str">
        <f t="shared" si="331"/>
        <v>Reebok</v>
      </c>
      <c r="B3000" s="5" t="str">
        <f t="shared" si="326"/>
        <v>Question Mid</v>
      </c>
      <c r="C3000" s="3">
        <f t="shared" si="332"/>
        <v>45857</v>
      </c>
      <c r="D3000" s="4">
        <f t="shared" ca="1" si="327"/>
        <v>194</v>
      </c>
      <c r="E3000" s="2">
        <f t="shared" ca="1" si="328"/>
        <v>11617</v>
      </c>
      <c r="F3000" s="2">
        <f t="shared" ca="1" si="329"/>
        <v>8584</v>
      </c>
      <c r="G3000" s="2">
        <f t="shared" ca="1" si="330"/>
        <v>328</v>
      </c>
    </row>
    <row r="3001" spans="1:7" x14ac:dyDescent="0.3">
      <c r="A3001" s="5" t="str">
        <f t="shared" si="331"/>
        <v>Nike</v>
      </c>
      <c r="B3001" s="5" t="str">
        <f t="shared" si="326"/>
        <v>Air Max 270</v>
      </c>
      <c r="C3001" s="3">
        <f t="shared" si="332"/>
        <v>45857</v>
      </c>
      <c r="D3001" s="4">
        <f t="shared" ca="1" si="327"/>
        <v>69</v>
      </c>
      <c r="E3001" s="2">
        <f t="shared" ca="1" si="328"/>
        <v>9936</v>
      </c>
      <c r="F3001" s="2">
        <f t="shared" ca="1" si="329"/>
        <v>21919</v>
      </c>
      <c r="G3001" s="2">
        <f t="shared" ca="1" si="330"/>
        <v>1149</v>
      </c>
    </row>
    <row r="3002" spans="1:7" x14ac:dyDescent="0.3">
      <c r="A3002" s="5" t="str">
        <f t="shared" si="331"/>
        <v>Adidas</v>
      </c>
      <c r="B3002" s="5" t="str">
        <f t="shared" si="326"/>
        <v>Stan Smith</v>
      </c>
      <c r="C3002" s="3">
        <f t="shared" si="332"/>
        <v>45858</v>
      </c>
      <c r="D3002" s="4">
        <f t="shared" ca="1" si="327"/>
        <v>165</v>
      </c>
      <c r="E3002" s="2">
        <f t="shared" ca="1" si="328"/>
        <v>2926</v>
      </c>
      <c r="F3002" s="2">
        <f t="shared" ca="1" si="329"/>
        <v>25668</v>
      </c>
      <c r="G3002" s="2">
        <f t="shared" ca="1" si="330"/>
        <v>1445</v>
      </c>
    </row>
    <row r="3003" spans="1:7" x14ac:dyDescent="0.3">
      <c r="A3003" s="5" t="str">
        <f t="shared" si="331"/>
        <v>Puma</v>
      </c>
      <c r="B3003" s="5" t="str">
        <f t="shared" si="326"/>
        <v>Cali Dream</v>
      </c>
      <c r="C3003" s="3">
        <f t="shared" si="332"/>
        <v>45858</v>
      </c>
      <c r="D3003" s="4">
        <f t="shared" ca="1" si="327"/>
        <v>77</v>
      </c>
      <c r="E3003" s="2">
        <f t="shared" ca="1" si="328"/>
        <v>9874</v>
      </c>
      <c r="F3003" s="2">
        <f t="shared" ca="1" si="329"/>
        <v>22957</v>
      </c>
      <c r="G3003" s="2">
        <f t="shared" ca="1" si="330"/>
        <v>980</v>
      </c>
    </row>
    <row r="3004" spans="1:7" x14ac:dyDescent="0.3">
      <c r="A3004" s="5" t="str">
        <f t="shared" si="331"/>
        <v>New Balance</v>
      </c>
      <c r="B3004" s="5" t="str">
        <f t="shared" si="326"/>
        <v>9060</v>
      </c>
      <c r="C3004" s="3">
        <f t="shared" si="332"/>
        <v>45858</v>
      </c>
      <c r="D3004" s="4">
        <f t="shared" ca="1" si="327"/>
        <v>65</v>
      </c>
      <c r="E3004" s="2">
        <f t="shared" ca="1" si="328"/>
        <v>4179</v>
      </c>
      <c r="F3004" s="2">
        <f t="shared" ca="1" si="329"/>
        <v>9773</v>
      </c>
      <c r="G3004" s="2">
        <f t="shared" ca="1" si="330"/>
        <v>591</v>
      </c>
    </row>
    <row r="3005" spans="1:7" x14ac:dyDescent="0.3">
      <c r="A3005" s="5" t="str">
        <f t="shared" si="331"/>
        <v>Reebok</v>
      </c>
      <c r="B3005" s="5" t="str">
        <f t="shared" si="326"/>
        <v>Zig Kinetica</v>
      </c>
      <c r="C3005" s="3">
        <f t="shared" si="332"/>
        <v>45858</v>
      </c>
      <c r="D3005" s="4">
        <f t="shared" ca="1" si="327"/>
        <v>24</v>
      </c>
      <c r="E3005" s="2">
        <f t="shared" ca="1" si="328"/>
        <v>11981</v>
      </c>
      <c r="F3005" s="2">
        <f t="shared" ca="1" si="329"/>
        <v>24339</v>
      </c>
      <c r="G3005" s="2">
        <f t="shared" ca="1" si="330"/>
        <v>1805</v>
      </c>
    </row>
    <row r="3006" spans="1:7" x14ac:dyDescent="0.3">
      <c r="A3006" s="5" t="str">
        <f t="shared" si="331"/>
        <v>Nike</v>
      </c>
      <c r="B3006" s="5" t="str">
        <f t="shared" si="326"/>
        <v>Jordan 1</v>
      </c>
      <c r="C3006" s="3">
        <f t="shared" si="332"/>
        <v>45858</v>
      </c>
      <c r="D3006" s="4">
        <f t="shared" ca="1" si="327"/>
        <v>163</v>
      </c>
      <c r="E3006" s="2">
        <f t="shared" ca="1" si="328"/>
        <v>10083</v>
      </c>
      <c r="F3006" s="2">
        <f t="shared" ca="1" si="329"/>
        <v>31750</v>
      </c>
      <c r="G3006" s="2">
        <f t="shared" ca="1" si="330"/>
        <v>2248</v>
      </c>
    </row>
    <row r="3007" spans="1:7" x14ac:dyDescent="0.3">
      <c r="A3007" s="5" t="str">
        <f t="shared" si="331"/>
        <v>Adidas</v>
      </c>
      <c r="B3007" s="5" t="str">
        <f t="shared" si="326"/>
        <v>Ultraboost 23</v>
      </c>
      <c r="C3007" s="3">
        <f t="shared" si="332"/>
        <v>45858</v>
      </c>
      <c r="D3007" s="4">
        <f t="shared" ca="1" si="327"/>
        <v>46</v>
      </c>
      <c r="E3007" s="2">
        <f t="shared" ca="1" si="328"/>
        <v>3167</v>
      </c>
      <c r="F3007" s="2">
        <f t="shared" ca="1" si="329"/>
        <v>29150</v>
      </c>
      <c r="G3007" s="2">
        <f t="shared" ca="1" si="330"/>
        <v>1636</v>
      </c>
    </row>
    <row r="3008" spans="1:7" x14ac:dyDescent="0.3">
      <c r="A3008" s="5" t="str">
        <f t="shared" si="331"/>
        <v>Puma</v>
      </c>
      <c r="B3008" s="5" t="str">
        <f t="shared" si="326"/>
        <v>RS-X</v>
      </c>
      <c r="C3008" s="3">
        <f t="shared" si="332"/>
        <v>45858</v>
      </c>
      <c r="D3008" s="4">
        <f t="shared" ca="1" si="327"/>
        <v>105</v>
      </c>
      <c r="E3008" s="2">
        <f t="shared" ca="1" si="328"/>
        <v>5028</v>
      </c>
      <c r="F3008" s="2">
        <f t="shared" ca="1" si="329"/>
        <v>33852</v>
      </c>
      <c r="G3008" s="2">
        <f t="shared" ca="1" si="330"/>
        <v>2695</v>
      </c>
    </row>
    <row r="3009" spans="1:7" x14ac:dyDescent="0.3">
      <c r="A3009" s="5" t="str">
        <f t="shared" si="331"/>
        <v>New Balance</v>
      </c>
      <c r="B3009" s="5" t="str">
        <f t="shared" si="326"/>
        <v>2002R</v>
      </c>
      <c r="C3009" s="3">
        <f t="shared" si="332"/>
        <v>45858</v>
      </c>
      <c r="D3009" s="4">
        <f t="shared" ca="1" si="327"/>
        <v>32</v>
      </c>
      <c r="E3009" s="2">
        <f t="shared" ca="1" si="328"/>
        <v>11760</v>
      </c>
      <c r="F3009" s="2">
        <f t="shared" ca="1" si="329"/>
        <v>33707</v>
      </c>
      <c r="G3009" s="2">
        <f t="shared" ca="1" si="330"/>
        <v>2051</v>
      </c>
    </row>
    <row r="3010" spans="1:7" x14ac:dyDescent="0.3">
      <c r="A3010" s="5" t="str">
        <f t="shared" si="331"/>
        <v>Reebok</v>
      </c>
      <c r="B3010" s="5" t="str">
        <f t="shared" si="326"/>
        <v>Instapump Fury</v>
      </c>
      <c r="C3010" s="3">
        <f t="shared" si="332"/>
        <v>45858</v>
      </c>
      <c r="D3010" s="4">
        <f t="shared" ca="1" si="327"/>
        <v>165</v>
      </c>
      <c r="E3010" s="2">
        <f t="shared" ca="1" si="328"/>
        <v>8447</v>
      </c>
      <c r="F3010" s="2">
        <f t="shared" ca="1" si="329"/>
        <v>12200</v>
      </c>
      <c r="G3010" s="2">
        <f t="shared" ca="1" si="330"/>
        <v>505</v>
      </c>
    </row>
    <row r="3011" spans="1:7" x14ac:dyDescent="0.3">
      <c r="A3011" s="5" t="str">
        <f t="shared" si="331"/>
        <v>Nike</v>
      </c>
      <c r="B3011" s="5" t="str">
        <f t="shared" ref="B3011:B3074" si="333">IF(A3011="Nike",CHOOSE(MOD(ROW(A3010),6)+1,"Air Max 270","Air Force 1","Pegasus 40","Vaporfly 3","Cortez","Jordan 1"),
 IF(A3011="Adidas",CHOOSE(MOD(ROW(A3010),6)+1,"Ultraboost 23","Stan Smith","Superstar","Gazelle","Samba","NMD S1"),
 IF(A3011="Puma",CHOOSE(MOD(ROW(A3010),6)+1,"Suede Classic","RS-X","Cali Dream","Rider Vintage","Slipstream","Mayze"),
 IF(A3011="New Balance",CHOOSE(MOD(ROW(A3010),6)+1,"574 Core","990v6","2002R","9060","327","550"),
 IF(A3011="Reebok",CHOOSE(MOD(ROW(A3010),6)+1,"Classic Leather","Club C 85","Nano X3","Instapump Fury","Zig Kinetica","Question Mid"),"")))))</f>
        <v>Cortez</v>
      </c>
      <c r="C3011" s="3">
        <f t="shared" si="332"/>
        <v>45858</v>
      </c>
      <c r="D3011" s="4">
        <f t="shared" ref="D3011:D3074" ca="1" si="334">RANDBETWEEN(20,250)</f>
        <v>239</v>
      </c>
      <c r="E3011" s="2">
        <f t="shared" ref="E3011:E3074" ca="1" si="335">ROUND(RANDBETWEEN(1500,12000)+(RANDBETWEEN(-200,200)),2)</f>
        <v>3632</v>
      </c>
      <c r="F3011" s="2">
        <f t="shared" ref="F3011:F3074" ca="1" si="336">RANDBETWEEN(5000,35000)</f>
        <v>5401</v>
      </c>
      <c r="G3011" s="2">
        <f t="shared" ref="G3011:G3074" ca="1" si="337">RANDBETWEEN(ROUND(F3011*0.02,0),ROUND(F3011*0.08,0))</f>
        <v>428</v>
      </c>
    </row>
    <row r="3012" spans="1:7" x14ac:dyDescent="0.3">
      <c r="A3012" s="5" t="str">
        <f t="shared" si="331"/>
        <v>Adidas</v>
      </c>
      <c r="B3012" s="5" t="str">
        <f t="shared" si="333"/>
        <v>NMD S1</v>
      </c>
      <c r="C3012" s="3">
        <f t="shared" si="332"/>
        <v>45858</v>
      </c>
      <c r="D3012" s="4">
        <f t="shared" ca="1" si="334"/>
        <v>153</v>
      </c>
      <c r="E3012" s="2">
        <f t="shared" ca="1" si="335"/>
        <v>10365</v>
      </c>
      <c r="F3012" s="2">
        <f t="shared" ca="1" si="336"/>
        <v>20250</v>
      </c>
      <c r="G3012" s="2">
        <f t="shared" ca="1" si="337"/>
        <v>1016</v>
      </c>
    </row>
    <row r="3013" spans="1:7" x14ac:dyDescent="0.3">
      <c r="A3013" s="5" t="str">
        <f t="shared" si="331"/>
        <v>Puma</v>
      </c>
      <c r="B3013" s="5" t="str">
        <f t="shared" si="333"/>
        <v>Suede Classic</v>
      </c>
      <c r="C3013" s="3">
        <f t="shared" si="332"/>
        <v>45858</v>
      </c>
      <c r="D3013" s="4">
        <f t="shared" ca="1" si="334"/>
        <v>104</v>
      </c>
      <c r="E3013" s="2">
        <f t="shared" ca="1" si="335"/>
        <v>7090</v>
      </c>
      <c r="F3013" s="2">
        <f t="shared" ca="1" si="336"/>
        <v>9765</v>
      </c>
      <c r="G3013" s="2">
        <f t="shared" ca="1" si="337"/>
        <v>267</v>
      </c>
    </row>
    <row r="3014" spans="1:7" x14ac:dyDescent="0.3">
      <c r="A3014" s="5" t="str">
        <f t="shared" si="331"/>
        <v>New Balance</v>
      </c>
      <c r="B3014" s="5" t="str">
        <f t="shared" si="333"/>
        <v>990v6</v>
      </c>
      <c r="C3014" s="3">
        <f t="shared" si="332"/>
        <v>45858</v>
      </c>
      <c r="D3014" s="4">
        <f t="shared" ca="1" si="334"/>
        <v>22</v>
      </c>
      <c r="E3014" s="2">
        <f t="shared" ca="1" si="335"/>
        <v>2898</v>
      </c>
      <c r="F3014" s="2">
        <f t="shared" ca="1" si="336"/>
        <v>11481</v>
      </c>
      <c r="G3014" s="2">
        <f t="shared" ca="1" si="337"/>
        <v>912</v>
      </c>
    </row>
    <row r="3015" spans="1:7" x14ac:dyDescent="0.3">
      <c r="A3015" s="5" t="str">
        <f t="shared" si="331"/>
        <v>Reebok</v>
      </c>
      <c r="B3015" s="5" t="str">
        <f t="shared" si="333"/>
        <v>Nano X3</v>
      </c>
      <c r="C3015" s="3">
        <f t="shared" si="332"/>
        <v>45858</v>
      </c>
      <c r="D3015" s="4">
        <f t="shared" ca="1" si="334"/>
        <v>140</v>
      </c>
      <c r="E3015" s="2">
        <f t="shared" ca="1" si="335"/>
        <v>7929</v>
      </c>
      <c r="F3015" s="2">
        <f t="shared" ca="1" si="336"/>
        <v>24967</v>
      </c>
      <c r="G3015" s="2">
        <f t="shared" ca="1" si="337"/>
        <v>1223</v>
      </c>
    </row>
    <row r="3016" spans="1:7" x14ac:dyDescent="0.3">
      <c r="A3016" s="5" t="str">
        <f t="shared" si="331"/>
        <v>Nike</v>
      </c>
      <c r="B3016" s="5" t="str">
        <f t="shared" si="333"/>
        <v>Vaporfly 3</v>
      </c>
      <c r="C3016" s="3">
        <f t="shared" si="332"/>
        <v>45858</v>
      </c>
      <c r="D3016" s="4">
        <f t="shared" ca="1" si="334"/>
        <v>90</v>
      </c>
      <c r="E3016" s="2">
        <f t="shared" ca="1" si="335"/>
        <v>4141</v>
      </c>
      <c r="F3016" s="2">
        <f t="shared" ca="1" si="336"/>
        <v>9283</v>
      </c>
      <c r="G3016" s="2">
        <f t="shared" ca="1" si="337"/>
        <v>554</v>
      </c>
    </row>
    <row r="3017" spans="1:7" x14ac:dyDescent="0.3">
      <c r="A3017" s="5" t="str">
        <f t="shared" si="331"/>
        <v>Adidas</v>
      </c>
      <c r="B3017" s="5" t="str">
        <f t="shared" si="333"/>
        <v>Samba</v>
      </c>
      <c r="C3017" s="3">
        <f t="shared" si="332"/>
        <v>45859</v>
      </c>
      <c r="D3017" s="4">
        <f t="shared" ca="1" si="334"/>
        <v>197</v>
      </c>
      <c r="E3017" s="2">
        <f t="shared" ca="1" si="335"/>
        <v>4999</v>
      </c>
      <c r="F3017" s="2">
        <f t="shared" ca="1" si="336"/>
        <v>33455</v>
      </c>
      <c r="G3017" s="2">
        <f t="shared" ca="1" si="337"/>
        <v>1060</v>
      </c>
    </row>
    <row r="3018" spans="1:7" x14ac:dyDescent="0.3">
      <c r="A3018" s="5" t="str">
        <f t="shared" si="331"/>
        <v>Puma</v>
      </c>
      <c r="B3018" s="5" t="str">
        <f t="shared" si="333"/>
        <v>Mayze</v>
      </c>
      <c r="C3018" s="3">
        <f t="shared" si="332"/>
        <v>45859</v>
      </c>
      <c r="D3018" s="4">
        <f t="shared" ca="1" si="334"/>
        <v>173</v>
      </c>
      <c r="E3018" s="2">
        <f t="shared" ca="1" si="335"/>
        <v>11286</v>
      </c>
      <c r="F3018" s="2">
        <f t="shared" ca="1" si="336"/>
        <v>22815</v>
      </c>
      <c r="G3018" s="2">
        <f t="shared" ca="1" si="337"/>
        <v>1115</v>
      </c>
    </row>
    <row r="3019" spans="1:7" x14ac:dyDescent="0.3">
      <c r="A3019" s="5" t="str">
        <f t="shared" si="331"/>
        <v>New Balance</v>
      </c>
      <c r="B3019" s="5" t="str">
        <f t="shared" si="333"/>
        <v>574 Core</v>
      </c>
      <c r="C3019" s="3">
        <f t="shared" si="332"/>
        <v>45859</v>
      </c>
      <c r="D3019" s="4">
        <f t="shared" ca="1" si="334"/>
        <v>193</v>
      </c>
      <c r="E3019" s="2">
        <f t="shared" ca="1" si="335"/>
        <v>11211</v>
      </c>
      <c r="F3019" s="2">
        <f t="shared" ca="1" si="336"/>
        <v>9917</v>
      </c>
      <c r="G3019" s="2">
        <f t="shared" ca="1" si="337"/>
        <v>248</v>
      </c>
    </row>
    <row r="3020" spans="1:7" x14ac:dyDescent="0.3">
      <c r="A3020" s="5" t="str">
        <f t="shared" si="331"/>
        <v>Reebok</v>
      </c>
      <c r="B3020" s="5" t="str">
        <f t="shared" si="333"/>
        <v>Club C 85</v>
      </c>
      <c r="C3020" s="3">
        <f t="shared" si="332"/>
        <v>45859</v>
      </c>
      <c r="D3020" s="4">
        <f t="shared" ca="1" si="334"/>
        <v>74</v>
      </c>
      <c r="E3020" s="2">
        <f t="shared" ca="1" si="335"/>
        <v>10829</v>
      </c>
      <c r="F3020" s="2">
        <f t="shared" ca="1" si="336"/>
        <v>29823</v>
      </c>
      <c r="G3020" s="2">
        <f t="shared" ca="1" si="337"/>
        <v>2031</v>
      </c>
    </row>
    <row r="3021" spans="1:7" x14ac:dyDescent="0.3">
      <c r="A3021" s="5" t="str">
        <f t="shared" si="331"/>
        <v>Nike</v>
      </c>
      <c r="B3021" s="5" t="str">
        <f t="shared" si="333"/>
        <v>Pegasus 40</v>
      </c>
      <c r="C3021" s="3">
        <f t="shared" si="332"/>
        <v>45859</v>
      </c>
      <c r="D3021" s="4">
        <f t="shared" ca="1" si="334"/>
        <v>96</v>
      </c>
      <c r="E3021" s="2">
        <f t="shared" ca="1" si="335"/>
        <v>3338</v>
      </c>
      <c r="F3021" s="2">
        <f t="shared" ca="1" si="336"/>
        <v>17286</v>
      </c>
      <c r="G3021" s="2">
        <f t="shared" ca="1" si="337"/>
        <v>507</v>
      </c>
    </row>
    <row r="3022" spans="1:7" x14ac:dyDescent="0.3">
      <c r="A3022" s="5" t="str">
        <f t="shared" si="331"/>
        <v>Adidas</v>
      </c>
      <c r="B3022" s="5" t="str">
        <f t="shared" si="333"/>
        <v>Gazelle</v>
      </c>
      <c r="C3022" s="3">
        <f t="shared" si="332"/>
        <v>45859</v>
      </c>
      <c r="D3022" s="4">
        <f t="shared" ca="1" si="334"/>
        <v>87</v>
      </c>
      <c r="E3022" s="2">
        <f t="shared" ca="1" si="335"/>
        <v>7665</v>
      </c>
      <c r="F3022" s="2">
        <f t="shared" ca="1" si="336"/>
        <v>32865</v>
      </c>
      <c r="G3022" s="2">
        <f t="shared" ca="1" si="337"/>
        <v>1913</v>
      </c>
    </row>
    <row r="3023" spans="1:7" x14ac:dyDescent="0.3">
      <c r="A3023" s="5" t="str">
        <f t="shared" si="331"/>
        <v>Puma</v>
      </c>
      <c r="B3023" s="5" t="str">
        <f t="shared" si="333"/>
        <v>Slipstream</v>
      </c>
      <c r="C3023" s="3">
        <f t="shared" si="332"/>
        <v>45859</v>
      </c>
      <c r="D3023" s="4">
        <f t="shared" ca="1" si="334"/>
        <v>66</v>
      </c>
      <c r="E3023" s="2">
        <f t="shared" ca="1" si="335"/>
        <v>8967</v>
      </c>
      <c r="F3023" s="2">
        <f t="shared" ca="1" si="336"/>
        <v>10089</v>
      </c>
      <c r="G3023" s="2">
        <f t="shared" ca="1" si="337"/>
        <v>416</v>
      </c>
    </row>
    <row r="3024" spans="1:7" x14ac:dyDescent="0.3">
      <c r="A3024" s="5" t="str">
        <f t="shared" si="331"/>
        <v>New Balance</v>
      </c>
      <c r="B3024" s="5" t="str">
        <f t="shared" si="333"/>
        <v>550</v>
      </c>
      <c r="C3024" s="3">
        <f t="shared" si="332"/>
        <v>45859</v>
      </c>
      <c r="D3024" s="4">
        <f t="shared" ca="1" si="334"/>
        <v>72</v>
      </c>
      <c r="E3024" s="2">
        <f t="shared" ca="1" si="335"/>
        <v>3833</v>
      </c>
      <c r="F3024" s="2">
        <f t="shared" ca="1" si="336"/>
        <v>11384</v>
      </c>
      <c r="G3024" s="2">
        <f t="shared" ca="1" si="337"/>
        <v>782</v>
      </c>
    </row>
    <row r="3025" spans="1:7" x14ac:dyDescent="0.3">
      <c r="A3025" s="5" t="str">
        <f t="shared" si="331"/>
        <v>Reebok</v>
      </c>
      <c r="B3025" s="5" t="str">
        <f t="shared" si="333"/>
        <v>Classic Leather</v>
      </c>
      <c r="C3025" s="3">
        <f t="shared" si="332"/>
        <v>45859</v>
      </c>
      <c r="D3025" s="4">
        <f t="shared" ca="1" si="334"/>
        <v>242</v>
      </c>
      <c r="E3025" s="2">
        <f t="shared" ca="1" si="335"/>
        <v>10827</v>
      </c>
      <c r="F3025" s="2">
        <f t="shared" ca="1" si="336"/>
        <v>25595</v>
      </c>
      <c r="G3025" s="2">
        <f t="shared" ca="1" si="337"/>
        <v>1499</v>
      </c>
    </row>
    <row r="3026" spans="1:7" x14ac:dyDescent="0.3">
      <c r="A3026" s="5" t="str">
        <f t="shared" si="331"/>
        <v>Nike</v>
      </c>
      <c r="B3026" s="5" t="str">
        <f t="shared" si="333"/>
        <v>Air Force 1</v>
      </c>
      <c r="C3026" s="3">
        <f t="shared" si="332"/>
        <v>45859</v>
      </c>
      <c r="D3026" s="4">
        <f t="shared" ca="1" si="334"/>
        <v>88</v>
      </c>
      <c r="E3026" s="2">
        <f t="shared" ca="1" si="335"/>
        <v>3228</v>
      </c>
      <c r="F3026" s="2">
        <f t="shared" ca="1" si="336"/>
        <v>11946</v>
      </c>
      <c r="G3026" s="2">
        <f t="shared" ca="1" si="337"/>
        <v>513</v>
      </c>
    </row>
    <row r="3027" spans="1:7" x14ac:dyDescent="0.3">
      <c r="A3027" s="5" t="str">
        <f t="shared" si="331"/>
        <v>Adidas</v>
      </c>
      <c r="B3027" s="5" t="str">
        <f t="shared" si="333"/>
        <v>Superstar</v>
      </c>
      <c r="C3027" s="3">
        <f t="shared" si="332"/>
        <v>45859</v>
      </c>
      <c r="D3027" s="4">
        <f t="shared" ca="1" si="334"/>
        <v>182</v>
      </c>
      <c r="E3027" s="2">
        <f t="shared" ca="1" si="335"/>
        <v>9654</v>
      </c>
      <c r="F3027" s="2">
        <f t="shared" ca="1" si="336"/>
        <v>14412</v>
      </c>
      <c r="G3027" s="2">
        <f t="shared" ca="1" si="337"/>
        <v>496</v>
      </c>
    </row>
    <row r="3028" spans="1:7" x14ac:dyDescent="0.3">
      <c r="A3028" s="5" t="str">
        <f t="shared" si="331"/>
        <v>Puma</v>
      </c>
      <c r="B3028" s="5" t="str">
        <f t="shared" si="333"/>
        <v>Rider Vintage</v>
      </c>
      <c r="C3028" s="3">
        <f t="shared" si="332"/>
        <v>45859</v>
      </c>
      <c r="D3028" s="4">
        <f t="shared" ca="1" si="334"/>
        <v>126</v>
      </c>
      <c r="E3028" s="2">
        <f t="shared" ca="1" si="335"/>
        <v>5593</v>
      </c>
      <c r="F3028" s="2">
        <f t="shared" ca="1" si="336"/>
        <v>5960</v>
      </c>
      <c r="G3028" s="2">
        <f t="shared" ca="1" si="337"/>
        <v>148</v>
      </c>
    </row>
    <row r="3029" spans="1:7" x14ac:dyDescent="0.3">
      <c r="A3029" s="5" t="str">
        <f t="shared" si="331"/>
        <v>New Balance</v>
      </c>
      <c r="B3029" s="5" t="str">
        <f t="shared" si="333"/>
        <v>327</v>
      </c>
      <c r="C3029" s="3">
        <f t="shared" si="332"/>
        <v>45859</v>
      </c>
      <c r="D3029" s="4">
        <f t="shared" ca="1" si="334"/>
        <v>249</v>
      </c>
      <c r="E3029" s="2">
        <f t="shared" ca="1" si="335"/>
        <v>4740</v>
      </c>
      <c r="F3029" s="2">
        <f t="shared" ca="1" si="336"/>
        <v>12905</v>
      </c>
      <c r="G3029" s="2">
        <f t="shared" ca="1" si="337"/>
        <v>737</v>
      </c>
    </row>
    <row r="3030" spans="1:7" x14ac:dyDescent="0.3">
      <c r="A3030" s="5" t="str">
        <f t="shared" si="331"/>
        <v>Reebok</v>
      </c>
      <c r="B3030" s="5" t="str">
        <f t="shared" si="333"/>
        <v>Question Mid</v>
      </c>
      <c r="C3030" s="3">
        <f t="shared" si="332"/>
        <v>45859</v>
      </c>
      <c r="D3030" s="4">
        <f t="shared" ca="1" si="334"/>
        <v>106</v>
      </c>
      <c r="E3030" s="2">
        <f t="shared" ca="1" si="335"/>
        <v>6271</v>
      </c>
      <c r="F3030" s="2">
        <f t="shared" ca="1" si="336"/>
        <v>23288</v>
      </c>
      <c r="G3030" s="2">
        <f t="shared" ca="1" si="337"/>
        <v>1286</v>
      </c>
    </row>
    <row r="3031" spans="1:7" x14ac:dyDescent="0.3">
      <c r="A3031" s="5" t="str">
        <f t="shared" si="331"/>
        <v>Nike</v>
      </c>
      <c r="B3031" s="5" t="str">
        <f t="shared" si="333"/>
        <v>Air Max 270</v>
      </c>
      <c r="C3031" s="3">
        <f t="shared" si="332"/>
        <v>45859</v>
      </c>
      <c r="D3031" s="4">
        <f t="shared" ca="1" si="334"/>
        <v>113</v>
      </c>
      <c r="E3031" s="2">
        <f t="shared" ca="1" si="335"/>
        <v>6627</v>
      </c>
      <c r="F3031" s="2">
        <f t="shared" ca="1" si="336"/>
        <v>28478</v>
      </c>
      <c r="G3031" s="2">
        <f t="shared" ca="1" si="337"/>
        <v>1586</v>
      </c>
    </row>
    <row r="3032" spans="1:7" x14ac:dyDescent="0.3">
      <c r="A3032" s="5" t="str">
        <f t="shared" si="331"/>
        <v>Adidas</v>
      </c>
      <c r="B3032" s="5" t="str">
        <f t="shared" si="333"/>
        <v>Stan Smith</v>
      </c>
      <c r="C3032" s="3">
        <f t="shared" si="332"/>
        <v>45860</v>
      </c>
      <c r="D3032" s="4">
        <f t="shared" ca="1" si="334"/>
        <v>159</v>
      </c>
      <c r="E3032" s="2">
        <f t="shared" ca="1" si="335"/>
        <v>1724</v>
      </c>
      <c r="F3032" s="2">
        <f t="shared" ca="1" si="336"/>
        <v>34878</v>
      </c>
      <c r="G3032" s="2">
        <f t="shared" ca="1" si="337"/>
        <v>2056</v>
      </c>
    </row>
    <row r="3033" spans="1:7" x14ac:dyDescent="0.3">
      <c r="A3033" s="5" t="str">
        <f t="shared" si="331"/>
        <v>Puma</v>
      </c>
      <c r="B3033" s="5" t="str">
        <f t="shared" si="333"/>
        <v>Cali Dream</v>
      </c>
      <c r="C3033" s="3">
        <f t="shared" si="332"/>
        <v>45860</v>
      </c>
      <c r="D3033" s="4">
        <f t="shared" ca="1" si="334"/>
        <v>175</v>
      </c>
      <c r="E3033" s="2">
        <f t="shared" ca="1" si="335"/>
        <v>4225</v>
      </c>
      <c r="F3033" s="2">
        <f t="shared" ca="1" si="336"/>
        <v>33776</v>
      </c>
      <c r="G3033" s="2">
        <f t="shared" ca="1" si="337"/>
        <v>1808</v>
      </c>
    </row>
    <row r="3034" spans="1:7" x14ac:dyDescent="0.3">
      <c r="A3034" s="5" t="str">
        <f t="shared" si="331"/>
        <v>New Balance</v>
      </c>
      <c r="B3034" s="5" t="str">
        <f t="shared" si="333"/>
        <v>9060</v>
      </c>
      <c r="C3034" s="3">
        <f t="shared" si="332"/>
        <v>45860</v>
      </c>
      <c r="D3034" s="4">
        <f t="shared" ca="1" si="334"/>
        <v>121</v>
      </c>
      <c r="E3034" s="2">
        <f t="shared" ca="1" si="335"/>
        <v>4203</v>
      </c>
      <c r="F3034" s="2">
        <f t="shared" ca="1" si="336"/>
        <v>31649</v>
      </c>
      <c r="G3034" s="2">
        <f t="shared" ca="1" si="337"/>
        <v>2473</v>
      </c>
    </row>
    <row r="3035" spans="1:7" x14ac:dyDescent="0.3">
      <c r="A3035" s="5" t="str">
        <f t="shared" si="331"/>
        <v>Reebok</v>
      </c>
      <c r="B3035" s="5" t="str">
        <f t="shared" si="333"/>
        <v>Zig Kinetica</v>
      </c>
      <c r="C3035" s="3">
        <f t="shared" si="332"/>
        <v>45860</v>
      </c>
      <c r="D3035" s="4">
        <f t="shared" ca="1" si="334"/>
        <v>195</v>
      </c>
      <c r="E3035" s="2">
        <f t="shared" ca="1" si="335"/>
        <v>9461</v>
      </c>
      <c r="F3035" s="2">
        <f t="shared" ca="1" si="336"/>
        <v>28364</v>
      </c>
      <c r="G3035" s="2">
        <f t="shared" ca="1" si="337"/>
        <v>1276</v>
      </c>
    </row>
    <row r="3036" spans="1:7" x14ac:dyDescent="0.3">
      <c r="A3036" s="5" t="str">
        <f t="shared" si="331"/>
        <v>Nike</v>
      </c>
      <c r="B3036" s="5" t="str">
        <f t="shared" si="333"/>
        <v>Jordan 1</v>
      </c>
      <c r="C3036" s="3">
        <f t="shared" si="332"/>
        <v>45860</v>
      </c>
      <c r="D3036" s="4">
        <f t="shared" ca="1" si="334"/>
        <v>223</v>
      </c>
      <c r="E3036" s="2">
        <f t="shared" ca="1" si="335"/>
        <v>5150</v>
      </c>
      <c r="F3036" s="2">
        <f t="shared" ca="1" si="336"/>
        <v>19026</v>
      </c>
      <c r="G3036" s="2">
        <f t="shared" ca="1" si="337"/>
        <v>745</v>
      </c>
    </row>
    <row r="3037" spans="1:7" x14ac:dyDescent="0.3">
      <c r="A3037" s="5" t="str">
        <f t="shared" si="331"/>
        <v>Adidas</v>
      </c>
      <c r="B3037" s="5" t="str">
        <f t="shared" si="333"/>
        <v>Ultraboost 23</v>
      </c>
      <c r="C3037" s="3">
        <f t="shared" si="332"/>
        <v>45860</v>
      </c>
      <c r="D3037" s="4">
        <f t="shared" ca="1" si="334"/>
        <v>26</v>
      </c>
      <c r="E3037" s="2">
        <f t="shared" ca="1" si="335"/>
        <v>8372</v>
      </c>
      <c r="F3037" s="2">
        <f t="shared" ca="1" si="336"/>
        <v>7696</v>
      </c>
      <c r="G3037" s="2">
        <f t="shared" ca="1" si="337"/>
        <v>506</v>
      </c>
    </row>
    <row r="3038" spans="1:7" x14ac:dyDescent="0.3">
      <c r="A3038" s="5" t="str">
        <f t="shared" si="331"/>
        <v>Puma</v>
      </c>
      <c r="B3038" s="5" t="str">
        <f t="shared" si="333"/>
        <v>RS-X</v>
      </c>
      <c r="C3038" s="3">
        <f t="shared" si="332"/>
        <v>45860</v>
      </c>
      <c r="D3038" s="4">
        <f t="shared" ca="1" si="334"/>
        <v>231</v>
      </c>
      <c r="E3038" s="2">
        <f t="shared" ca="1" si="335"/>
        <v>7197</v>
      </c>
      <c r="F3038" s="2">
        <f t="shared" ca="1" si="336"/>
        <v>13160</v>
      </c>
      <c r="G3038" s="2">
        <f t="shared" ca="1" si="337"/>
        <v>783</v>
      </c>
    </row>
    <row r="3039" spans="1:7" x14ac:dyDescent="0.3">
      <c r="A3039" s="5" t="str">
        <f t="shared" si="331"/>
        <v>New Balance</v>
      </c>
      <c r="B3039" s="5" t="str">
        <f t="shared" si="333"/>
        <v>2002R</v>
      </c>
      <c r="C3039" s="3">
        <f t="shared" si="332"/>
        <v>45860</v>
      </c>
      <c r="D3039" s="4">
        <f t="shared" ca="1" si="334"/>
        <v>103</v>
      </c>
      <c r="E3039" s="2">
        <f t="shared" ca="1" si="335"/>
        <v>7277</v>
      </c>
      <c r="F3039" s="2">
        <f t="shared" ca="1" si="336"/>
        <v>6450</v>
      </c>
      <c r="G3039" s="2">
        <f t="shared" ca="1" si="337"/>
        <v>163</v>
      </c>
    </row>
    <row r="3040" spans="1:7" x14ac:dyDescent="0.3">
      <c r="A3040" s="5" t="str">
        <f t="shared" si="331"/>
        <v>Reebok</v>
      </c>
      <c r="B3040" s="5" t="str">
        <f t="shared" si="333"/>
        <v>Instapump Fury</v>
      </c>
      <c r="C3040" s="3">
        <f t="shared" si="332"/>
        <v>45860</v>
      </c>
      <c r="D3040" s="4">
        <f t="shared" ca="1" si="334"/>
        <v>226</v>
      </c>
      <c r="E3040" s="2">
        <f t="shared" ca="1" si="335"/>
        <v>9035</v>
      </c>
      <c r="F3040" s="2">
        <f t="shared" ca="1" si="336"/>
        <v>12911</v>
      </c>
      <c r="G3040" s="2">
        <f t="shared" ca="1" si="337"/>
        <v>683</v>
      </c>
    </row>
    <row r="3041" spans="1:7" x14ac:dyDescent="0.3">
      <c r="A3041" s="5" t="str">
        <f t="shared" si="331"/>
        <v>Nike</v>
      </c>
      <c r="B3041" s="5" t="str">
        <f t="shared" si="333"/>
        <v>Cortez</v>
      </c>
      <c r="C3041" s="3">
        <f t="shared" si="332"/>
        <v>45860</v>
      </c>
      <c r="D3041" s="4">
        <f t="shared" ca="1" si="334"/>
        <v>138</v>
      </c>
      <c r="E3041" s="2">
        <f t="shared" ca="1" si="335"/>
        <v>9328</v>
      </c>
      <c r="F3041" s="2">
        <f t="shared" ca="1" si="336"/>
        <v>18139</v>
      </c>
      <c r="G3041" s="2">
        <f t="shared" ca="1" si="337"/>
        <v>1389</v>
      </c>
    </row>
    <row r="3042" spans="1:7" x14ac:dyDescent="0.3">
      <c r="A3042" s="5" t="str">
        <f t="shared" si="331"/>
        <v>Adidas</v>
      </c>
      <c r="B3042" s="5" t="str">
        <f t="shared" si="333"/>
        <v>NMD S1</v>
      </c>
      <c r="C3042" s="3">
        <f t="shared" si="332"/>
        <v>45860</v>
      </c>
      <c r="D3042" s="4">
        <f t="shared" ca="1" si="334"/>
        <v>213</v>
      </c>
      <c r="E3042" s="2">
        <f t="shared" ca="1" si="335"/>
        <v>2363</v>
      </c>
      <c r="F3042" s="2">
        <f t="shared" ca="1" si="336"/>
        <v>17786</v>
      </c>
      <c r="G3042" s="2">
        <f t="shared" ca="1" si="337"/>
        <v>1109</v>
      </c>
    </row>
    <row r="3043" spans="1:7" x14ac:dyDescent="0.3">
      <c r="A3043" s="5" t="str">
        <f t="shared" si="331"/>
        <v>Puma</v>
      </c>
      <c r="B3043" s="5" t="str">
        <f t="shared" si="333"/>
        <v>Suede Classic</v>
      </c>
      <c r="C3043" s="3">
        <f t="shared" si="332"/>
        <v>45860</v>
      </c>
      <c r="D3043" s="4">
        <f t="shared" ca="1" si="334"/>
        <v>189</v>
      </c>
      <c r="E3043" s="2">
        <f t="shared" ca="1" si="335"/>
        <v>8959</v>
      </c>
      <c r="F3043" s="2">
        <f t="shared" ca="1" si="336"/>
        <v>9590</v>
      </c>
      <c r="G3043" s="2">
        <f t="shared" ca="1" si="337"/>
        <v>462</v>
      </c>
    </row>
    <row r="3044" spans="1:7" x14ac:dyDescent="0.3">
      <c r="A3044" s="5" t="str">
        <f t="shared" si="331"/>
        <v>New Balance</v>
      </c>
      <c r="B3044" s="5" t="str">
        <f t="shared" si="333"/>
        <v>990v6</v>
      </c>
      <c r="C3044" s="3">
        <f t="shared" si="332"/>
        <v>45860</v>
      </c>
      <c r="D3044" s="4">
        <f t="shared" ca="1" si="334"/>
        <v>93</v>
      </c>
      <c r="E3044" s="2">
        <f t="shared" ca="1" si="335"/>
        <v>5475</v>
      </c>
      <c r="F3044" s="2">
        <f t="shared" ca="1" si="336"/>
        <v>31704</v>
      </c>
      <c r="G3044" s="2">
        <f t="shared" ca="1" si="337"/>
        <v>1813</v>
      </c>
    </row>
    <row r="3045" spans="1:7" x14ac:dyDescent="0.3">
      <c r="A3045" s="5" t="str">
        <f t="shared" si="331"/>
        <v>Reebok</v>
      </c>
      <c r="B3045" s="5" t="str">
        <f t="shared" si="333"/>
        <v>Nano X3</v>
      </c>
      <c r="C3045" s="3">
        <f t="shared" si="332"/>
        <v>45860</v>
      </c>
      <c r="D3045" s="4">
        <f t="shared" ca="1" si="334"/>
        <v>118</v>
      </c>
      <c r="E3045" s="2">
        <f t="shared" ca="1" si="335"/>
        <v>8703</v>
      </c>
      <c r="F3045" s="2">
        <f t="shared" ca="1" si="336"/>
        <v>27256</v>
      </c>
      <c r="G3045" s="2">
        <f t="shared" ca="1" si="337"/>
        <v>1302</v>
      </c>
    </row>
    <row r="3046" spans="1:7" x14ac:dyDescent="0.3">
      <c r="A3046" s="5" t="str">
        <f t="shared" si="331"/>
        <v>Nike</v>
      </c>
      <c r="B3046" s="5" t="str">
        <f t="shared" si="333"/>
        <v>Vaporfly 3</v>
      </c>
      <c r="C3046" s="3">
        <f t="shared" si="332"/>
        <v>45860</v>
      </c>
      <c r="D3046" s="4">
        <f t="shared" ca="1" si="334"/>
        <v>79</v>
      </c>
      <c r="E3046" s="2">
        <f t="shared" ca="1" si="335"/>
        <v>6670</v>
      </c>
      <c r="F3046" s="2">
        <f t="shared" ca="1" si="336"/>
        <v>12035</v>
      </c>
      <c r="G3046" s="2">
        <f t="shared" ca="1" si="337"/>
        <v>720</v>
      </c>
    </row>
    <row r="3047" spans="1:7" x14ac:dyDescent="0.3">
      <c r="A3047" s="5" t="str">
        <f t="shared" si="331"/>
        <v>Adidas</v>
      </c>
      <c r="B3047" s="5" t="str">
        <f t="shared" si="333"/>
        <v>Samba</v>
      </c>
      <c r="C3047" s="3">
        <f t="shared" si="332"/>
        <v>45861</v>
      </c>
      <c r="D3047" s="4">
        <f t="shared" ca="1" si="334"/>
        <v>36</v>
      </c>
      <c r="E3047" s="2">
        <f t="shared" ca="1" si="335"/>
        <v>3351</v>
      </c>
      <c r="F3047" s="2">
        <f t="shared" ca="1" si="336"/>
        <v>12845</v>
      </c>
      <c r="G3047" s="2">
        <f t="shared" ca="1" si="337"/>
        <v>592</v>
      </c>
    </row>
    <row r="3048" spans="1:7" x14ac:dyDescent="0.3">
      <c r="A3048" s="5" t="str">
        <f t="shared" si="331"/>
        <v>Puma</v>
      </c>
      <c r="B3048" s="5" t="str">
        <f t="shared" si="333"/>
        <v>Mayze</v>
      </c>
      <c r="C3048" s="3">
        <f t="shared" si="332"/>
        <v>45861</v>
      </c>
      <c r="D3048" s="4">
        <f t="shared" ca="1" si="334"/>
        <v>53</v>
      </c>
      <c r="E3048" s="2">
        <f t="shared" ca="1" si="335"/>
        <v>8996</v>
      </c>
      <c r="F3048" s="2">
        <f t="shared" ca="1" si="336"/>
        <v>28794</v>
      </c>
      <c r="G3048" s="2">
        <f t="shared" ca="1" si="337"/>
        <v>593</v>
      </c>
    </row>
    <row r="3049" spans="1:7" x14ac:dyDescent="0.3">
      <c r="A3049" s="5" t="str">
        <f t="shared" si="331"/>
        <v>New Balance</v>
      </c>
      <c r="B3049" s="5" t="str">
        <f t="shared" si="333"/>
        <v>574 Core</v>
      </c>
      <c r="C3049" s="3">
        <f t="shared" si="332"/>
        <v>45861</v>
      </c>
      <c r="D3049" s="4">
        <f t="shared" ca="1" si="334"/>
        <v>176</v>
      </c>
      <c r="E3049" s="2">
        <f t="shared" ca="1" si="335"/>
        <v>11058</v>
      </c>
      <c r="F3049" s="2">
        <f t="shared" ca="1" si="336"/>
        <v>32273</v>
      </c>
      <c r="G3049" s="2">
        <f t="shared" ca="1" si="337"/>
        <v>1162</v>
      </c>
    </row>
    <row r="3050" spans="1:7" x14ac:dyDescent="0.3">
      <c r="A3050" s="5" t="str">
        <f t="shared" si="331"/>
        <v>Reebok</v>
      </c>
      <c r="B3050" s="5" t="str">
        <f t="shared" si="333"/>
        <v>Club C 85</v>
      </c>
      <c r="C3050" s="3">
        <f t="shared" si="332"/>
        <v>45861</v>
      </c>
      <c r="D3050" s="4">
        <f t="shared" ca="1" si="334"/>
        <v>176</v>
      </c>
      <c r="E3050" s="2">
        <f t="shared" ca="1" si="335"/>
        <v>2669</v>
      </c>
      <c r="F3050" s="2">
        <f t="shared" ca="1" si="336"/>
        <v>24915</v>
      </c>
      <c r="G3050" s="2">
        <f t="shared" ca="1" si="337"/>
        <v>1458</v>
      </c>
    </row>
    <row r="3051" spans="1:7" x14ac:dyDescent="0.3">
      <c r="A3051" s="5" t="str">
        <f t="shared" ref="A3051:A3114" si="338">CHOOSE(MOD(ROW(A3050),5)+1,"Nike","Adidas","Puma","New Balance","Reebok")</f>
        <v>Nike</v>
      </c>
      <c r="B3051" s="5" t="str">
        <f t="shared" si="333"/>
        <v>Pegasus 40</v>
      </c>
      <c r="C3051" s="3">
        <f t="shared" ref="C3051:C3114" si="339">DATE(2025,1,1)+INT((ROW(A3051)-2)/15)</f>
        <v>45861</v>
      </c>
      <c r="D3051" s="4">
        <f t="shared" ca="1" si="334"/>
        <v>212</v>
      </c>
      <c r="E3051" s="2">
        <f t="shared" ca="1" si="335"/>
        <v>3491</v>
      </c>
      <c r="F3051" s="2">
        <f t="shared" ca="1" si="336"/>
        <v>14158</v>
      </c>
      <c r="G3051" s="2">
        <f t="shared" ca="1" si="337"/>
        <v>857</v>
      </c>
    </row>
    <row r="3052" spans="1:7" x14ac:dyDescent="0.3">
      <c r="A3052" s="5" t="str">
        <f t="shared" si="338"/>
        <v>Adidas</v>
      </c>
      <c r="B3052" s="5" t="str">
        <f t="shared" si="333"/>
        <v>Gazelle</v>
      </c>
      <c r="C3052" s="3">
        <f t="shared" si="339"/>
        <v>45861</v>
      </c>
      <c r="D3052" s="4">
        <f t="shared" ca="1" si="334"/>
        <v>138</v>
      </c>
      <c r="E3052" s="2">
        <f t="shared" ca="1" si="335"/>
        <v>1956</v>
      </c>
      <c r="F3052" s="2">
        <f t="shared" ca="1" si="336"/>
        <v>10952</v>
      </c>
      <c r="G3052" s="2">
        <f t="shared" ca="1" si="337"/>
        <v>286</v>
      </c>
    </row>
    <row r="3053" spans="1:7" x14ac:dyDescent="0.3">
      <c r="A3053" s="5" t="str">
        <f t="shared" si="338"/>
        <v>Puma</v>
      </c>
      <c r="B3053" s="5" t="str">
        <f t="shared" si="333"/>
        <v>Slipstream</v>
      </c>
      <c r="C3053" s="3">
        <f t="shared" si="339"/>
        <v>45861</v>
      </c>
      <c r="D3053" s="4">
        <f t="shared" ca="1" si="334"/>
        <v>192</v>
      </c>
      <c r="E3053" s="2">
        <f t="shared" ca="1" si="335"/>
        <v>8214</v>
      </c>
      <c r="F3053" s="2">
        <f t="shared" ca="1" si="336"/>
        <v>7715</v>
      </c>
      <c r="G3053" s="2">
        <f t="shared" ca="1" si="337"/>
        <v>313</v>
      </c>
    </row>
    <row r="3054" spans="1:7" x14ac:dyDescent="0.3">
      <c r="A3054" s="5" t="str">
        <f t="shared" si="338"/>
        <v>New Balance</v>
      </c>
      <c r="B3054" s="5" t="str">
        <f t="shared" si="333"/>
        <v>550</v>
      </c>
      <c r="C3054" s="3">
        <f t="shared" si="339"/>
        <v>45861</v>
      </c>
      <c r="D3054" s="4">
        <f t="shared" ca="1" si="334"/>
        <v>57</v>
      </c>
      <c r="E3054" s="2">
        <f t="shared" ca="1" si="335"/>
        <v>8210</v>
      </c>
      <c r="F3054" s="2">
        <f t="shared" ca="1" si="336"/>
        <v>17765</v>
      </c>
      <c r="G3054" s="2">
        <f t="shared" ca="1" si="337"/>
        <v>391</v>
      </c>
    </row>
    <row r="3055" spans="1:7" x14ac:dyDescent="0.3">
      <c r="A3055" s="5" t="str">
        <f t="shared" si="338"/>
        <v>Reebok</v>
      </c>
      <c r="B3055" s="5" t="str">
        <f t="shared" si="333"/>
        <v>Classic Leather</v>
      </c>
      <c r="C3055" s="3">
        <f t="shared" si="339"/>
        <v>45861</v>
      </c>
      <c r="D3055" s="4">
        <f t="shared" ca="1" si="334"/>
        <v>27</v>
      </c>
      <c r="E3055" s="2">
        <f t="shared" ca="1" si="335"/>
        <v>2488</v>
      </c>
      <c r="F3055" s="2">
        <f t="shared" ca="1" si="336"/>
        <v>18960</v>
      </c>
      <c r="G3055" s="2">
        <f t="shared" ca="1" si="337"/>
        <v>1377</v>
      </c>
    </row>
    <row r="3056" spans="1:7" x14ac:dyDescent="0.3">
      <c r="A3056" s="5" t="str">
        <f t="shared" si="338"/>
        <v>Nike</v>
      </c>
      <c r="B3056" s="5" t="str">
        <f t="shared" si="333"/>
        <v>Air Force 1</v>
      </c>
      <c r="C3056" s="3">
        <f t="shared" si="339"/>
        <v>45861</v>
      </c>
      <c r="D3056" s="4">
        <f t="shared" ca="1" si="334"/>
        <v>39</v>
      </c>
      <c r="E3056" s="2">
        <f t="shared" ca="1" si="335"/>
        <v>1694</v>
      </c>
      <c r="F3056" s="2">
        <f t="shared" ca="1" si="336"/>
        <v>34391</v>
      </c>
      <c r="G3056" s="2">
        <f t="shared" ca="1" si="337"/>
        <v>1852</v>
      </c>
    </row>
    <row r="3057" spans="1:7" x14ac:dyDescent="0.3">
      <c r="A3057" s="5" t="str">
        <f t="shared" si="338"/>
        <v>Adidas</v>
      </c>
      <c r="B3057" s="5" t="str">
        <f t="shared" si="333"/>
        <v>Superstar</v>
      </c>
      <c r="C3057" s="3">
        <f t="shared" si="339"/>
        <v>45861</v>
      </c>
      <c r="D3057" s="4">
        <f t="shared" ca="1" si="334"/>
        <v>203</v>
      </c>
      <c r="E3057" s="2">
        <f t="shared" ca="1" si="335"/>
        <v>9728</v>
      </c>
      <c r="F3057" s="2">
        <f t="shared" ca="1" si="336"/>
        <v>22565</v>
      </c>
      <c r="G3057" s="2">
        <f t="shared" ca="1" si="337"/>
        <v>1793</v>
      </c>
    </row>
    <row r="3058" spans="1:7" x14ac:dyDescent="0.3">
      <c r="A3058" s="5" t="str">
        <f t="shared" si="338"/>
        <v>Puma</v>
      </c>
      <c r="B3058" s="5" t="str">
        <f t="shared" si="333"/>
        <v>Rider Vintage</v>
      </c>
      <c r="C3058" s="3">
        <f t="shared" si="339"/>
        <v>45861</v>
      </c>
      <c r="D3058" s="4">
        <f t="shared" ca="1" si="334"/>
        <v>35</v>
      </c>
      <c r="E3058" s="2">
        <f t="shared" ca="1" si="335"/>
        <v>10319</v>
      </c>
      <c r="F3058" s="2">
        <f t="shared" ca="1" si="336"/>
        <v>32125</v>
      </c>
      <c r="G3058" s="2">
        <f t="shared" ca="1" si="337"/>
        <v>2404</v>
      </c>
    </row>
    <row r="3059" spans="1:7" x14ac:dyDescent="0.3">
      <c r="A3059" s="5" t="str">
        <f t="shared" si="338"/>
        <v>New Balance</v>
      </c>
      <c r="B3059" s="5" t="str">
        <f t="shared" si="333"/>
        <v>327</v>
      </c>
      <c r="C3059" s="3">
        <f t="shared" si="339"/>
        <v>45861</v>
      </c>
      <c r="D3059" s="4">
        <f t="shared" ca="1" si="334"/>
        <v>48</v>
      </c>
      <c r="E3059" s="2">
        <f t="shared" ca="1" si="335"/>
        <v>8754</v>
      </c>
      <c r="F3059" s="2">
        <f t="shared" ca="1" si="336"/>
        <v>8881</v>
      </c>
      <c r="G3059" s="2">
        <f t="shared" ca="1" si="337"/>
        <v>643</v>
      </c>
    </row>
    <row r="3060" spans="1:7" x14ac:dyDescent="0.3">
      <c r="A3060" s="5" t="str">
        <f t="shared" si="338"/>
        <v>Reebok</v>
      </c>
      <c r="B3060" s="5" t="str">
        <f t="shared" si="333"/>
        <v>Question Mid</v>
      </c>
      <c r="C3060" s="3">
        <f t="shared" si="339"/>
        <v>45861</v>
      </c>
      <c r="D3060" s="4">
        <f t="shared" ca="1" si="334"/>
        <v>228</v>
      </c>
      <c r="E3060" s="2">
        <f t="shared" ca="1" si="335"/>
        <v>5590</v>
      </c>
      <c r="F3060" s="2">
        <f t="shared" ca="1" si="336"/>
        <v>13262</v>
      </c>
      <c r="G3060" s="2">
        <f t="shared" ca="1" si="337"/>
        <v>713</v>
      </c>
    </row>
    <row r="3061" spans="1:7" x14ac:dyDescent="0.3">
      <c r="A3061" s="5" t="str">
        <f t="shared" si="338"/>
        <v>Nike</v>
      </c>
      <c r="B3061" s="5" t="str">
        <f t="shared" si="333"/>
        <v>Air Max 270</v>
      </c>
      <c r="C3061" s="3">
        <f t="shared" si="339"/>
        <v>45861</v>
      </c>
      <c r="D3061" s="4">
        <f t="shared" ca="1" si="334"/>
        <v>82</v>
      </c>
      <c r="E3061" s="2">
        <f t="shared" ca="1" si="335"/>
        <v>5991</v>
      </c>
      <c r="F3061" s="2">
        <f t="shared" ca="1" si="336"/>
        <v>26371</v>
      </c>
      <c r="G3061" s="2">
        <f t="shared" ca="1" si="337"/>
        <v>827</v>
      </c>
    </row>
    <row r="3062" spans="1:7" x14ac:dyDescent="0.3">
      <c r="A3062" s="5" t="str">
        <f t="shared" si="338"/>
        <v>Adidas</v>
      </c>
      <c r="B3062" s="5" t="str">
        <f t="shared" si="333"/>
        <v>Stan Smith</v>
      </c>
      <c r="C3062" s="3">
        <f t="shared" si="339"/>
        <v>45862</v>
      </c>
      <c r="D3062" s="4">
        <f t="shared" ca="1" si="334"/>
        <v>113</v>
      </c>
      <c r="E3062" s="2">
        <f t="shared" ca="1" si="335"/>
        <v>5337</v>
      </c>
      <c r="F3062" s="2">
        <f t="shared" ca="1" si="336"/>
        <v>15554</v>
      </c>
      <c r="G3062" s="2">
        <f t="shared" ca="1" si="337"/>
        <v>821</v>
      </c>
    </row>
    <row r="3063" spans="1:7" x14ac:dyDescent="0.3">
      <c r="A3063" s="5" t="str">
        <f t="shared" si="338"/>
        <v>Puma</v>
      </c>
      <c r="B3063" s="5" t="str">
        <f t="shared" si="333"/>
        <v>Cali Dream</v>
      </c>
      <c r="C3063" s="3">
        <f t="shared" si="339"/>
        <v>45862</v>
      </c>
      <c r="D3063" s="4">
        <f t="shared" ca="1" si="334"/>
        <v>122</v>
      </c>
      <c r="E3063" s="2">
        <f t="shared" ca="1" si="335"/>
        <v>7645</v>
      </c>
      <c r="F3063" s="2">
        <f t="shared" ca="1" si="336"/>
        <v>29206</v>
      </c>
      <c r="G3063" s="2">
        <f t="shared" ca="1" si="337"/>
        <v>2259</v>
      </c>
    </row>
    <row r="3064" spans="1:7" x14ac:dyDescent="0.3">
      <c r="A3064" s="5" t="str">
        <f t="shared" si="338"/>
        <v>New Balance</v>
      </c>
      <c r="B3064" s="5" t="str">
        <f t="shared" si="333"/>
        <v>9060</v>
      </c>
      <c r="C3064" s="3">
        <f t="shared" si="339"/>
        <v>45862</v>
      </c>
      <c r="D3064" s="4">
        <f t="shared" ca="1" si="334"/>
        <v>130</v>
      </c>
      <c r="E3064" s="2">
        <f t="shared" ca="1" si="335"/>
        <v>11611</v>
      </c>
      <c r="F3064" s="2">
        <f t="shared" ca="1" si="336"/>
        <v>6135</v>
      </c>
      <c r="G3064" s="2">
        <f t="shared" ca="1" si="337"/>
        <v>378</v>
      </c>
    </row>
    <row r="3065" spans="1:7" x14ac:dyDescent="0.3">
      <c r="A3065" s="5" t="str">
        <f t="shared" si="338"/>
        <v>Reebok</v>
      </c>
      <c r="B3065" s="5" t="str">
        <f t="shared" si="333"/>
        <v>Zig Kinetica</v>
      </c>
      <c r="C3065" s="3">
        <f t="shared" si="339"/>
        <v>45862</v>
      </c>
      <c r="D3065" s="4">
        <f t="shared" ca="1" si="334"/>
        <v>47</v>
      </c>
      <c r="E3065" s="2">
        <f t="shared" ca="1" si="335"/>
        <v>6386</v>
      </c>
      <c r="F3065" s="2">
        <f t="shared" ca="1" si="336"/>
        <v>31074</v>
      </c>
      <c r="G3065" s="2">
        <f t="shared" ca="1" si="337"/>
        <v>1656</v>
      </c>
    </row>
    <row r="3066" spans="1:7" x14ac:dyDescent="0.3">
      <c r="A3066" s="5" t="str">
        <f t="shared" si="338"/>
        <v>Nike</v>
      </c>
      <c r="B3066" s="5" t="str">
        <f t="shared" si="333"/>
        <v>Jordan 1</v>
      </c>
      <c r="C3066" s="3">
        <f t="shared" si="339"/>
        <v>45862</v>
      </c>
      <c r="D3066" s="4">
        <f t="shared" ca="1" si="334"/>
        <v>106</v>
      </c>
      <c r="E3066" s="2">
        <f t="shared" ca="1" si="335"/>
        <v>2792</v>
      </c>
      <c r="F3066" s="2">
        <f t="shared" ca="1" si="336"/>
        <v>23693</v>
      </c>
      <c r="G3066" s="2">
        <f t="shared" ca="1" si="337"/>
        <v>1536</v>
      </c>
    </row>
    <row r="3067" spans="1:7" x14ac:dyDescent="0.3">
      <c r="A3067" s="5" t="str">
        <f t="shared" si="338"/>
        <v>Adidas</v>
      </c>
      <c r="B3067" s="5" t="str">
        <f t="shared" si="333"/>
        <v>Ultraboost 23</v>
      </c>
      <c r="C3067" s="3">
        <f t="shared" si="339"/>
        <v>45862</v>
      </c>
      <c r="D3067" s="4">
        <f t="shared" ca="1" si="334"/>
        <v>123</v>
      </c>
      <c r="E3067" s="2">
        <f t="shared" ca="1" si="335"/>
        <v>5705</v>
      </c>
      <c r="F3067" s="2">
        <f t="shared" ca="1" si="336"/>
        <v>23824</v>
      </c>
      <c r="G3067" s="2">
        <f t="shared" ca="1" si="337"/>
        <v>1325</v>
      </c>
    </row>
    <row r="3068" spans="1:7" x14ac:dyDescent="0.3">
      <c r="A3068" s="5" t="str">
        <f t="shared" si="338"/>
        <v>Puma</v>
      </c>
      <c r="B3068" s="5" t="str">
        <f t="shared" si="333"/>
        <v>RS-X</v>
      </c>
      <c r="C3068" s="3">
        <f t="shared" si="339"/>
        <v>45862</v>
      </c>
      <c r="D3068" s="4">
        <f t="shared" ca="1" si="334"/>
        <v>128</v>
      </c>
      <c r="E3068" s="2">
        <f t="shared" ca="1" si="335"/>
        <v>9436</v>
      </c>
      <c r="F3068" s="2">
        <f t="shared" ca="1" si="336"/>
        <v>13210</v>
      </c>
      <c r="G3068" s="2">
        <f t="shared" ca="1" si="337"/>
        <v>795</v>
      </c>
    </row>
    <row r="3069" spans="1:7" x14ac:dyDescent="0.3">
      <c r="A3069" s="5" t="str">
        <f t="shared" si="338"/>
        <v>New Balance</v>
      </c>
      <c r="B3069" s="5" t="str">
        <f t="shared" si="333"/>
        <v>2002R</v>
      </c>
      <c r="C3069" s="3">
        <f t="shared" si="339"/>
        <v>45862</v>
      </c>
      <c r="D3069" s="4">
        <f t="shared" ca="1" si="334"/>
        <v>159</v>
      </c>
      <c r="E3069" s="2">
        <f t="shared" ca="1" si="335"/>
        <v>5830</v>
      </c>
      <c r="F3069" s="2">
        <f t="shared" ca="1" si="336"/>
        <v>32072</v>
      </c>
      <c r="G3069" s="2">
        <f t="shared" ca="1" si="337"/>
        <v>2067</v>
      </c>
    </row>
    <row r="3070" spans="1:7" x14ac:dyDescent="0.3">
      <c r="A3070" s="5" t="str">
        <f t="shared" si="338"/>
        <v>Reebok</v>
      </c>
      <c r="B3070" s="5" t="str">
        <f t="shared" si="333"/>
        <v>Instapump Fury</v>
      </c>
      <c r="C3070" s="3">
        <f t="shared" si="339"/>
        <v>45862</v>
      </c>
      <c r="D3070" s="4">
        <f t="shared" ca="1" si="334"/>
        <v>106</v>
      </c>
      <c r="E3070" s="2">
        <f t="shared" ca="1" si="335"/>
        <v>10586</v>
      </c>
      <c r="F3070" s="2">
        <f t="shared" ca="1" si="336"/>
        <v>22185</v>
      </c>
      <c r="G3070" s="2">
        <f t="shared" ca="1" si="337"/>
        <v>802</v>
      </c>
    </row>
    <row r="3071" spans="1:7" x14ac:dyDescent="0.3">
      <c r="A3071" s="5" t="str">
        <f t="shared" si="338"/>
        <v>Nike</v>
      </c>
      <c r="B3071" s="5" t="str">
        <f t="shared" si="333"/>
        <v>Cortez</v>
      </c>
      <c r="C3071" s="3">
        <f t="shared" si="339"/>
        <v>45862</v>
      </c>
      <c r="D3071" s="4">
        <f t="shared" ca="1" si="334"/>
        <v>46</v>
      </c>
      <c r="E3071" s="2">
        <f t="shared" ca="1" si="335"/>
        <v>3300</v>
      </c>
      <c r="F3071" s="2">
        <f t="shared" ca="1" si="336"/>
        <v>7207</v>
      </c>
      <c r="G3071" s="2">
        <f t="shared" ca="1" si="337"/>
        <v>335</v>
      </c>
    </row>
    <row r="3072" spans="1:7" x14ac:dyDescent="0.3">
      <c r="A3072" s="5" t="str">
        <f t="shared" si="338"/>
        <v>Adidas</v>
      </c>
      <c r="B3072" s="5" t="str">
        <f t="shared" si="333"/>
        <v>NMD S1</v>
      </c>
      <c r="C3072" s="3">
        <f t="shared" si="339"/>
        <v>45862</v>
      </c>
      <c r="D3072" s="4">
        <f t="shared" ca="1" si="334"/>
        <v>163</v>
      </c>
      <c r="E3072" s="2">
        <f t="shared" ca="1" si="335"/>
        <v>8870</v>
      </c>
      <c r="F3072" s="2">
        <f t="shared" ca="1" si="336"/>
        <v>20197</v>
      </c>
      <c r="G3072" s="2">
        <f t="shared" ca="1" si="337"/>
        <v>470</v>
      </c>
    </row>
    <row r="3073" spans="1:7" x14ac:dyDescent="0.3">
      <c r="A3073" s="5" t="str">
        <f t="shared" si="338"/>
        <v>Puma</v>
      </c>
      <c r="B3073" s="5" t="str">
        <f t="shared" si="333"/>
        <v>Suede Classic</v>
      </c>
      <c r="C3073" s="3">
        <f t="shared" si="339"/>
        <v>45862</v>
      </c>
      <c r="D3073" s="4">
        <f t="shared" ca="1" si="334"/>
        <v>54</v>
      </c>
      <c r="E3073" s="2">
        <f t="shared" ca="1" si="335"/>
        <v>8613</v>
      </c>
      <c r="F3073" s="2">
        <f t="shared" ca="1" si="336"/>
        <v>22561</v>
      </c>
      <c r="G3073" s="2">
        <f t="shared" ca="1" si="337"/>
        <v>1183</v>
      </c>
    </row>
    <row r="3074" spans="1:7" x14ac:dyDescent="0.3">
      <c r="A3074" s="5" t="str">
        <f t="shared" si="338"/>
        <v>New Balance</v>
      </c>
      <c r="B3074" s="5" t="str">
        <f t="shared" si="333"/>
        <v>990v6</v>
      </c>
      <c r="C3074" s="3">
        <f t="shared" si="339"/>
        <v>45862</v>
      </c>
      <c r="D3074" s="4">
        <f t="shared" ca="1" si="334"/>
        <v>132</v>
      </c>
      <c r="E3074" s="2">
        <f t="shared" ca="1" si="335"/>
        <v>10012</v>
      </c>
      <c r="F3074" s="2">
        <f t="shared" ca="1" si="336"/>
        <v>22024</v>
      </c>
      <c r="G3074" s="2">
        <f t="shared" ca="1" si="337"/>
        <v>1666</v>
      </c>
    </row>
    <row r="3075" spans="1:7" x14ac:dyDescent="0.3">
      <c r="A3075" s="5" t="str">
        <f t="shared" si="338"/>
        <v>Reebok</v>
      </c>
      <c r="B3075" s="5" t="str">
        <f t="shared" ref="B3075:B3138" si="340">IF(A3075="Nike",CHOOSE(MOD(ROW(A3074),6)+1,"Air Max 270","Air Force 1","Pegasus 40","Vaporfly 3","Cortez","Jordan 1"),
 IF(A3075="Adidas",CHOOSE(MOD(ROW(A3074),6)+1,"Ultraboost 23","Stan Smith","Superstar","Gazelle","Samba","NMD S1"),
 IF(A3075="Puma",CHOOSE(MOD(ROW(A3074),6)+1,"Suede Classic","RS-X","Cali Dream","Rider Vintage","Slipstream","Mayze"),
 IF(A3075="New Balance",CHOOSE(MOD(ROW(A3074),6)+1,"574 Core","990v6","2002R","9060","327","550"),
 IF(A3075="Reebok",CHOOSE(MOD(ROW(A3074),6)+1,"Classic Leather","Club C 85","Nano X3","Instapump Fury","Zig Kinetica","Question Mid"),"")))))</f>
        <v>Nano X3</v>
      </c>
      <c r="C3075" s="3">
        <f t="shared" si="339"/>
        <v>45862</v>
      </c>
      <c r="D3075" s="4">
        <f t="shared" ref="D3075:D3138" ca="1" si="341">RANDBETWEEN(20,250)</f>
        <v>126</v>
      </c>
      <c r="E3075" s="2">
        <f t="shared" ref="E3075:E3138" ca="1" si="342">ROUND(RANDBETWEEN(1500,12000)+(RANDBETWEEN(-200,200)),2)</f>
        <v>5858</v>
      </c>
      <c r="F3075" s="2">
        <f t="shared" ref="F3075:F3138" ca="1" si="343">RANDBETWEEN(5000,35000)</f>
        <v>30241</v>
      </c>
      <c r="G3075" s="2">
        <f t="shared" ref="G3075:G3138" ca="1" si="344">RANDBETWEEN(ROUND(F3075*0.02,0),ROUND(F3075*0.08,0))</f>
        <v>1221</v>
      </c>
    </row>
    <row r="3076" spans="1:7" x14ac:dyDescent="0.3">
      <c r="A3076" s="5" t="str">
        <f t="shared" si="338"/>
        <v>Nike</v>
      </c>
      <c r="B3076" s="5" t="str">
        <f t="shared" si="340"/>
        <v>Vaporfly 3</v>
      </c>
      <c r="C3076" s="3">
        <f t="shared" si="339"/>
        <v>45862</v>
      </c>
      <c r="D3076" s="4">
        <f t="shared" ca="1" si="341"/>
        <v>228</v>
      </c>
      <c r="E3076" s="2">
        <f t="shared" ca="1" si="342"/>
        <v>7097</v>
      </c>
      <c r="F3076" s="2">
        <f t="shared" ca="1" si="343"/>
        <v>34683</v>
      </c>
      <c r="G3076" s="2">
        <f t="shared" ca="1" si="344"/>
        <v>2279</v>
      </c>
    </row>
    <row r="3077" spans="1:7" x14ac:dyDescent="0.3">
      <c r="A3077" s="5" t="str">
        <f t="shared" si="338"/>
        <v>Adidas</v>
      </c>
      <c r="B3077" s="5" t="str">
        <f t="shared" si="340"/>
        <v>Samba</v>
      </c>
      <c r="C3077" s="3">
        <f t="shared" si="339"/>
        <v>45863</v>
      </c>
      <c r="D3077" s="4">
        <f t="shared" ca="1" si="341"/>
        <v>28</v>
      </c>
      <c r="E3077" s="2">
        <f t="shared" ca="1" si="342"/>
        <v>5493</v>
      </c>
      <c r="F3077" s="2">
        <f t="shared" ca="1" si="343"/>
        <v>11079</v>
      </c>
      <c r="G3077" s="2">
        <f t="shared" ca="1" si="344"/>
        <v>823</v>
      </c>
    </row>
    <row r="3078" spans="1:7" x14ac:dyDescent="0.3">
      <c r="A3078" s="5" t="str">
        <f t="shared" si="338"/>
        <v>Puma</v>
      </c>
      <c r="B3078" s="5" t="str">
        <f t="shared" si="340"/>
        <v>Mayze</v>
      </c>
      <c r="C3078" s="3">
        <f t="shared" si="339"/>
        <v>45863</v>
      </c>
      <c r="D3078" s="4">
        <f t="shared" ca="1" si="341"/>
        <v>130</v>
      </c>
      <c r="E3078" s="2">
        <f t="shared" ca="1" si="342"/>
        <v>10509</v>
      </c>
      <c r="F3078" s="2">
        <f t="shared" ca="1" si="343"/>
        <v>26115</v>
      </c>
      <c r="G3078" s="2">
        <f t="shared" ca="1" si="344"/>
        <v>920</v>
      </c>
    </row>
    <row r="3079" spans="1:7" x14ac:dyDescent="0.3">
      <c r="A3079" s="5" t="str">
        <f t="shared" si="338"/>
        <v>New Balance</v>
      </c>
      <c r="B3079" s="5" t="str">
        <f t="shared" si="340"/>
        <v>574 Core</v>
      </c>
      <c r="C3079" s="3">
        <f t="shared" si="339"/>
        <v>45863</v>
      </c>
      <c r="D3079" s="4">
        <f t="shared" ca="1" si="341"/>
        <v>111</v>
      </c>
      <c r="E3079" s="2">
        <f t="shared" ca="1" si="342"/>
        <v>6681</v>
      </c>
      <c r="F3079" s="2">
        <f t="shared" ca="1" si="343"/>
        <v>12048</v>
      </c>
      <c r="G3079" s="2">
        <f t="shared" ca="1" si="344"/>
        <v>351</v>
      </c>
    </row>
    <row r="3080" spans="1:7" x14ac:dyDescent="0.3">
      <c r="A3080" s="5" t="str">
        <f t="shared" si="338"/>
        <v>Reebok</v>
      </c>
      <c r="B3080" s="5" t="str">
        <f t="shared" si="340"/>
        <v>Club C 85</v>
      </c>
      <c r="C3080" s="3">
        <f t="shared" si="339"/>
        <v>45863</v>
      </c>
      <c r="D3080" s="4">
        <f t="shared" ca="1" si="341"/>
        <v>73</v>
      </c>
      <c r="E3080" s="2">
        <f t="shared" ca="1" si="342"/>
        <v>7664</v>
      </c>
      <c r="F3080" s="2">
        <f t="shared" ca="1" si="343"/>
        <v>5334</v>
      </c>
      <c r="G3080" s="2">
        <f t="shared" ca="1" si="344"/>
        <v>147</v>
      </c>
    </row>
    <row r="3081" spans="1:7" x14ac:dyDescent="0.3">
      <c r="A3081" s="5" t="str">
        <f t="shared" si="338"/>
        <v>Nike</v>
      </c>
      <c r="B3081" s="5" t="str">
        <f t="shared" si="340"/>
        <v>Pegasus 40</v>
      </c>
      <c r="C3081" s="3">
        <f t="shared" si="339"/>
        <v>45863</v>
      </c>
      <c r="D3081" s="4">
        <f t="shared" ca="1" si="341"/>
        <v>205</v>
      </c>
      <c r="E3081" s="2">
        <f t="shared" ca="1" si="342"/>
        <v>2985</v>
      </c>
      <c r="F3081" s="2">
        <f t="shared" ca="1" si="343"/>
        <v>17854</v>
      </c>
      <c r="G3081" s="2">
        <f t="shared" ca="1" si="344"/>
        <v>1042</v>
      </c>
    </row>
    <row r="3082" spans="1:7" x14ac:dyDescent="0.3">
      <c r="A3082" s="5" t="str">
        <f t="shared" si="338"/>
        <v>Adidas</v>
      </c>
      <c r="B3082" s="5" t="str">
        <f t="shared" si="340"/>
        <v>Gazelle</v>
      </c>
      <c r="C3082" s="3">
        <f t="shared" si="339"/>
        <v>45863</v>
      </c>
      <c r="D3082" s="4">
        <f t="shared" ca="1" si="341"/>
        <v>141</v>
      </c>
      <c r="E3082" s="2">
        <f t="shared" ca="1" si="342"/>
        <v>9678</v>
      </c>
      <c r="F3082" s="2">
        <f t="shared" ca="1" si="343"/>
        <v>11600</v>
      </c>
      <c r="G3082" s="2">
        <f t="shared" ca="1" si="344"/>
        <v>520</v>
      </c>
    </row>
    <row r="3083" spans="1:7" x14ac:dyDescent="0.3">
      <c r="A3083" s="5" t="str">
        <f t="shared" si="338"/>
        <v>Puma</v>
      </c>
      <c r="B3083" s="5" t="str">
        <f t="shared" si="340"/>
        <v>Slipstream</v>
      </c>
      <c r="C3083" s="3">
        <f t="shared" si="339"/>
        <v>45863</v>
      </c>
      <c r="D3083" s="4">
        <f t="shared" ca="1" si="341"/>
        <v>250</v>
      </c>
      <c r="E3083" s="2">
        <f t="shared" ca="1" si="342"/>
        <v>10605</v>
      </c>
      <c r="F3083" s="2">
        <f t="shared" ca="1" si="343"/>
        <v>19055</v>
      </c>
      <c r="G3083" s="2">
        <f t="shared" ca="1" si="344"/>
        <v>514</v>
      </c>
    </row>
    <row r="3084" spans="1:7" x14ac:dyDescent="0.3">
      <c r="A3084" s="5" t="str">
        <f t="shared" si="338"/>
        <v>New Balance</v>
      </c>
      <c r="B3084" s="5" t="str">
        <f t="shared" si="340"/>
        <v>550</v>
      </c>
      <c r="C3084" s="3">
        <f t="shared" si="339"/>
        <v>45863</v>
      </c>
      <c r="D3084" s="4">
        <f t="shared" ca="1" si="341"/>
        <v>195</v>
      </c>
      <c r="E3084" s="2">
        <f t="shared" ca="1" si="342"/>
        <v>1835</v>
      </c>
      <c r="F3084" s="2">
        <f t="shared" ca="1" si="343"/>
        <v>26368</v>
      </c>
      <c r="G3084" s="2">
        <f t="shared" ca="1" si="344"/>
        <v>1075</v>
      </c>
    </row>
    <row r="3085" spans="1:7" x14ac:dyDescent="0.3">
      <c r="A3085" s="5" t="str">
        <f t="shared" si="338"/>
        <v>Reebok</v>
      </c>
      <c r="B3085" s="5" t="str">
        <f t="shared" si="340"/>
        <v>Classic Leather</v>
      </c>
      <c r="C3085" s="3">
        <f t="shared" si="339"/>
        <v>45863</v>
      </c>
      <c r="D3085" s="4">
        <f t="shared" ca="1" si="341"/>
        <v>158</v>
      </c>
      <c r="E3085" s="2">
        <f t="shared" ca="1" si="342"/>
        <v>9305</v>
      </c>
      <c r="F3085" s="2">
        <f t="shared" ca="1" si="343"/>
        <v>20836</v>
      </c>
      <c r="G3085" s="2">
        <f t="shared" ca="1" si="344"/>
        <v>1614</v>
      </c>
    </row>
    <row r="3086" spans="1:7" x14ac:dyDescent="0.3">
      <c r="A3086" s="5" t="str">
        <f t="shared" si="338"/>
        <v>Nike</v>
      </c>
      <c r="B3086" s="5" t="str">
        <f t="shared" si="340"/>
        <v>Air Force 1</v>
      </c>
      <c r="C3086" s="3">
        <f t="shared" si="339"/>
        <v>45863</v>
      </c>
      <c r="D3086" s="4">
        <f t="shared" ca="1" si="341"/>
        <v>95</v>
      </c>
      <c r="E3086" s="2">
        <f t="shared" ca="1" si="342"/>
        <v>6595</v>
      </c>
      <c r="F3086" s="2">
        <f t="shared" ca="1" si="343"/>
        <v>11368</v>
      </c>
      <c r="G3086" s="2">
        <f t="shared" ca="1" si="344"/>
        <v>608</v>
      </c>
    </row>
    <row r="3087" spans="1:7" x14ac:dyDescent="0.3">
      <c r="A3087" s="5" t="str">
        <f t="shared" si="338"/>
        <v>Adidas</v>
      </c>
      <c r="B3087" s="5" t="str">
        <f t="shared" si="340"/>
        <v>Superstar</v>
      </c>
      <c r="C3087" s="3">
        <f t="shared" si="339"/>
        <v>45863</v>
      </c>
      <c r="D3087" s="4">
        <f t="shared" ca="1" si="341"/>
        <v>68</v>
      </c>
      <c r="E3087" s="2">
        <f t="shared" ca="1" si="342"/>
        <v>3020</v>
      </c>
      <c r="F3087" s="2">
        <f t="shared" ca="1" si="343"/>
        <v>34131</v>
      </c>
      <c r="G3087" s="2">
        <f t="shared" ca="1" si="344"/>
        <v>1704</v>
      </c>
    </row>
    <row r="3088" spans="1:7" x14ac:dyDescent="0.3">
      <c r="A3088" s="5" t="str">
        <f t="shared" si="338"/>
        <v>Puma</v>
      </c>
      <c r="B3088" s="5" t="str">
        <f t="shared" si="340"/>
        <v>Rider Vintage</v>
      </c>
      <c r="C3088" s="3">
        <f t="shared" si="339"/>
        <v>45863</v>
      </c>
      <c r="D3088" s="4">
        <f t="shared" ca="1" si="341"/>
        <v>67</v>
      </c>
      <c r="E3088" s="2">
        <f t="shared" ca="1" si="342"/>
        <v>4369</v>
      </c>
      <c r="F3088" s="2">
        <f t="shared" ca="1" si="343"/>
        <v>15543</v>
      </c>
      <c r="G3088" s="2">
        <f t="shared" ca="1" si="344"/>
        <v>836</v>
      </c>
    </row>
    <row r="3089" spans="1:7" x14ac:dyDescent="0.3">
      <c r="A3089" s="5" t="str">
        <f t="shared" si="338"/>
        <v>New Balance</v>
      </c>
      <c r="B3089" s="5" t="str">
        <f t="shared" si="340"/>
        <v>327</v>
      </c>
      <c r="C3089" s="3">
        <f t="shared" si="339"/>
        <v>45863</v>
      </c>
      <c r="D3089" s="4">
        <f t="shared" ca="1" si="341"/>
        <v>244</v>
      </c>
      <c r="E3089" s="2">
        <f t="shared" ca="1" si="342"/>
        <v>3753</v>
      </c>
      <c r="F3089" s="2">
        <f t="shared" ca="1" si="343"/>
        <v>10457</v>
      </c>
      <c r="G3089" s="2">
        <f t="shared" ca="1" si="344"/>
        <v>614</v>
      </c>
    </row>
    <row r="3090" spans="1:7" x14ac:dyDescent="0.3">
      <c r="A3090" s="5" t="str">
        <f t="shared" si="338"/>
        <v>Reebok</v>
      </c>
      <c r="B3090" s="5" t="str">
        <f t="shared" si="340"/>
        <v>Question Mid</v>
      </c>
      <c r="C3090" s="3">
        <f t="shared" si="339"/>
        <v>45863</v>
      </c>
      <c r="D3090" s="4">
        <f t="shared" ca="1" si="341"/>
        <v>54</v>
      </c>
      <c r="E3090" s="2">
        <f t="shared" ca="1" si="342"/>
        <v>8774</v>
      </c>
      <c r="F3090" s="2">
        <f t="shared" ca="1" si="343"/>
        <v>33628</v>
      </c>
      <c r="G3090" s="2">
        <f t="shared" ca="1" si="344"/>
        <v>2318</v>
      </c>
    </row>
    <row r="3091" spans="1:7" x14ac:dyDescent="0.3">
      <c r="A3091" s="5" t="str">
        <f t="shared" si="338"/>
        <v>Nike</v>
      </c>
      <c r="B3091" s="5" t="str">
        <f t="shared" si="340"/>
        <v>Air Max 270</v>
      </c>
      <c r="C3091" s="3">
        <f t="shared" si="339"/>
        <v>45863</v>
      </c>
      <c r="D3091" s="4">
        <f t="shared" ca="1" si="341"/>
        <v>35</v>
      </c>
      <c r="E3091" s="2">
        <f t="shared" ca="1" si="342"/>
        <v>9420</v>
      </c>
      <c r="F3091" s="2">
        <f t="shared" ca="1" si="343"/>
        <v>15088</v>
      </c>
      <c r="G3091" s="2">
        <f t="shared" ca="1" si="344"/>
        <v>386</v>
      </c>
    </row>
    <row r="3092" spans="1:7" x14ac:dyDescent="0.3">
      <c r="A3092" s="5" t="str">
        <f t="shared" si="338"/>
        <v>Adidas</v>
      </c>
      <c r="B3092" s="5" t="str">
        <f t="shared" si="340"/>
        <v>Stan Smith</v>
      </c>
      <c r="C3092" s="3">
        <f t="shared" si="339"/>
        <v>45864</v>
      </c>
      <c r="D3092" s="4">
        <f t="shared" ca="1" si="341"/>
        <v>99</v>
      </c>
      <c r="E3092" s="2">
        <f t="shared" ca="1" si="342"/>
        <v>10538</v>
      </c>
      <c r="F3092" s="2">
        <f t="shared" ca="1" si="343"/>
        <v>8898</v>
      </c>
      <c r="G3092" s="2">
        <f t="shared" ca="1" si="344"/>
        <v>640</v>
      </c>
    </row>
    <row r="3093" spans="1:7" x14ac:dyDescent="0.3">
      <c r="A3093" s="5" t="str">
        <f t="shared" si="338"/>
        <v>Puma</v>
      </c>
      <c r="B3093" s="5" t="str">
        <f t="shared" si="340"/>
        <v>Cali Dream</v>
      </c>
      <c r="C3093" s="3">
        <f t="shared" si="339"/>
        <v>45864</v>
      </c>
      <c r="D3093" s="4">
        <f t="shared" ca="1" si="341"/>
        <v>120</v>
      </c>
      <c r="E3093" s="2">
        <f t="shared" ca="1" si="342"/>
        <v>11962</v>
      </c>
      <c r="F3093" s="2">
        <f t="shared" ca="1" si="343"/>
        <v>14406</v>
      </c>
      <c r="G3093" s="2">
        <f t="shared" ca="1" si="344"/>
        <v>705</v>
      </c>
    </row>
    <row r="3094" spans="1:7" x14ac:dyDescent="0.3">
      <c r="A3094" s="5" t="str">
        <f t="shared" si="338"/>
        <v>New Balance</v>
      </c>
      <c r="B3094" s="5" t="str">
        <f t="shared" si="340"/>
        <v>9060</v>
      </c>
      <c r="C3094" s="3">
        <f t="shared" si="339"/>
        <v>45864</v>
      </c>
      <c r="D3094" s="4">
        <f t="shared" ca="1" si="341"/>
        <v>76</v>
      </c>
      <c r="E3094" s="2">
        <f t="shared" ca="1" si="342"/>
        <v>3065</v>
      </c>
      <c r="F3094" s="2">
        <f t="shared" ca="1" si="343"/>
        <v>17910</v>
      </c>
      <c r="G3094" s="2">
        <f t="shared" ca="1" si="344"/>
        <v>627</v>
      </c>
    </row>
    <row r="3095" spans="1:7" x14ac:dyDescent="0.3">
      <c r="A3095" s="5" t="str">
        <f t="shared" si="338"/>
        <v>Reebok</v>
      </c>
      <c r="B3095" s="5" t="str">
        <f t="shared" si="340"/>
        <v>Zig Kinetica</v>
      </c>
      <c r="C3095" s="3">
        <f t="shared" si="339"/>
        <v>45864</v>
      </c>
      <c r="D3095" s="4">
        <f t="shared" ca="1" si="341"/>
        <v>85</v>
      </c>
      <c r="E3095" s="2">
        <f t="shared" ca="1" si="342"/>
        <v>2339</v>
      </c>
      <c r="F3095" s="2">
        <f t="shared" ca="1" si="343"/>
        <v>26592</v>
      </c>
      <c r="G3095" s="2">
        <f t="shared" ca="1" si="344"/>
        <v>1174</v>
      </c>
    </row>
    <row r="3096" spans="1:7" x14ac:dyDescent="0.3">
      <c r="A3096" s="5" t="str">
        <f t="shared" si="338"/>
        <v>Nike</v>
      </c>
      <c r="B3096" s="5" t="str">
        <f t="shared" si="340"/>
        <v>Jordan 1</v>
      </c>
      <c r="C3096" s="3">
        <f t="shared" si="339"/>
        <v>45864</v>
      </c>
      <c r="D3096" s="4">
        <f t="shared" ca="1" si="341"/>
        <v>248</v>
      </c>
      <c r="E3096" s="2">
        <f t="shared" ca="1" si="342"/>
        <v>6532</v>
      </c>
      <c r="F3096" s="2">
        <f t="shared" ca="1" si="343"/>
        <v>6679</v>
      </c>
      <c r="G3096" s="2">
        <f t="shared" ca="1" si="344"/>
        <v>240</v>
      </c>
    </row>
    <row r="3097" spans="1:7" x14ac:dyDescent="0.3">
      <c r="A3097" s="5" t="str">
        <f t="shared" si="338"/>
        <v>Adidas</v>
      </c>
      <c r="B3097" s="5" t="str">
        <f t="shared" si="340"/>
        <v>Ultraboost 23</v>
      </c>
      <c r="C3097" s="3">
        <f t="shared" si="339"/>
        <v>45864</v>
      </c>
      <c r="D3097" s="4">
        <f t="shared" ca="1" si="341"/>
        <v>202</v>
      </c>
      <c r="E3097" s="2">
        <f t="shared" ca="1" si="342"/>
        <v>9399</v>
      </c>
      <c r="F3097" s="2">
        <f t="shared" ca="1" si="343"/>
        <v>9960</v>
      </c>
      <c r="G3097" s="2">
        <f t="shared" ca="1" si="344"/>
        <v>623</v>
      </c>
    </row>
    <row r="3098" spans="1:7" x14ac:dyDescent="0.3">
      <c r="A3098" s="5" t="str">
        <f t="shared" si="338"/>
        <v>Puma</v>
      </c>
      <c r="B3098" s="5" t="str">
        <f t="shared" si="340"/>
        <v>RS-X</v>
      </c>
      <c r="C3098" s="3">
        <f t="shared" si="339"/>
        <v>45864</v>
      </c>
      <c r="D3098" s="4">
        <f t="shared" ca="1" si="341"/>
        <v>172</v>
      </c>
      <c r="E3098" s="2">
        <f t="shared" ca="1" si="342"/>
        <v>7426</v>
      </c>
      <c r="F3098" s="2">
        <f t="shared" ca="1" si="343"/>
        <v>15762</v>
      </c>
      <c r="G3098" s="2">
        <f t="shared" ca="1" si="344"/>
        <v>592</v>
      </c>
    </row>
    <row r="3099" spans="1:7" x14ac:dyDescent="0.3">
      <c r="A3099" s="5" t="str">
        <f t="shared" si="338"/>
        <v>New Balance</v>
      </c>
      <c r="B3099" s="5" t="str">
        <f t="shared" si="340"/>
        <v>2002R</v>
      </c>
      <c r="C3099" s="3">
        <f t="shared" si="339"/>
        <v>45864</v>
      </c>
      <c r="D3099" s="4">
        <f t="shared" ca="1" si="341"/>
        <v>114</v>
      </c>
      <c r="E3099" s="2">
        <f t="shared" ca="1" si="342"/>
        <v>11304</v>
      </c>
      <c r="F3099" s="2">
        <f t="shared" ca="1" si="343"/>
        <v>29081</v>
      </c>
      <c r="G3099" s="2">
        <f t="shared" ca="1" si="344"/>
        <v>1038</v>
      </c>
    </row>
    <row r="3100" spans="1:7" x14ac:dyDescent="0.3">
      <c r="A3100" s="5" t="str">
        <f t="shared" si="338"/>
        <v>Reebok</v>
      </c>
      <c r="B3100" s="5" t="str">
        <f t="shared" si="340"/>
        <v>Instapump Fury</v>
      </c>
      <c r="C3100" s="3">
        <f t="shared" si="339"/>
        <v>45864</v>
      </c>
      <c r="D3100" s="4">
        <f t="shared" ca="1" si="341"/>
        <v>240</v>
      </c>
      <c r="E3100" s="2">
        <f t="shared" ca="1" si="342"/>
        <v>8378</v>
      </c>
      <c r="F3100" s="2">
        <f t="shared" ca="1" si="343"/>
        <v>13199</v>
      </c>
      <c r="G3100" s="2">
        <f t="shared" ca="1" si="344"/>
        <v>332</v>
      </c>
    </row>
    <row r="3101" spans="1:7" x14ac:dyDescent="0.3">
      <c r="A3101" s="5" t="str">
        <f t="shared" si="338"/>
        <v>Nike</v>
      </c>
      <c r="B3101" s="5" t="str">
        <f t="shared" si="340"/>
        <v>Cortez</v>
      </c>
      <c r="C3101" s="3">
        <f t="shared" si="339"/>
        <v>45864</v>
      </c>
      <c r="D3101" s="4">
        <f t="shared" ca="1" si="341"/>
        <v>28</v>
      </c>
      <c r="E3101" s="2">
        <f t="shared" ca="1" si="342"/>
        <v>6555</v>
      </c>
      <c r="F3101" s="2">
        <f t="shared" ca="1" si="343"/>
        <v>21624</v>
      </c>
      <c r="G3101" s="2">
        <f t="shared" ca="1" si="344"/>
        <v>1109</v>
      </c>
    </row>
    <row r="3102" spans="1:7" x14ac:dyDescent="0.3">
      <c r="A3102" s="5" t="str">
        <f t="shared" si="338"/>
        <v>Adidas</v>
      </c>
      <c r="B3102" s="5" t="str">
        <f t="shared" si="340"/>
        <v>NMD S1</v>
      </c>
      <c r="C3102" s="3">
        <f t="shared" si="339"/>
        <v>45864</v>
      </c>
      <c r="D3102" s="4">
        <f t="shared" ca="1" si="341"/>
        <v>220</v>
      </c>
      <c r="E3102" s="2">
        <f t="shared" ca="1" si="342"/>
        <v>11260</v>
      </c>
      <c r="F3102" s="2">
        <f t="shared" ca="1" si="343"/>
        <v>32812</v>
      </c>
      <c r="G3102" s="2">
        <f t="shared" ca="1" si="344"/>
        <v>1256</v>
      </c>
    </row>
    <row r="3103" spans="1:7" x14ac:dyDescent="0.3">
      <c r="A3103" s="5" t="str">
        <f t="shared" si="338"/>
        <v>Puma</v>
      </c>
      <c r="B3103" s="5" t="str">
        <f t="shared" si="340"/>
        <v>Suede Classic</v>
      </c>
      <c r="C3103" s="3">
        <f t="shared" si="339"/>
        <v>45864</v>
      </c>
      <c r="D3103" s="4">
        <f t="shared" ca="1" si="341"/>
        <v>138</v>
      </c>
      <c r="E3103" s="2">
        <f t="shared" ca="1" si="342"/>
        <v>9932</v>
      </c>
      <c r="F3103" s="2">
        <f t="shared" ca="1" si="343"/>
        <v>25919</v>
      </c>
      <c r="G3103" s="2">
        <f t="shared" ca="1" si="344"/>
        <v>1722</v>
      </c>
    </row>
    <row r="3104" spans="1:7" x14ac:dyDescent="0.3">
      <c r="A3104" s="5" t="str">
        <f t="shared" si="338"/>
        <v>New Balance</v>
      </c>
      <c r="B3104" s="5" t="str">
        <f t="shared" si="340"/>
        <v>990v6</v>
      </c>
      <c r="C3104" s="3">
        <f t="shared" si="339"/>
        <v>45864</v>
      </c>
      <c r="D3104" s="4">
        <f t="shared" ca="1" si="341"/>
        <v>120</v>
      </c>
      <c r="E3104" s="2">
        <f t="shared" ca="1" si="342"/>
        <v>4420</v>
      </c>
      <c r="F3104" s="2">
        <f t="shared" ca="1" si="343"/>
        <v>12590</v>
      </c>
      <c r="G3104" s="2">
        <f t="shared" ca="1" si="344"/>
        <v>730</v>
      </c>
    </row>
    <row r="3105" spans="1:7" x14ac:dyDescent="0.3">
      <c r="A3105" s="5" t="str">
        <f t="shared" si="338"/>
        <v>Reebok</v>
      </c>
      <c r="B3105" s="5" t="str">
        <f t="shared" si="340"/>
        <v>Nano X3</v>
      </c>
      <c r="C3105" s="3">
        <f t="shared" si="339"/>
        <v>45864</v>
      </c>
      <c r="D3105" s="4">
        <f t="shared" ca="1" si="341"/>
        <v>83</v>
      </c>
      <c r="E3105" s="2">
        <f t="shared" ca="1" si="342"/>
        <v>11995</v>
      </c>
      <c r="F3105" s="2">
        <f t="shared" ca="1" si="343"/>
        <v>11732</v>
      </c>
      <c r="G3105" s="2">
        <f t="shared" ca="1" si="344"/>
        <v>770</v>
      </c>
    </row>
    <row r="3106" spans="1:7" x14ac:dyDescent="0.3">
      <c r="A3106" s="5" t="str">
        <f t="shared" si="338"/>
        <v>Nike</v>
      </c>
      <c r="B3106" s="5" t="str">
        <f t="shared" si="340"/>
        <v>Vaporfly 3</v>
      </c>
      <c r="C3106" s="3">
        <f t="shared" si="339"/>
        <v>45864</v>
      </c>
      <c r="D3106" s="4">
        <f t="shared" ca="1" si="341"/>
        <v>155</v>
      </c>
      <c r="E3106" s="2">
        <f t="shared" ca="1" si="342"/>
        <v>8103</v>
      </c>
      <c r="F3106" s="2">
        <f t="shared" ca="1" si="343"/>
        <v>5996</v>
      </c>
      <c r="G3106" s="2">
        <f t="shared" ca="1" si="344"/>
        <v>220</v>
      </c>
    </row>
    <row r="3107" spans="1:7" x14ac:dyDescent="0.3">
      <c r="A3107" s="5" t="str">
        <f t="shared" si="338"/>
        <v>Adidas</v>
      </c>
      <c r="B3107" s="5" t="str">
        <f t="shared" si="340"/>
        <v>Samba</v>
      </c>
      <c r="C3107" s="3">
        <f t="shared" si="339"/>
        <v>45865</v>
      </c>
      <c r="D3107" s="4">
        <f t="shared" ca="1" si="341"/>
        <v>151</v>
      </c>
      <c r="E3107" s="2">
        <f t="shared" ca="1" si="342"/>
        <v>3079</v>
      </c>
      <c r="F3107" s="2">
        <f t="shared" ca="1" si="343"/>
        <v>19069</v>
      </c>
      <c r="G3107" s="2">
        <f t="shared" ca="1" si="344"/>
        <v>889</v>
      </c>
    </row>
    <row r="3108" spans="1:7" x14ac:dyDescent="0.3">
      <c r="A3108" s="5" t="str">
        <f t="shared" si="338"/>
        <v>Puma</v>
      </c>
      <c r="B3108" s="5" t="str">
        <f t="shared" si="340"/>
        <v>Mayze</v>
      </c>
      <c r="C3108" s="3">
        <f t="shared" si="339"/>
        <v>45865</v>
      </c>
      <c r="D3108" s="4">
        <f t="shared" ca="1" si="341"/>
        <v>40</v>
      </c>
      <c r="E3108" s="2">
        <f t="shared" ca="1" si="342"/>
        <v>9092</v>
      </c>
      <c r="F3108" s="2">
        <f t="shared" ca="1" si="343"/>
        <v>29481</v>
      </c>
      <c r="G3108" s="2">
        <f t="shared" ca="1" si="344"/>
        <v>655</v>
      </c>
    </row>
    <row r="3109" spans="1:7" x14ac:dyDescent="0.3">
      <c r="A3109" s="5" t="str">
        <f t="shared" si="338"/>
        <v>New Balance</v>
      </c>
      <c r="B3109" s="5" t="str">
        <f t="shared" si="340"/>
        <v>574 Core</v>
      </c>
      <c r="C3109" s="3">
        <f t="shared" si="339"/>
        <v>45865</v>
      </c>
      <c r="D3109" s="4">
        <f t="shared" ca="1" si="341"/>
        <v>107</v>
      </c>
      <c r="E3109" s="2">
        <f t="shared" ca="1" si="342"/>
        <v>10867</v>
      </c>
      <c r="F3109" s="2">
        <f t="shared" ca="1" si="343"/>
        <v>30415</v>
      </c>
      <c r="G3109" s="2">
        <f t="shared" ca="1" si="344"/>
        <v>1041</v>
      </c>
    </row>
    <row r="3110" spans="1:7" x14ac:dyDescent="0.3">
      <c r="A3110" s="5" t="str">
        <f t="shared" si="338"/>
        <v>Reebok</v>
      </c>
      <c r="B3110" s="5" t="str">
        <f t="shared" si="340"/>
        <v>Club C 85</v>
      </c>
      <c r="C3110" s="3">
        <f t="shared" si="339"/>
        <v>45865</v>
      </c>
      <c r="D3110" s="4">
        <f t="shared" ca="1" si="341"/>
        <v>29</v>
      </c>
      <c r="E3110" s="2">
        <f t="shared" ca="1" si="342"/>
        <v>2178</v>
      </c>
      <c r="F3110" s="2">
        <f t="shared" ca="1" si="343"/>
        <v>8470</v>
      </c>
      <c r="G3110" s="2">
        <f t="shared" ca="1" si="344"/>
        <v>406</v>
      </c>
    </row>
    <row r="3111" spans="1:7" x14ac:dyDescent="0.3">
      <c r="A3111" s="5" t="str">
        <f t="shared" si="338"/>
        <v>Nike</v>
      </c>
      <c r="B3111" s="5" t="str">
        <f t="shared" si="340"/>
        <v>Pegasus 40</v>
      </c>
      <c r="C3111" s="3">
        <f t="shared" si="339"/>
        <v>45865</v>
      </c>
      <c r="D3111" s="4">
        <f t="shared" ca="1" si="341"/>
        <v>188</v>
      </c>
      <c r="E3111" s="2">
        <f t="shared" ca="1" si="342"/>
        <v>6112</v>
      </c>
      <c r="F3111" s="2">
        <f t="shared" ca="1" si="343"/>
        <v>5814</v>
      </c>
      <c r="G3111" s="2">
        <f t="shared" ca="1" si="344"/>
        <v>174</v>
      </c>
    </row>
    <row r="3112" spans="1:7" x14ac:dyDescent="0.3">
      <c r="A3112" s="5" t="str">
        <f t="shared" si="338"/>
        <v>Adidas</v>
      </c>
      <c r="B3112" s="5" t="str">
        <f t="shared" si="340"/>
        <v>Gazelle</v>
      </c>
      <c r="C3112" s="3">
        <f t="shared" si="339"/>
        <v>45865</v>
      </c>
      <c r="D3112" s="4">
        <f t="shared" ca="1" si="341"/>
        <v>219</v>
      </c>
      <c r="E3112" s="2">
        <f t="shared" ca="1" si="342"/>
        <v>9141</v>
      </c>
      <c r="F3112" s="2">
        <f t="shared" ca="1" si="343"/>
        <v>7021</v>
      </c>
      <c r="G3112" s="2">
        <f t="shared" ca="1" si="344"/>
        <v>460</v>
      </c>
    </row>
    <row r="3113" spans="1:7" x14ac:dyDescent="0.3">
      <c r="A3113" s="5" t="str">
        <f t="shared" si="338"/>
        <v>Puma</v>
      </c>
      <c r="B3113" s="5" t="str">
        <f t="shared" si="340"/>
        <v>Slipstream</v>
      </c>
      <c r="C3113" s="3">
        <f t="shared" si="339"/>
        <v>45865</v>
      </c>
      <c r="D3113" s="4">
        <f t="shared" ca="1" si="341"/>
        <v>144</v>
      </c>
      <c r="E3113" s="2">
        <f t="shared" ca="1" si="342"/>
        <v>7379</v>
      </c>
      <c r="F3113" s="2">
        <f t="shared" ca="1" si="343"/>
        <v>20271</v>
      </c>
      <c r="G3113" s="2">
        <f t="shared" ca="1" si="344"/>
        <v>1491</v>
      </c>
    </row>
    <row r="3114" spans="1:7" x14ac:dyDescent="0.3">
      <c r="A3114" s="5" t="str">
        <f t="shared" si="338"/>
        <v>New Balance</v>
      </c>
      <c r="B3114" s="5" t="str">
        <f t="shared" si="340"/>
        <v>550</v>
      </c>
      <c r="C3114" s="3">
        <f t="shared" si="339"/>
        <v>45865</v>
      </c>
      <c r="D3114" s="4">
        <f t="shared" ca="1" si="341"/>
        <v>86</v>
      </c>
      <c r="E3114" s="2">
        <f t="shared" ca="1" si="342"/>
        <v>7133</v>
      </c>
      <c r="F3114" s="2">
        <f t="shared" ca="1" si="343"/>
        <v>27350</v>
      </c>
      <c r="G3114" s="2">
        <f t="shared" ca="1" si="344"/>
        <v>1421</v>
      </c>
    </row>
    <row r="3115" spans="1:7" x14ac:dyDescent="0.3">
      <c r="A3115" s="5" t="str">
        <f t="shared" ref="A3115:A3178" si="345">CHOOSE(MOD(ROW(A3114),5)+1,"Nike","Adidas","Puma","New Balance","Reebok")</f>
        <v>Reebok</v>
      </c>
      <c r="B3115" s="5" t="str">
        <f t="shared" si="340"/>
        <v>Classic Leather</v>
      </c>
      <c r="C3115" s="3">
        <f t="shared" ref="C3115:C3178" si="346">DATE(2025,1,1)+INT((ROW(A3115)-2)/15)</f>
        <v>45865</v>
      </c>
      <c r="D3115" s="4">
        <f t="shared" ca="1" si="341"/>
        <v>72</v>
      </c>
      <c r="E3115" s="2">
        <f t="shared" ca="1" si="342"/>
        <v>9589</v>
      </c>
      <c r="F3115" s="2">
        <f t="shared" ca="1" si="343"/>
        <v>22476</v>
      </c>
      <c r="G3115" s="2">
        <f t="shared" ca="1" si="344"/>
        <v>597</v>
      </c>
    </row>
    <row r="3116" spans="1:7" x14ac:dyDescent="0.3">
      <c r="A3116" s="5" t="str">
        <f t="shared" si="345"/>
        <v>Nike</v>
      </c>
      <c r="B3116" s="5" t="str">
        <f t="shared" si="340"/>
        <v>Air Force 1</v>
      </c>
      <c r="C3116" s="3">
        <f t="shared" si="346"/>
        <v>45865</v>
      </c>
      <c r="D3116" s="4">
        <f t="shared" ca="1" si="341"/>
        <v>210</v>
      </c>
      <c r="E3116" s="2">
        <f t="shared" ca="1" si="342"/>
        <v>7553</v>
      </c>
      <c r="F3116" s="2">
        <f t="shared" ca="1" si="343"/>
        <v>34017</v>
      </c>
      <c r="G3116" s="2">
        <f t="shared" ca="1" si="344"/>
        <v>1944</v>
      </c>
    </row>
    <row r="3117" spans="1:7" x14ac:dyDescent="0.3">
      <c r="A3117" s="5" t="str">
        <f t="shared" si="345"/>
        <v>Adidas</v>
      </c>
      <c r="B3117" s="5" t="str">
        <f t="shared" si="340"/>
        <v>Superstar</v>
      </c>
      <c r="C3117" s="3">
        <f t="shared" si="346"/>
        <v>45865</v>
      </c>
      <c r="D3117" s="4">
        <f t="shared" ca="1" si="341"/>
        <v>52</v>
      </c>
      <c r="E3117" s="2">
        <f t="shared" ca="1" si="342"/>
        <v>2839</v>
      </c>
      <c r="F3117" s="2">
        <f t="shared" ca="1" si="343"/>
        <v>20624</v>
      </c>
      <c r="G3117" s="2">
        <f t="shared" ca="1" si="344"/>
        <v>593</v>
      </c>
    </row>
    <row r="3118" spans="1:7" x14ac:dyDescent="0.3">
      <c r="A3118" s="5" t="str">
        <f t="shared" si="345"/>
        <v>Puma</v>
      </c>
      <c r="B3118" s="5" t="str">
        <f t="shared" si="340"/>
        <v>Rider Vintage</v>
      </c>
      <c r="C3118" s="3">
        <f t="shared" si="346"/>
        <v>45865</v>
      </c>
      <c r="D3118" s="4">
        <f t="shared" ca="1" si="341"/>
        <v>160</v>
      </c>
      <c r="E3118" s="2">
        <f t="shared" ca="1" si="342"/>
        <v>4605</v>
      </c>
      <c r="F3118" s="2">
        <f t="shared" ca="1" si="343"/>
        <v>18345</v>
      </c>
      <c r="G3118" s="2">
        <f t="shared" ca="1" si="344"/>
        <v>560</v>
      </c>
    </row>
    <row r="3119" spans="1:7" x14ac:dyDescent="0.3">
      <c r="A3119" s="5" t="str">
        <f t="shared" si="345"/>
        <v>New Balance</v>
      </c>
      <c r="B3119" s="5" t="str">
        <f t="shared" si="340"/>
        <v>327</v>
      </c>
      <c r="C3119" s="3">
        <f t="shared" si="346"/>
        <v>45865</v>
      </c>
      <c r="D3119" s="4">
        <f t="shared" ca="1" si="341"/>
        <v>25</v>
      </c>
      <c r="E3119" s="2">
        <f t="shared" ca="1" si="342"/>
        <v>5649</v>
      </c>
      <c r="F3119" s="2">
        <f t="shared" ca="1" si="343"/>
        <v>8852</v>
      </c>
      <c r="G3119" s="2">
        <f t="shared" ca="1" si="344"/>
        <v>345</v>
      </c>
    </row>
    <row r="3120" spans="1:7" x14ac:dyDescent="0.3">
      <c r="A3120" s="5" t="str">
        <f t="shared" si="345"/>
        <v>Reebok</v>
      </c>
      <c r="B3120" s="5" t="str">
        <f t="shared" si="340"/>
        <v>Question Mid</v>
      </c>
      <c r="C3120" s="3">
        <f t="shared" si="346"/>
        <v>45865</v>
      </c>
      <c r="D3120" s="4">
        <f t="shared" ca="1" si="341"/>
        <v>94</v>
      </c>
      <c r="E3120" s="2">
        <f t="shared" ca="1" si="342"/>
        <v>5060</v>
      </c>
      <c r="F3120" s="2">
        <f t="shared" ca="1" si="343"/>
        <v>33418</v>
      </c>
      <c r="G3120" s="2">
        <f t="shared" ca="1" si="344"/>
        <v>1512</v>
      </c>
    </row>
    <row r="3121" spans="1:7" x14ac:dyDescent="0.3">
      <c r="A3121" s="5" t="str">
        <f t="shared" si="345"/>
        <v>Nike</v>
      </c>
      <c r="B3121" s="5" t="str">
        <f t="shared" si="340"/>
        <v>Air Max 270</v>
      </c>
      <c r="C3121" s="3">
        <f t="shared" si="346"/>
        <v>45865</v>
      </c>
      <c r="D3121" s="4">
        <f t="shared" ca="1" si="341"/>
        <v>52</v>
      </c>
      <c r="E3121" s="2">
        <f t="shared" ca="1" si="342"/>
        <v>2481</v>
      </c>
      <c r="F3121" s="2">
        <f t="shared" ca="1" si="343"/>
        <v>18102</v>
      </c>
      <c r="G3121" s="2">
        <f t="shared" ca="1" si="344"/>
        <v>548</v>
      </c>
    </row>
    <row r="3122" spans="1:7" x14ac:dyDescent="0.3">
      <c r="A3122" s="5" t="str">
        <f t="shared" si="345"/>
        <v>Adidas</v>
      </c>
      <c r="B3122" s="5" t="str">
        <f t="shared" si="340"/>
        <v>Stan Smith</v>
      </c>
      <c r="C3122" s="3">
        <f t="shared" si="346"/>
        <v>45866</v>
      </c>
      <c r="D3122" s="4">
        <f t="shared" ca="1" si="341"/>
        <v>108</v>
      </c>
      <c r="E3122" s="2">
        <f t="shared" ca="1" si="342"/>
        <v>6614</v>
      </c>
      <c r="F3122" s="2">
        <f t="shared" ca="1" si="343"/>
        <v>32630</v>
      </c>
      <c r="G3122" s="2">
        <f t="shared" ca="1" si="344"/>
        <v>1129</v>
      </c>
    </row>
    <row r="3123" spans="1:7" x14ac:dyDescent="0.3">
      <c r="A3123" s="5" t="str">
        <f t="shared" si="345"/>
        <v>Puma</v>
      </c>
      <c r="B3123" s="5" t="str">
        <f t="shared" si="340"/>
        <v>Cali Dream</v>
      </c>
      <c r="C3123" s="3">
        <f t="shared" si="346"/>
        <v>45866</v>
      </c>
      <c r="D3123" s="4">
        <f t="shared" ca="1" si="341"/>
        <v>168</v>
      </c>
      <c r="E3123" s="2">
        <f t="shared" ca="1" si="342"/>
        <v>9141</v>
      </c>
      <c r="F3123" s="2">
        <f t="shared" ca="1" si="343"/>
        <v>13600</v>
      </c>
      <c r="G3123" s="2">
        <f t="shared" ca="1" si="344"/>
        <v>872</v>
      </c>
    </row>
    <row r="3124" spans="1:7" x14ac:dyDescent="0.3">
      <c r="A3124" s="5" t="str">
        <f t="shared" si="345"/>
        <v>New Balance</v>
      </c>
      <c r="B3124" s="5" t="str">
        <f t="shared" si="340"/>
        <v>9060</v>
      </c>
      <c r="C3124" s="3">
        <f t="shared" si="346"/>
        <v>45866</v>
      </c>
      <c r="D3124" s="4">
        <f t="shared" ca="1" si="341"/>
        <v>186</v>
      </c>
      <c r="E3124" s="2">
        <f t="shared" ca="1" si="342"/>
        <v>4303</v>
      </c>
      <c r="F3124" s="2">
        <f t="shared" ca="1" si="343"/>
        <v>12561</v>
      </c>
      <c r="G3124" s="2">
        <f t="shared" ca="1" si="344"/>
        <v>830</v>
      </c>
    </row>
    <row r="3125" spans="1:7" x14ac:dyDescent="0.3">
      <c r="A3125" s="5" t="str">
        <f t="shared" si="345"/>
        <v>Reebok</v>
      </c>
      <c r="B3125" s="5" t="str">
        <f t="shared" si="340"/>
        <v>Zig Kinetica</v>
      </c>
      <c r="C3125" s="3">
        <f t="shared" si="346"/>
        <v>45866</v>
      </c>
      <c r="D3125" s="4">
        <f t="shared" ca="1" si="341"/>
        <v>97</v>
      </c>
      <c r="E3125" s="2">
        <f t="shared" ca="1" si="342"/>
        <v>10002</v>
      </c>
      <c r="F3125" s="2">
        <f t="shared" ca="1" si="343"/>
        <v>28820</v>
      </c>
      <c r="G3125" s="2">
        <f t="shared" ca="1" si="344"/>
        <v>1182</v>
      </c>
    </row>
    <row r="3126" spans="1:7" x14ac:dyDescent="0.3">
      <c r="A3126" s="5" t="str">
        <f t="shared" si="345"/>
        <v>Nike</v>
      </c>
      <c r="B3126" s="5" t="str">
        <f t="shared" si="340"/>
        <v>Jordan 1</v>
      </c>
      <c r="C3126" s="3">
        <f t="shared" si="346"/>
        <v>45866</v>
      </c>
      <c r="D3126" s="4">
        <f t="shared" ca="1" si="341"/>
        <v>173</v>
      </c>
      <c r="E3126" s="2">
        <f t="shared" ca="1" si="342"/>
        <v>10394</v>
      </c>
      <c r="F3126" s="2">
        <f t="shared" ca="1" si="343"/>
        <v>32739</v>
      </c>
      <c r="G3126" s="2">
        <f t="shared" ca="1" si="344"/>
        <v>1676</v>
      </c>
    </row>
    <row r="3127" spans="1:7" x14ac:dyDescent="0.3">
      <c r="A3127" s="5" t="str">
        <f t="shared" si="345"/>
        <v>Adidas</v>
      </c>
      <c r="B3127" s="5" t="str">
        <f t="shared" si="340"/>
        <v>Ultraboost 23</v>
      </c>
      <c r="C3127" s="3">
        <f t="shared" si="346"/>
        <v>45866</v>
      </c>
      <c r="D3127" s="4">
        <f t="shared" ca="1" si="341"/>
        <v>170</v>
      </c>
      <c r="E3127" s="2">
        <f t="shared" ca="1" si="342"/>
        <v>10739</v>
      </c>
      <c r="F3127" s="2">
        <f t="shared" ca="1" si="343"/>
        <v>16075</v>
      </c>
      <c r="G3127" s="2">
        <f t="shared" ca="1" si="344"/>
        <v>771</v>
      </c>
    </row>
    <row r="3128" spans="1:7" x14ac:dyDescent="0.3">
      <c r="A3128" s="5" t="str">
        <f t="shared" si="345"/>
        <v>Puma</v>
      </c>
      <c r="B3128" s="5" t="str">
        <f t="shared" si="340"/>
        <v>RS-X</v>
      </c>
      <c r="C3128" s="3">
        <f t="shared" si="346"/>
        <v>45866</v>
      </c>
      <c r="D3128" s="4">
        <f t="shared" ca="1" si="341"/>
        <v>231</v>
      </c>
      <c r="E3128" s="2">
        <f t="shared" ca="1" si="342"/>
        <v>11173</v>
      </c>
      <c r="F3128" s="2">
        <f t="shared" ca="1" si="343"/>
        <v>14050</v>
      </c>
      <c r="G3128" s="2">
        <f t="shared" ca="1" si="344"/>
        <v>479</v>
      </c>
    </row>
    <row r="3129" spans="1:7" x14ac:dyDescent="0.3">
      <c r="A3129" s="5" t="str">
        <f t="shared" si="345"/>
        <v>New Balance</v>
      </c>
      <c r="B3129" s="5" t="str">
        <f t="shared" si="340"/>
        <v>2002R</v>
      </c>
      <c r="C3129" s="3">
        <f t="shared" si="346"/>
        <v>45866</v>
      </c>
      <c r="D3129" s="4">
        <f t="shared" ca="1" si="341"/>
        <v>86</v>
      </c>
      <c r="E3129" s="2">
        <f t="shared" ca="1" si="342"/>
        <v>3405</v>
      </c>
      <c r="F3129" s="2">
        <f t="shared" ca="1" si="343"/>
        <v>32977</v>
      </c>
      <c r="G3129" s="2">
        <f t="shared" ca="1" si="344"/>
        <v>2391</v>
      </c>
    </row>
    <row r="3130" spans="1:7" x14ac:dyDescent="0.3">
      <c r="A3130" s="5" t="str">
        <f t="shared" si="345"/>
        <v>Reebok</v>
      </c>
      <c r="B3130" s="5" t="str">
        <f t="shared" si="340"/>
        <v>Instapump Fury</v>
      </c>
      <c r="C3130" s="3">
        <f t="shared" si="346"/>
        <v>45866</v>
      </c>
      <c r="D3130" s="4">
        <f t="shared" ca="1" si="341"/>
        <v>101</v>
      </c>
      <c r="E3130" s="2">
        <f t="shared" ca="1" si="342"/>
        <v>5220</v>
      </c>
      <c r="F3130" s="2">
        <f t="shared" ca="1" si="343"/>
        <v>7059</v>
      </c>
      <c r="G3130" s="2">
        <f t="shared" ca="1" si="344"/>
        <v>390</v>
      </c>
    </row>
    <row r="3131" spans="1:7" x14ac:dyDescent="0.3">
      <c r="A3131" s="5" t="str">
        <f t="shared" si="345"/>
        <v>Nike</v>
      </c>
      <c r="B3131" s="5" t="str">
        <f t="shared" si="340"/>
        <v>Cortez</v>
      </c>
      <c r="C3131" s="3">
        <f t="shared" si="346"/>
        <v>45866</v>
      </c>
      <c r="D3131" s="4">
        <f t="shared" ca="1" si="341"/>
        <v>167</v>
      </c>
      <c r="E3131" s="2">
        <f t="shared" ca="1" si="342"/>
        <v>9914</v>
      </c>
      <c r="F3131" s="2">
        <f t="shared" ca="1" si="343"/>
        <v>26582</v>
      </c>
      <c r="G3131" s="2">
        <f t="shared" ca="1" si="344"/>
        <v>997</v>
      </c>
    </row>
    <row r="3132" spans="1:7" x14ac:dyDescent="0.3">
      <c r="A3132" s="5" t="str">
        <f t="shared" si="345"/>
        <v>Adidas</v>
      </c>
      <c r="B3132" s="5" t="str">
        <f t="shared" si="340"/>
        <v>NMD S1</v>
      </c>
      <c r="C3132" s="3">
        <f t="shared" si="346"/>
        <v>45866</v>
      </c>
      <c r="D3132" s="4">
        <f t="shared" ca="1" si="341"/>
        <v>244</v>
      </c>
      <c r="E3132" s="2">
        <f t="shared" ca="1" si="342"/>
        <v>5039</v>
      </c>
      <c r="F3132" s="2">
        <f t="shared" ca="1" si="343"/>
        <v>22101</v>
      </c>
      <c r="G3132" s="2">
        <f t="shared" ca="1" si="344"/>
        <v>1617</v>
      </c>
    </row>
    <row r="3133" spans="1:7" x14ac:dyDescent="0.3">
      <c r="A3133" s="5" t="str">
        <f t="shared" si="345"/>
        <v>Puma</v>
      </c>
      <c r="B3133" s="5" t="str">
        <f t="shared" si="340"/>
        <v>Suede Classic</v>
      </c>
      <c r="C3133" s="3">
        <f t="shared" si="346"/>
        <v>45866</v>
      </c>
      <c r="D3133" s="4">
        <f t="shared" ca="1" si="341"/>
        <v>237</v>
      </c>
      <c r="E3133" s="2">
        <f t="shared" ca="1" si="342"/>
        <v>5133</v>
      </c>
      <c r="F3133" s="2">
        <f t="shared" ca="1" si="343"/>
        <v>19068</v>
      </c>
      <c r="G3133" s="2">
        <f t="shared" ca="1" si="344"/>
        <v>411</v>
      </c>
    </row>
    <row r="3134" spans="1:7" x14ac:dyDescent="0.3">
      <c r="A3134" s="5" t="str">
        <f t="shared" si="345"/>
        <v>New Balance</v>
      </c>
      <c r="B3134" s="5" t="str">
        <f t="shared" si="340"/>
        <v>990v6</v>
      </c>
      <c r="C3134" s="3">
        <f t="shared" si="346"/>
        <v>45866</v>
      </c>
      <c r="D3134" s="4">
        <f t="shared" ca="1" si="341"/>
        <v>212</v>
      </c>
      <c r="E3134" s="2">
        <f t="shared" ca="1" si="342"/>
        <v>2071</v>
      </c>
      <c r="F3134" s="2">
        <f t="shared" ca="1" si="343"/>
        <v>9927</v>
      </c>
      <c r="G3134" s="2">
        <f t="shared" ca="1" si="344"/>
        <v>428</v>
      </c>
    </row>
    <row r="3135" spans="1:7" x14ac:dyDescent="0.3">
      <c r="A3135" s="5" t="str">
        <f t="shared" si="345"/>
        <v>Reebok</v>
      </c>
      <c r="B3135" s="5" t="str">
        <f t="shared" si="340"/>
        <v>Nano X3</v>
      </c>
      <c r="C3135" s="3">
        <f t="shared" si="346"/>
        <v>45866</v>
      </c>
      <c r="D3135" s="4">
        <f t="shared" ca="1" si="341"/>
        <v>131</v>
      </c>
      <c r="E3135" s="2">
        <f t="shared" ca="1" si="342"/>
        <v>11135</v>
      </c>
      <c r="F3135" s="2">
        <f t="shared" ca="1" si="343"/>
        <v>14589</v>
      </c>
      <c r="G3135" s="2">
        <f t="shared" ca="1" si="344"/>
        <v>336</v>
      </c>
    </row>
    <row r="3136" spans="1:7" x14ac:dyDescent="0.3">
      <c r="A3136" s="5" t="str">
        <f t="shared" si="345"/>
        <v>Nike</v>
      </c>
      <c r="B3136" s="5" t="str">
        <f t="shared" si="340"/>
        <v>Vaporfly 3</v>
      </c>
      <c r="C3136" s="3">
        <f t="shared" si="346"/>
        <v>45866</v>
      </c>
      <c r="D3136" s="4">
        <f t="shared" ca="1" si="341"/>
        <v>195</v>
      </c>
      <c r="E3136" s="2">
        <f t="shared" ca="1" si="342"/>
        <v>10977</v>
      </c>
      <c r="F3136" s="2">
        <f t="shared" ca="1" si="343"/>
        <v>20905</v>
      </c>
      <c r="G3136" s="2">
        <f t="shared" ca="1" si="344"/>
        <v>522</v>
      </c>
    </row>
    <row r="3137" spans="1:7" x14ac:dyDescent="0.3">
      <c r="A3137" s="5" t="str">
        <f t="shared" si="345"/>
        <v>Adidas</v>
      </c>
      <c r="B3137" s="5" t="str">
        <f t="shared" si="340"/>
        <v>Samba</v>
      </c>
      <c r="C3137" s="3">
        <f t="shared" si="346"/>
        <v>45867</v>
      </c>
      <c r="D3137" s="4">
        <f t="shared" ca="1" si="341"/>
        <v>159</v>
      </c>
      <c r="E3137" s="2">
        <f t="shared" ca="1" si="342"/>
        <v>5415</v>
      </c>
      <c r="F3137" s="2">
        <f t="shared" ca="1" si="343"/>
        <v>20405</v>
      </c>
      <c r="G3137" s="2">
        <f t="shared" ca="1" si="344"/>
        <v>1322</v>
      </c>
    </row>
    <row r="3138" spans="1:7" x14ac:dyDescent="0.3">
      <c r="A3138" s="5" t="str">
        <f t="shared" si="345"/>
        <v>Puma</v>
      </c>
      <c r="B3138" s="5" t="str">
        <f t="shared" si="340"/>
        <v>Mayze</v>
      </c>
      <c r="C3138" s="3">
        <f t="shared" si="346"/>
        <v>45867</v>
      </c>
      <c r="D3138" s="4">
        <f t="shared" ca="1" si="341"/>
        <v>247</v>
      </c>
      <c r="E3138" s="2">
        <f t="shared" ca="1" si="342"/>
        <v>3340</v>
      </c>
      <c r="F3138" s="2">
        <f t="shared" ca="1" si="343"/>
        <v>14919</v>
      </c>
      <c r="G3138" s="2">
        <f t="shared" ca="1" si="344"/>
        <v>469</v>
      </c>
    </row>
    <row r="3139" spans="1:7" x14ac:dyDescent="0.3">
      <c r="A3139" s="5" t="str">
        <f t="shared" si="345"/>
        <v>New Balance</v>
      </c>
      <c r="B3139" s="5" t="str">
        <f t="shared" ref="B3139:B3202" si="347">IF(A3139="Nike",CHOOSE(MOD(ROW(A3138),6)+1,"Air Max 270","Air Force 1","Pegasus 40","Vaporfly 3","Cortez","Jordan 1"),
 IF(A3139="Adidas",CHOOSE(MOD(ROW(A3138),6)+1,"Ultraboost 23","Stan Smith","Superstar","Gazelle","Samba","NMD S1"),
 IF(A3139="Puma",CHOOSE(MOD(ROW(A3138),6)+1,"Suede Classic","RS-X","Cali Dream","Rider Vintage","Slipstream","Mayze"),
 IF(A3139="New Balance",CHOOSE(MOD(ROW(A3138),6)+1,"574 Core","990v6","2002R","9060","327","550"),
 IF(A3139="Reebok",CHOOSE(MOD(ROW(A3138),6)+1,"Classic Leather","Club C 85","Nano X3","Instapump Fury","Zig Kinetica","Question Mid"),"")))))</f>
        <v>574 Core</v>
      </c>
      <c r="C3139" s="3">
        <f t="shared" si="346"/>
        <v>45867</v>
      </c>
      <c r="D3139" s="4">
        <f t="shared" ref="D3139:D3202" ca="1" si="348">RANDBETWEEN(20,250)</f>
        <v>239</v>
      </c>
      <c r="E3139" s="2">
        <f t="shared" ref="E3139:E3202" ca="1" si="349">ROUND(RANDBETWEEN(1500,12000)+(RANDBETWEEN(-200,200)),2)</f>
        <v>4068</v>
      </c>
      <c r="F3139" s="2">
        <f t="shared" ref="F3139:F3202" ca="1" si="350">RANDBETWEEN(5000,35000)</f>
        <v>27700</v>
      </c>
      <c r="G3139" s="2">
        <f t="shared" ref="G3139:G3202" ca="1" si="351">RANDBETWEEN(ROUND(F3139*0.02,0),ROUND(F3139*0.08,0))</f>
        <v>1962</v>
      </c>
    </row>
    <row r="3140" spans="1:7" x14ac:dyDescent="0.3">
      <c r="A3140" s="5" t="str">
        <f t="shared" si="345"/>
        <v>Reebok</v>
      </c>
      <c r="B3140" s="5" t="str">
        <f t="shared" si="347"/>
        <v>Club C 85</v>
      </c>
      <c r="C3140" s="3">
        <f t="shared" si="346"/>
        <v>45867</v>
      </c>
      <c r="D3140" s="4">
        <f t="shared" ca="1" si="348"/>
        <v>64</v>
      </c>
      <c r="E3140" s="2">
        <f t="shared" ca="1" si="349"/>
        <v>7942</v>
      </c>
      <c r="F3140" s="2">
        <f t="shared" ca="1" si="350"/>
        <v>19614</v>
      </c>
      <c r="G3140" s="2">
        <f t="shared" ca="1" si="351"/>
        <v>590</v>
      </c>
    </row>
    <row r="3141" spans="1:7" x14ac:dyDescent="0.3">
      <c r="A3141" s="5" t="str">
        <f t="shared" si="345"/>
        <v>Nike</v>
      </c>
      <c r="B3141" s="5" t="str">
        <f t="shared" si="347"/>
        <v>Pegasus 40</v>
      </c>
      <c r="C3141" s="3">
        <f t="shared" si="346"/>
        <v>45867</v>
      </c>
      <c r="D3141" s="4">
        <f t="shared" ca="1" si="348"/>
        <v>45</v>
      </c>
      <c r="E3141" s="2">
        <f t="shared" ca="1" si="349"/>
        <v>5021</v>
      </c>
      <c r="F3141" s="2">
        <f t="shared" ca="1" si="350"/>
        <v>22598</v>
      </c>
      <c r="G3141" s="2">
        <f t="shared" ca="1" si="351"/>
        <v>491</v>
      </c>
    </row>
    <row r="3142" spans="1:7" x14ac:dyDescent="0.3">
      <c r="A3142" s="5" t="str">
        <f t="shared" si="345"/>
        <v>Adidas</v>
      </c>
      <c r="B3142" s="5" t="str">
        <f t="shared" si="347"/>
        <v>Gazelle</v>
      </c>
      <c r="C3142" s="3">
        <f t="shared" si="346"/>
        <v>45867</v>
      </c>
      <c r="D3142" s="4">
        <f t="shared" ca="1" si="348"/>
        <v>180</v>
      </c>
      <c r="E3142" s="2">
        <f t="shared" ca="1" si="349"/>
        <v>7732</v>
      </c>
      <c r="F3142" s="2">
        <f t="shared" ca="1" si="350"/>
        <v>12807</v>
      </c>
      <c r="G3142" s="2">
        <f t="shared" ca="1" si="351"/>
        <v>722</v>
      </c>
    </row>
    <row r="3143" spans="1:7" x14ac:dyDescent="0.3">
      <c r="A3143" s="5" t="str">
        <f t="shared" si="345"/>
        <v>Puma</v>
      </c>
      <c r="B3143" s="5" t="str">
        <f t="shared" si="347"/>
        <v>Slipstream</v>
      </c>
      <c r="C3143" s="3">
        <f t="shared" si="346"/>
        <v>45867</v>
      </c>
      <c r="D3143" s="4">
        <f t="shared" ca="1" si="348"/>
        <v>30</v>
      </c>
      <c r="E3143" s="2">
        <f t="shared" ca="1" si="349"/>
        <v>3019</v>
      </c>
      <c r="F3143" s="2">
        <f t="shared" ca="1" si="350"/>
        <v>15709</v>
      </c>
      <c r="G3143" s="2">
        <f t="shared" ca="1" si="351"/>
        <v>1000</v>
      </c>
    </row>
    <row r="3144" spans="1:7" x14ac:dyDescent="0.3">
      <c r="A3144" s="5" t="str">
        <f t="shared" si="345"/>
        <v>New Balance</v>
      </c>
      <c r="B3144" s="5" t="str">
        <f t="shared" si="347"/>
        <v>550</v>
      </c>
      <c r="C3144" s="3">
        <f t="shared" si="346"/>
        <v>45867</v>
      </c>
      <c r="D3144" s="4">
        <f t="shared" ca="1" si="348"/>
        <v>201</v>
      </c>
      <c r="E3144" s="2">
        <f t="shared" ca="1" si="349"/>
        <v>6385</v>
      </c>
      <c r="F3144" s="2">
        <f t="shared" ca="1" si="350"/>
        <v>33557</v>
      </c>
      <c r="G3144" s="2">
        <f t="shared" ca="1" si="351"/>
        <v>1688</v>
      </c>
    </row>
    <row r="3145" spans="1:7" x14ac:dyDescent="0.3">
      <c r="A3145" s="5" t="str">
        <f t="shared" si="345"/>
        <v>Reebok</v>
      </c>
      <c r="B3145" s="5" t="str">
        <f t="shared" si="347"/>
        <v>Classic Leather</v>
      </c>
      <c r="C3145" s="3">
        <f t="shared" si="346"/>
        <v>45867</v>
      </c>
      <c r="D3145" s="4">
        <f t="shared" ca="1" si="348"/>
        <v>207</v>
      </c>
      <c r="E3145" s="2">
        <f t="shared" ca="1" si="349"/>
        <v>11982</v>
      </c>
      <c r="F3145" s="2">
        <f t="shared" ca="1" si="350"/>
        <v>6314</v>
      </c>
      <c r="G3145" s="2">
        <f t="shared" ca="1" si="351"/>
        <v>499</v>
      </c>
    </row>
    <row r="3146" spans="1:7" x14ac:dyDescent="0.3">
      <c r="A3146" s="5" t="str">
        <f t="shared" si="345"/>
        <v>Nike</v>
      </c>
      <c r="B3146" s="5" t="str">
        <f t="shared" si="347"/>
        <v>Air Force 1</v>
      </c>
      <c r="C3146" s="3">
        <f t="shared" si="346"/>
        <v>45867</v>
      </c>
      <c r="D3146" s="4">
        <f t="shared" ca="1" si="348"/>
        <v>170</v>
      </c>
      <c r="E3146" s="2">
        <f t="shared" ca="1" si="349"/>
        <v>8095</v>
      </c>
      <c r="F3146" s="2">
        <f t="shared" ca="1" si="350"/>
        <v>16272</v>
      </c>
      <c r="G3146" s="2">
        <f t="shared" ca="1" si="351"/>
        <v>1198</v>
      </c>
    </row>
    <row r="3147" spans="1:7" x14ac:dyDescent="0.3">
      <c r="A3147" s="5" t="str">
        <f t="shared" si="345"/>
        <v>Adidas</v>
      </c>
      <c r="B3147" s="5" t="str">
        <f t="shared" si="347"/>
        <v>Superstar</v>
      </c>
      <c r="C3147" s="3">
        <f t="shared" si="346"/>
        <v>45867</v>
      </c>
      <c r="D3147" s="4">
        <f t="shared" ca="1" si="348"/>
        <v>133</v>
      </c>
      <c r="E3147" s="2">
        <f t="shared" ca="1" si="349"/>
        <v>6184</v>
      </c>
      <c r="F3147" s="2">
        <f t="shared" ca="1" si="350"/>
        <v>10389</v>
      </c>
      <c r="G3147" s="2">
        <f t="shared" ca="1" si="351"/>
        <v>780</v>
      </c>
    </row>
    <row r="3148" spans="1:7" x14ac:dyDescent="0.3">
      <c r="A3148" s="5" t="str">
        <f t="shared" si="345"/>
        <v>Puma</v>
      </c>
      <c r="B3148" s="5" t="str">
        <f t="shared" si="347"/>
        <v>Rider Vintage</v>
      </c>
      <c r="C3148" s="3">
        <f t="shared" si="346"/>
        <v>45867</v>
      </c>
      <c r="D3148" s="4">
        <f t="shared" ca="1" si="348"/>
        <v>106</v>
      </c>
      <c r="E3148" s="2">
        <f t="shared" ca="1" si="349"/>
        <v>3433</v>
      </c>
      <c r="F3148" s="2">
        <f t="shared" ca="1" si="350"/>
        <v>8136</v>
      </c>
      <c r="G3148" s="2">
        <f t="shared" ca="1" si="351"/>
        <v>173</v>
      </c>
    </row>
    <row r="3149" spans="1:7" x14ac:dyDescent="0.3">
      <c r="A3149" s="5" t="str">
        <f t="shared" si="345"/>
        <v>New Balance</v>
      </c>
      <c r="B3149" s="5" t="str">
        <f t="shared" si="347"/>
        <v>327</v>
      </c>
      <c r="C3149" s="3">
        <f t="shared" si="346"/>
        <v>45867</v>
      </c>
      <c r="D3149" s="4">
        <f t="shared" ca="1" si="348"/>
        <v>56</v>
      </c>
      <c r="E3149" s="2">
        <f t="shared" ca="1" si="349"/>
        <v>5401</v>
      </c>
      <c r="F3149" s="2">
        <f t="shared" ca="1" si="350"/>
        <v>18904</v>
      </c>
      <c r="G3149" s="2">
        <f t="shared" ca="1" si="351"/>
        <v>1016</v>
      </c>
    </row>
    <row r="3150" spans="1:7" x14ac:dyDescent="0.3">
      <c r="A3150" s="5" t="str">
        <f t="shared" si="345"/>
        <v>Reebok</v>
      </c>
      <c r="B3150" s="5" t="str">
        <f t="shared" si="347"/>
        <v>Question Mid</v>
      </c>
      <c r="C3150" s="3">
        <f t="shared" si="346"/>
        <v>45867</v>
      </c>
      <c r="D3150" s="4">
        <f t="shared" ca="1" si="348"/>
        <v>212</v>
      </c>
      <c r="E3150" s="2">
        <f t="shared" ca="1" si="349"/>
        <v>4953</v>
      </c>
      <c r="F3150" s="2">
        <f t="shared" ca="1" si="350"/>
        <v>18961</v>
      </c>
      <c r="G3150" s="2">
        <f t="shared" ca="1" si="351"/>
        <v>611</v>
      </c>
    </row>
    <row r="3151" spans="1:7" x14ac:dyDescent="0.3">
      <c r="A3151" s="5" t="str">
        <f t="shared" si="345"/>
        <v>Nike</v>
      </c>
      <c r="B3151" s="5" t="str">
        <f t="shared" si="347"/>
        <v>Air Max 270</v>
      </c>
      <c r="C3151" s="3">
        <f t="shared" si="346"/>
        <v>45867</v>
      </c>
      <c r="D3151" s="4">
        <f t="shared" ca="1" si="348"/>
        <v>27</v>
      </c>
      <c r="E3151" s="2">
        <f t="shared" ca="1" si="349"/>
        <v>4899</v>
      </c>
      <c r="F3151" s="2">
        <f t="shared" ca="1" si="350"/>
        <v>11128</v>
      </c>
      <c r="G3151" s="2">
        <f t="shared" ca="1" si="351"/>
        <v>329</v>
      </c>
    </row>
    <row r="3152" spans="1:7" x14ac:dyDescent="0.3">
      <c r="A3152" s="5" t="str">
        <f t="shared" si="345"/>
        <v>Adidas</v>
      </c>
      <c r="B3152" s="5" t="str">
        <f t="shared" si="347"/>
        <v>Stan Smith</v>
      </c>
      <c r="C3152" s="3">
        <f t="shared" si="346"/>
        <v>45868</v>
      </c>
      <c r="D3152" s="4">
        <f t="shared" ca="1" si="348"/>
        <v>176</v>
      </c>
      <c r="E3152" s="2">
        <f t="shared" ca="1" si="349"/>
        <v>6866</v>
      </c>
      <c r="F3152" s="2">
        <f t="shared" ca="1" si="350"/>
        <v>14496</v>
      </c>
      <c r="G3152" s="2">
        <f t="shared" ca="1" si="351"/>
        <v>672</v>
      </c>
    </row>
    <row r="3153" spans="1:7" x14ac:dyDescent="0.3">
      <c r="A3153" s="5" t="str">
        <f t="shared" si="345"/>
        <v>Puma</v>
      </c>
      <c r="B3153" s="5" t="str">
        <f t="shared" si="347"/>
        <v>Cali Dream</v>
      </c>
      <c r="C3153" s="3">
        <f t="shared" si="346"/>
        <v>45868</v>
      </c>
      <c r="D3153" s="4">
        <f t="shared" ca="1" si="348"/>
        <v>133</v>
      </c>
      <c r="E3153" s="2">
        <f t="shared" ca="1" si="349"/>
        <v>8016</v>
      </c>
      <c r="F3153" s="2">
        <f t="shared" ca="1" si="350"/>
        <v>15837</v>
      </c>
      <c r="G3153" s="2">
        <f t="shared" ca="1" si="351"/>
        <v>1029</v>
      </c>
    </row>
    <row r="3154" spans="1:7" x14ac:dyDescent="0.3">
      <c r="A3154" s="5" t="str">
        <f t="shared" si="345"/>
        <v>New Balance</v>
      </c>
      <c r="B3154" s="5" t="str">
        <f t="shared" si="347"/>
        <v>9060</v>
      </c>
      <c r="C3154" s="3">
        <f t="shared" si="346"/>
        <v>45868</v>
      </c>
      <c r="D3154" s="4">
        <f t="shared" ca="1" si="348"/>
        <v>148</v>
      </c>
      <c r="E3154" s="2">
        <f t="shared" ca="1" si="349"/>
        <v>5058</v>
      </c>
      <c r="F3154" s="2">
        <f t="shared" ca="1" si="350"/>
        <v>11194</v>
      </c>
      <c r="G3154" s="2">
        <f t="shared" ca="1" si="351"/>
        <v>498</v>
      </c>
    </row>
    <row r="3155" spans="1:7" x14ac:dyDescent="0.3">
      <c r="A3155" s="5" t="str">
        <f t="shared" si="345"/>
        <v>Reebok</v>
      </c>
      <c r="B3155" s="5" t="str">
        <f t="shared" si="347"/>
        <v>Zig Kinetica</v>
      </c>
      <c r="C3155" s="3">
        <f t="shared" si="346"/>
        <v>45868</v>
      </c>
      <c r="D3155" s="4">
        <f t="shared" ca="1" si="348"/>
        <v>164</v>
      </c>
      <c r="E3155" s="2">
        <f t="shared" ca="1" si="349"/>
        <v>5826</v>
      </c>
      <c r="F3155" s="2">
        <f t="shared" ca="1" si="350"/>
        <v>19280</v>
      </c>
      <c r="G3155" s="2">
        <f t="shared" ca="1" si="351"/>
        <v>912</v>
      </c>
    </row>
    <row r="3156" spans="1:7" x14ac:dyDescent="0.3">
      <c r="A3156" s="5" t="str">
        <f t="shared" si="345"/>
        <v>Nike</v>
      </c>
      <c r="B3156" s="5" t="str">
        <f t="shared" si="347"/>
        <v>Jordan 1</v>
      </c>
      <c r="C3156" s="3">
        <f t="shared" si="346"/>
        <v>45868</v>
      </c>
      <c r="D3156" s="4">
        <f t="shared" ca="1" si="348"/>
        <v>250</v>
      </c>
      <c r="E3156" s="2">
        <f t="shared" ca="1" si="349"/>
        <v>5553</v>
      </c>
      <c r="F3156" s="2">
        <f t="shared" ca="1" si="350"/>
        <v>33447</v>
      </c>
      <c r="G3156" s="2">
        <f t="shared" ca="1" si="351"/>
        <v>2289</v>
      </c>
    </row>
    <row r="3157" spans="1:7" x14ac:dyDescent="0.3">
      <c r="A3157" s="5" t="str">
        <f t="shared" si="345"/>
        <v>Adidas</v>
      </c>
      <c r="B3157" s="5" t="str">
        <f t="shared" si="347"/>
        <v>Ultraboost 23</v>
      </c>
      <c r="C3157" s="3">
        <f t="shared" si="346"/>
        <v>45868</v>
      </c>
      <c r="D3157" s="4">
        <f t="shared" ca="1" si="348"/>
        <v>76</v>
      </c>
      <c r="E3157" s="2">
        <f t="shared" ca="1" si="349"/>
        <v>11504</v>
      </c>
      <c r="F3157" s="2">
        <f t="shared" ca="1" si="350"/>
        <v>23350</v>
      </c>
      <c r="G3157" s="2">
        <f t="shared" ca="1" si="351"/>
        <v>1121</v>
      </c>
    </row>
    <row r="3158" spans="1:7" x14ac:dyDescent="0.3">
      <c r="A3158" s="5" t="str">
        <f t="shared" si="345"/>
        <v>Puma</v>
      </c>
      <c r="B3158" s="5" t="str">
        <f t="shared" si="347"/>
        <v>RS-X</v>
      </c>
      <c r="C3158" s="3">
        <f t="shared" si="346"/>
        <v>45868</v>
      </c>
      <c r="D3158" s="4">
        <f t="shared" ca="1" si="348"/>
        <v>177</v>
      </c>
      <c r="E3158" s="2">
        <f t="shared" ca="1" si="349"/>
        <v>2829</v>
      </c>
      <c r="F3158" s="2">
        <f t="shared" ca="1" si="350"/>
        <v>24321</v>
      </c>
      <c r="G3158" s="2">
        <f t="shared" ca="1" si="351"/>
        <v>1459</v>
      </c>
    </row>
    <row r="3159" spans="1:7" x14ac:dyDescent="0.3">
      <c r="A3159" s="5" t="str">
        <f t="shared" si="345"/>
        <v>New Balance</v>
      </c>
      <c r="B3159" s="5" t="str">
        <f t="shared" si="347"/>
        <v>2002R</v>
      </c>
      <c r="C3159" s="3">
        <f t="shared" si="346"/>
        <v>45868</v>
      </c>
      <c r="D3159" s="4">
        <f t="shared" ca="1" si="348"/>
        <v>112</v>
      </c>
      <c r="E3159" s="2">
        <f t="shared" ca="1" si="349"/>
        <v>8303</v>
      </c>
      <c r="F3159" s="2">
        <f t="shared" ca="1" si="350"/>
        <v>16036</v>
      </c>
      <c r="G3159" s="2">
        <f t="shared" ca="1" si="351"/>
        <v>673</v>
      </c>
    </row>
    <row r="3160" spans="1:7" x14ac:dyDescent="0.3">
      <c r="A3160" s="5" t="str">
        <f t="shared" si="345"/>
        <v>Reebok</v>
      </c>
      <c r="B3160" s="5" t="str">
        <f t="shared" si="347"/>
        <v>Instapump Fury</v>
      </c>
      <c r="C3160" s="3">
        <f t="shared" si="346"/>
        <v>45868</v>
      </c>
      <c r="D3160" s="4">
        <f t="shared" ca="1" si="348"/>
        <v>237</v>
      </c>
      <c r="E3160" s="2">
        <f t="shared" ca="1" si="349"/>
        <v>3221</v>
      </c>
      <c r="F3160" s="2">
        <f t="shared" ca="1" si="350"/>
        <v>6393</v>
      </c>
      <c r="G3160" s="2">
        <f t="shared" ca="1" si="351"/>
        <v>155</v>
      </c>
    </row>
    <row r="3161" spans="1:7" x14ac:dyDescent="0.3">
      <c r="A3161" s="5" t="str">
        <f t="shared" si="345"/>
        <v>Nike</v>
      </c>
      <c r="B3161" s="5" t="str">
        <f t="shared" si="347"/>
        <v>Cortez</v>
      </c>
      <c r="C3161" s="3">
        <f t="shared" si="346"/>
        <v>45868</v>
      </c>
      <c r="D3161" s="4">
        <f t="shared" ca="1" si="348"/>
        <v>163</v>
      </c>
      <c r="E3161" s="2">
        <f t="shared" ca="1" si="349"/>
        <v>8878</v>
      </c>
      <c r="F3161" s="2">
        <f t="shared" ca="1" si="350"/>
        <v>15762</v>
      </c>
      <c r="G3161" s="2">
        <f t="shared" ca="1" si="351"/>
        <v>632</v>
      </c>
    </row>
    <row r="3162" spans="1:7" x14ac:dyDescent="0.3">
      <c r="A3162" s="5" t="str">
        <f t="shared" si="345"/>
        <v>Adidas</v>
      </c>
      <c r="B3162" s="5" t="str">
        <f t="shared" si="347"/>
        <v>NMD S1</v>
      </c>
      <c r="C3162" s="3">
        <f t="shared" si="346"/>
        <v>45868</v>
      </c>
      <c r="D3162" s="4">
        <f t="shared" ca="1" si="348"/>
        <v>221</v>
      </c>
      <c r="E3162" s="2">
        <f t="shared" ca="1" si="349"/>
        <v>5395</v>
      </c>
      <c r="F3162" s="2">
        <f t="shared" ca="1" si="350"/>
        <v>6672</v>
      </c>
      <c r="G3162" s="2">
        <f t="shared" ca="1" si="351"/>
        <v>369</v>
      </c>
    </row>
    <row r="3163" spans="1:7" x14ac:dyDescent="0.3">
      <c r="A3163" s="5" t="str">
        <f t="shared" si="345"/>
        <v>Puma</v>
      </c>
      <c r="B3163" s="5" t="str">
        <f t="shared" si="347"/>
        <v>Suede Classic</v>
      </c>
      <c r="C3163" s="3">
        <f t="shared" si="346"/>
        <v>45868</v>
      </c>
      <c r="D3163" s="4">
        <f t="shared" ca="1" si="348"/>
        <v>83</v>
      </c>
      <c r="E3163" s="2">
        <f t="shared" ca="1" si="349"/>
        <v>5041</v>
      </c>
      <c r="F3163" s="2">
        <f t="shared" ca="1" si="350"/>
        <v>11964</v>
      </c>
      <c r="G3163" s="2">
        <f t="shared" ca="1" si="351"/>
        <v>248</v>
      </c>
    </row>
    <row r="3164" spans="1:7" x14ac:dyDescent="0.3">
      <c r="A3164" s="5" t="str">
        <f t="shared" si="345"/>
        <v>New Balance</v>
      </c>
      <c r="B3164" s="5" t="str">
        <f t="shared" si="347"/>
        <v>990v6</v>
      </c>
      <c r="C3164" s="3">
        <f t="shared" si="346"/>
        <v>45868</v>
      </c>
      <c r="D3164" s="4">
        <f t="shared" ca="1" si="348"/>
        <v>62</v>
      </c>
      <c r="E3164" s="2">
        <f t="shared" ca="1" si="349"/>
        <v>7454</v>
      </c>
      <c r="F3164" s="2">
        <f t="shared" ca="1" si="350"/>
        <v>30057</v>
      </c>
      <c r="G3164" s="2">
        <f t="shared" ca="1" si="351"/>
        <v>823</v>
      </c>
    </row>
    <row r="3165" spans="1:7" x14ac:dyDescent="0.3">
      <c r="A3165" s="5" t="str">
        <f t="shared" si="345"/>
        <v>Reebok</v>
      </c>
      <c r="B3165" s="5" t="str">
        <f t="shared" si="347"/>
        <v>Nano X3</v>
      </c>
      <c r="C3165" s="3">
        <f t="shared" si="346"/>
        <v>45868</v>
      </c>
      <c r="D3165" s="4">
        <f t="shared" ca="1" si="348"/>
        <v>186</v>
      </c>
      <c r="E3165" s="2">
        <f t="shared" ca="1" si="349"/>
        <v>6138</v>
      </c>
      <c r="F3165" s="2">
        <f t="shared" ca="1" si="350"/>
        <v>22584</v>
      </c>
      <c r="G3165" s="2">
        <f t="shared" ca="1" si="351"/>
        <v>801</v>
      </c>
    </row>
    <row r="3166" spans="1:7" x14ac:dyDescent="0.3">
      <c r="A3166" s="5" t="str">
        <f t="shared" si="345"/>
        <v>Nike</v>
      </c>
      <c r="B3166" s="5" t="str">
        <f t="shared" si="347"/>
        <v>Vaporfly 3</v>
      </c>
      <c r="C3166" s="3">
        <f t="shared" si="346"/>
        <v>45868</v>
      </c>
      <c r="D3166" s="4">
        <f t="shared" ca="1" si="348"/>
        <v>247</v>
      </c>
      <c r="E3166" s="2">
        <f t="shared" ca="1" si="349"/>
        <v>2609</v>
      </c>
      <c r="F3166" s="2">
        <f t="shared" ca="1" si="350"/>
        <v>12502</v>
      </c>
      <c r="G3166" s="2">
        <f t="shared" ca="1" si="351"/>
        <v>585</v>
      </c>
    </row>
    <row r="3167" spans="1:7" x14ac:dyDescent="0.3">
      <c r="A3167" s="5" t="str">
        <f t="shared" si="345"/>
        <v>Adidas</v>
      </c>
      <c r="B3167" s="5" t="str">
        <f t="shared" si="347"/>
        <v>Samba</v>
      </c>
      <c r="C3167" s="3">
        <f t="shared" si="346"/>
        <v>45869</v>
      </c>
      <c r="D3167" s="4">
        <f t="shared" ca="1" si="348"/>
        <v>89</v>
      </c>
      <c r="E3167" s="2">
        <f t="shared" ca="1" si="349"/>
        <v>6342</v>
      </c>
      <c r="F3167" s="2">
        <f t="shared" ca="1" si="350"/>
        <v>11425</v>
      </c>
      <c r="G3167" s="2">
        <f t="shared" ca="1" si="351"/>
        <v>234</v>
      </c>
    </row>
    <row r="3168" spans="1:7" x14ac:dyDescent="0.3">
      <c r="A3168" s="5" t="str">
        <f t="shared" si="345"/>
        <v>Puma</v>
      </c>
      <c r="B3168" s="5" t="str">
        <f t="shared" si="347"/>
        <v>Mayze</v>
      </c>
      <c r="C3168" s="3">
        <f t="shared" si="346"/>
        <v>45869</v>
      </c>
      <c r="D3168" s="4">
        <f t="shared" ca="1" si="348"/>
        <v>137</v>
      </c>
      <c r="E3168" s="2">
        <f t="shared" ca="1" si="349"/>
        <v>3892</v>
      </c>
      <c r="F3168" s="2">
        <f t="shared" ca="1" si="350"/>
        <v>30509</v>
      </c>
      <c r="G3168" s="2">
        <f t="shared" ca="1" si="351"/>
        <v>943</v>
      </c>
    </row>
    <row r="3169" spans="1:7" x14ac:dyDescent="0.3">
      <c r="A3169" s="5" t="str">
        <f t="shared" si="345"/>
        <v>New Balance</v>
      </c>
      <c r="B3169" s="5" t="str">
        <f t="shared" si="347"/>
        <v>574 Core</v>
      </c>
      <c r="C3169" s="3">
        <f t="shared" si="346"/>
        <v>45869</v>
      </c>
      <c r="D3169" s="4">
        <f t="shared" ca="1" si="348"/>
        <v>138</v>
      </c>
      <c r="E3169" s="2">
        <f t="shared" ca="1" si="349"/>
        <v>9998</v>
      </c>
      <c r="F3169" s="2">
        <f t="shared" ca="1" si="350"/>
        <v>10977</v>
      </c>
      <c r="G3169" s="2">
        <f t="shared" ca="1" si="351"/>
        <v>334</v>
      </c>
    </row>
    <row r="3170" spans="1:7" x14ac:dyDescent="0.3">
      <c r="A3170" s="5" t="str">
        <f t="shared" si="345"/>
        <v>Reebok</v>
      </c>
      <c r="B3170" s="5" t="str">
        <f t="shared" si="347"/>
        <v>Club C 85</v>
      </c>
      <c r="C3170" s="3">
        <f t="shared" si="346"/>
        <v>45869</v>
      </c>
      <c r="D3170" s="4">
        <f t="shared" ca="1" si="348"/>
        <v>129</v>
      </c>
      <c r="E3170" s="2">
        <f t="shared" ca="1" si="349"/>
        <v>6582</v>
      </c>
      <c r="F3170" s="2">
        <f t="shared" ca="1" si="350"/>
        <v>22514</v>
      </c>
      <c r="G3170" s="2">
        <f t="shared" ca="1" si="351"/>
        <v>896</v>
      </c>
    </row>
    <row r="3171" spans="1:7" x14ac:dyDescent="0.3">
      <c r="A3171" s="5" t="str">
        <f t="shared" si="345"/>
        <v>Nike</v>
      </c>
      <c r="B3171" s="5" t="str">
        <f t="shared" si="347"/>
        <v>Pegasus 40</v>
      </c>
      <c r="C3171" s="3">
        <f t="shared" si="346"/>
        <v>45869</v>
      </c>
      <c r="D3171" s="4">
        <f t="shared" ca="1" si="348"/>
        <v>246</v>
      </c>
      <c r="E3171" s="2">
        <f t="shared" ca="1" si="349"/>
        <v>10523</v>
      </c>
      <c r="F3171" s="2">
        <f t="shared" ca="1" si="350"/>
        <v>12982</v>
      </c>
      <c r="G3171" s="2">
        <f t="shared" ca="1" si="351"/>
        <v>672</v>
      </c>
    </row>
    <row r="3172" spans="1:7" x14ac:dyDescent="0.3">
      <c r="A3172" s="5" t="str">
        <f t="shared" si="345"/>
        <v>Adidas</v>
      </c>
      <c r="B3172" s="5" t="str">
        <f t="shared" si="347"/>
        <v>Gazelle</v>
      </c>
      <c r="C3172" s="3">
        <f t="shared" si="346"/>
        <v>45869</v>
      </c>
      <c r="D3172" s="4">
        <f t="shared" ca="1" si="348"/>
        <v>184</v>
      </c>
      <c r="E3172" s="2">
        <f t="shared" ca="1" si="349"/>
        <v>10394</v>
      </c>
      <c r="F3172" s="2">
        <f t="shared" ca="1" si="350"/>
        <v>16025</v>
      </c>
      <c r="G3172" s="2">
        <f t="shared" ca="1" si="351"/>
        <v>1262</v>
      </c>
    </row>
    <row r="3173" spans="1:7" x14ac:dyDescent="0.3">
      <c r="A3173" s="5" t="str">
        <f t="shared" si="345"/>
        <v>Puma</v>
      </c>
      <c r="B3173" s="5" t="str">
        <f t="shared" si="347"/>
        <v>Slipstream</v>
      </c>
      <c r="C3173" s="3">
        <f t="shared" si="346"/>
        <v>45869</v>
      </c>
      <c r="D3173" s="4">
        <f t="shared" ca="1" si="348"/>
        <v>107</v>
      </c>
      <c r="E3173" s="2">
        <f t="shared" ca="1" si="349"/>
        <v>5069</v>
      </c>
      <c r="F3173" s="2">
        <f t="shared" ca="1" si="350"/>
        <v>19749</v>
      </c>
      <c r="G3173" s="2">
        <f t="shared" ca="1" si="351"/>
        <v>658</v>
      </c>
    </row>
    <row r="3174" spans="1:7" x14ac:dyDescent="0.3">
      <c r="A3174" s="5" t="str">
        <f t="shared" si="345"/>
        <v>New Balance</v>
      </c>
      <c r="B3174" s="5" t="str">
        <f t="shared" si="347"/>
        <v>550</v>
      </c>
      <c r="C3174" s="3">
        <f t="shared" si="346"/>
        <v>45869</v>
      </c>
      <c r="D3174" s="4">
        <f t="shared" ca="1" si="348"/>
        <v>56</v>
      </c>
      <c r="E3174" s="2">
        <f t="shared" ca="1" si="349"/>
        <v>4702</v>
      </c>
      <c r="F3174" s="2">
        <f t="shared" ca="1" si="350"/>
        <v>21462</v>
      </c>
      <c r="G3174" s="2">
        <f t="shared" ca="1" si="351"/>
        <v>1445</v>
      </c>
    </row>
    <row r="3175" spans="1:7" x14ac:dyDescent="0.3">
      <c r="A3175" s="5" t="str">
        <f t="shared" si="345"/>
        <v>Reebok</v>
      </c>
      <c r="B3175" s="5" t="str">
        <f t="shared" si="347"/>
        <v>Classic Leather</v>
      </c>
      <c r="C3175" s="3">
        <f t="shared" si="346"/>
        <v>45869</v>
      </c>
      <c r="D3175" s="4">
        <f t="shared" ca="1" si="348"/>
        <v>100</v>
      </c>
      <c r="E3175" s="2">
        <f t="shared" ca="1" si="349"/>
        <v>5178</v>
      </c>
      <c r="F3175" s="2">
        <f t="shared" ca="1" si="350"/>
        <v>7171</v>
      </c>
      <c r="G3175" s="2">
        <f t="shared" ca="1" si="351"/>
        <v>464</v>
      </c>
    </row>
    <row r="3176" spans="1:7" x14ac:dyDescent="0.3">
      <c r="A3176" s="5" t="str">
        <f t="shared" si="345"/>
        <v>Nike</v>
      </c>
      <c r="B3176" s="5" t="str">
        <f t="shared" si="347"/>
        <v>Air Force 1</v>
      </c>
      <c r="C3176" s="3">
        <f t="shared" si="346"/>
        <v>45869</v>
      </c>
      <c r="D3176" s="4">
        <f t="shared" ca="1" si="348"/>
        <v>140</v>
      </c>
      <c r="E3176" s="2">
        <f t="shared" ca="1" si="349"/>
        <v>7508</v>
      </c>
      <c r="F3176" s="2">
        <f t="shared" ca="1" si="350"/>
        <v>31336</v>
      </c>
      <c r="G3176" s="2">
        <f t="shared" ca="1" si="351"/>
        <v>633</v>
      </c>
    </row>
    <row r="3177" spans="1:7" x14ac:dyDescent="0.3">
      <c r="A3177" s="5" t="str">
        <f t="shared" si="345"/>
        <v>Adidas</v>
      </c>
      <c r="B3177" s="5" t="str">
        <f t="shared" si="347"/>
        <v>Superstar</v>
      </c>
      <c r="C3177" s="3">
        <f t="shared" si="346"/>
        <v>45869</v>
      </c>
      <c r="D3177" s="4">
        <f t="shared" ca="1" si="348"/>
        <v>77</v>
      </c>
      <c r="E3177" s="2">
        <f t="shared" ca="1" si="349"/>
        <v>4941</v>
      </c>
      <c r="F3177" s="2">
        <f t="shared" ca="1" si="350"/>
        <v>24898</v>
      </c>
      <c r="G3177" s="2">
        <f t="shared" ca="1" si="351"/>
        <v>1123</v>
      </c>
    </row>
    <row r="3178" spans="1:7" x14ac:dyDescent="0.3">
      <c r="A3178" s="5" t="str">
        <f t="shared" si="345"/>
        <v>Puma</v>
      </c>
      <c r="B3178" s="5" t="str">
        <f t="shared" si="347"/>
        <v>Rider Vintage</v>
      </c>
      <c r="C3178" s="3">
        <f t="shared" si="346"/>
        <v>45869</v>
      </c>
      <c r="D3178" s="4">
        <f t="shared" ca="1" si="348"/>
        <v>149</v>
      </c>
      <c r="E3178" s="2">
        <f t="shared" ca="1" si="349"/>
        <v>11616</v>
      </c>
      <c r="F3178" s="2">
        <f t="shared" ca="1" si="350"/>
        <v>21056</v>
      </c>
      <c r="G3178" s="2">
        <f t="shared" ca="1" si="351"/>
        <v>1041</v>
      </c>
    </row>
    <row r="3179" spans="1:7" x14ac:dyDescent="0.3">
      <c r="A3179" s="5" t="str">
        <f t="shared" ref="A3179:A3242" si="352">CHOOSE(MOD(ROW(A3178),5)+1,"Nike","Adidas","Puma","New Balance","Reebok")</f>
        <v>New Balance</v>
      </c>
      <c r="B3179" s="5" t="str">
        <f t="shared" si="347"/>
        <v>327</v>
      </c>
      <c r="C3179" s="3">
        <f t="shared" ref="C3179:C3242" si="353">DATE(2025,1,1)+INT((ROW(A3179)-2)/15)</f>
        <v>45869</v>
      </c>
      <c r="D3179" s="4">
        <f t="shared" ca="1" si="348"/>
        <v>119</v>
      </c>
      <c r="E3179" s="2">
        <f t="shared" ca="1" si="349"/>
        <v>10112</v>
      </c>
      <c r="F3179" s="2">
        <f t="shared" ca="1" si="350"/>
        <v>20769</v>
      </c>
      <c r="G3179" s="2">
        <f t="shared" ca="1" si="351"/>
        <v>1540</v>
      </c>
    </row>
    <row r="3180" spans="1:7" x14ac:dyDescent="0.3">
      <c r="A3180" s="5" t="str">
        <f t="shared" si="352"/>
        <v>Reebok</v>
      </c>
      <c r="B3180" s="5" t="str">
        <f t="shared" si="347"/>
        <v>Question Mid</v>
      </c>
      <c r="C3180" s="3">
        <f t="shared" si="353"/>
        <v>45869</v>
      </c>
      <c r="D3180" s="4">
        <f t="shared" ca="1" si="348"/>
        <v>33</v>
      </c>
      <c r="E3180" s="2">
        <f t="shared" ca="1" si="349"/>
        <v>10468</v>
      </c>
      <c r="F3180" s="2">
        <f t="shared" ca="1" si="350"/>
        <v>20736</v>
      </c>
      <c r="G3180" s="2">
        <f t="shared" ca="1" si="351"/>
        <v>1556</v>
      </c>
    </row>
    <row r="3181" spans="1:7" x14ac:dyDescent="0.3">
      <c r="A3181" s="5" t="str">
        <f t="shared" si="352"/>
        <v>Nike</v>
      </c>
      <c r="B3181" s="5" t="str">
        <f t="shared" si="347"/>
        <v>Air Max 270</v>
      </c>
      <c r="C3181" s="3">
        <f t="shared" si="353"/>
        <v>45869</v>
      </c>
      <c r="D3181" s="4">
        <f t="shared" ca="1" si="348"/>
        <v>134</v>
      </c>
      <c r="E3181" s="2">
        <f t="shared" ca="1" si="349"/>
        <v>2705</v>
      </c>
      <c r="F3181" s="2">
        <f t="shared" ca="1" si="350"/>
        <v>5961</v>
      </c>
      <c r="G3181" s="2">
        <f t="shared" ca="1" si="351"/>
        <v>460</v>
      </c>
    </row>
    <row r="3182" spans="1:7" x14ac:dyDescent="0.3">
      <c r="A3182" s="5" t="str">
        <f t="shared" si="352"/>
        <v>Adidas</v>
      </c>
      <c r="B3182" s="5" t="str">
        <f t="shared" si="347"/>
        <v>Stan Smith</v>
      </c>
      <c r="C3182" s="3">
        <f t="shared" si="353"/>
        <v>45870</v>
      </c>
      <c r="D3182" s="4">
        <f t="shared" ca="1" si="348"/>
        <v>214</v>
      </c>
      <c r="E3182" s="2">
        <f t="shared" ca="1" si="349"/>
        <v>2389</v>
      </c>
      <c r="F3182" s="2">
        <f t="shared" ca="1" si="350"/>
        <v>14703</v>
      </c>
      <c r="G3182" s="2">
        <f t="shared" ca="1" si="351"/>
        <v>858</v>
      </c>
    </row>
    <row r="3183" spans="1:7" x14ac:dyDescent="0.3">
      <c r="A3183" s="5" t="str">
        <f t="shared" si="352"/>
        <v>Puma</v>
      </c>
      <c r="B3183" s="5" t="str">
        <f t="shared" si="347"/>
        <v>Cali Dream</v>
      </c>
      <c r="C3183" s="3">
        <f t="shared" si="353"/>
        <v>45870</v>
      </c>
      <c r="D3183" s="4">
        <f t="shared" ca="1" si="348"/>
        <v>88</v>
      </c>
      <c r="E3183" s="2">
        <f t="shared" ca="1" si="349"/>
        <v>11712</v>
      </c>
      <c r="F3183" s="2">
        <f t="shared" ca="1" si="350"/>
        <v>19336</v>
      </c>
      <c r="G3183" s="2">
        <f t="shared" ca="1" si="351"/>
        <v>644</v>
      </c>
    </row>
    <row r="3184" spans="1:7" x14ac:dyDescent="0.3">
      <c r="A3184" s="5" t="str">
        <f t="shared" si="352"/>
        <v>New Balance</v>
      </c>
      <c r="B3184" s="5" t="str">
        <f t="shared" si="347"/>
        <v>9060</v>
      </c>
      <c r="C3184" s="3">
        <f t="shared" si="353"/>
        <v>45870</v>
      </c>
      <c r="D3184" s="4">
        <f t="shared" ca="1" si="348"/>
        <v>21</v>
      </c>
      <c r="E3184" s="2">
        <f t="shared" ca="1" si="349"/>
        <v>11088</v>
      </c>
      <c r="F3184" s="2">
        <f t="shared" ca="1" si="350"/>
        <v>19596</v>
      </c>
      <c r="G3184" s="2">
        <f t="shared" ca="1" si="351"/>
        <v>880</v>
      </c>
    </row>
    <row r="3185" spans="1:7" x14ac:dyDescent="0.3">
      <c r="A3185" s="5" t="str">
        <f t="shared" si="352"/>
        <v>Reebok</v>
      </c>
      <c r="B3185" s="5" t="str">
        <f t="shared" si="347"/>
        <v>Zig Kinetica</v>
      </c>
      <c r="C3185" s="3">
        <f t="shared" si="353"/>
        <v>45870</v>
      </c>
      <c r="D3185" s="4">
        <f t="shared" ca="1" si="348"/>
        <v>174</v>
      </c>
      <c r="E3185" s="2">
        <f t="shared" ca="1" si="349"/>
        <v>3329</v>
      </c>
      <c r="F3185" s="2">
        <f t="shared" ca="1" si="350"/>
        <v>21028</v>
      </c>
      <c r="G3185" s="2">
        <f t="shared" ca="1" si="351"/>
        <v>1627</v>
      </c>
    </row>
    <row r="3186" spans="1:7" x14ac:dyDescent="0.3">
      <c r="A3186" s="5" t="str">
        <f t="shared" si="352"/>
        <v>Nike</v>
      </c>
      <c r="B3186" s="5" t="str">
        <f t="shared" si="347"/>
        <v>Jordan 1</v>
      </c>
      <c r="C3186" s="3">
        <f t="shared" si="353"/>
        <v>45870</v>
      </c>
      <c r="D3186" s="4">
        <f t="shared" ca="1" si="348"/>
        <v>75</v>
      </c>
      <c r="E3186" s="2">
        <f t="shared" ca="1" si="349"/>
        <v>8434</v>
      </c>
      <c r="F3186" s="2">
        <f t="shared" ca="1" si="350"/>
        <v>11642</v>
      </c>
      <c r="G3186" s="2">
        <f t="shared" ca="1" si="351"/>
        <v>584</v>
      </c>
    </row>
    <row r="3187" spans="1:7" x14ac:dyDescent="0.3">
      <c r="A3187" s="5" t="str">
        <f t="shared" si="352"/>
        <v>Adidas</v>
      </c>
      <c r="B3187" s="5" t="str">
        <f t="shared" si="347"/>
        <v>Ultraboost 23</v>
      </c>
      <c r="C3187" s="3">
        <f t="shared" si="353"/>
        <v>45870</v>
      </c>
      <c r="D3187" s="4">
        <f t="shared" ca="1" si="348"/>
        <v>76</v>
      </c>
      <c r="E3187" s="2">
        <f t="shared" ca="1" si="349"/>
        <v>4574</v>
      </c>
      <c r="F3187" s="2">
        <f t="shared" ca="1" si="350"/>
        <v>24538</v>
      </c>
      <c r="G3187" s="2">
        <f t="shared" ca="1" si="351"/>
        <v>898</v>
      </c>
    </row>
    <row r="3188" spans="1:7" x14ac:dyDescent="0.3">
      <c r="A3188" s="5" t="str">
        <f t="shared" si="352"/>
        <v>Puma</v>
      </c>
      <c r="B3188" s="5" t="str">
        <f t="shared" si="347"/>
        <v>RS-X</v>
      </c>
      <c r="C3188" s="3">
        <f t="shared" si="353"/>
        <v>45870</v>
      </c>
      <c r="D3188" s="4">
        <f t="shared" ca="1" si="348"/>
        <v>79</v>
      </c>
      <c r="E3188" s="2">
        <f t="shared" ca="1" si="349"/>
        <v>3699</v>
      </c>
      <c r="F3188" s="2">
        <f t="shared" ca="1" si="350"/>
        <v>6056</v>
      </c>
      <c r="G3188" s="2">
        <f t="shared" ca="1" si="351"/>
        <v>179</v>
      </c>
    </row>
    <row r="3189" spans="1:7" x14ac:dyDescent="0.3">
      <c r="A3189" s="5" t="str">
        <f t="shared" si="352"/>
        <v>New Balance</v>
      </c>
      <c r="B3189" s="5" t="str">
        <f t="shared" si="347"/>
        <v>2002R</v>
      </c>
      <c r="C3189" s="3">
        <f t="shared" si="353"/>
        <v>45870</v>
      </c>
      <c r="D3189" s="4">
        <f t="shared" ca="1" si="348"/>
        <v>180</v>
      </c>
      <c r="E3189" s="2">
        <f t="shared" ca="1" si="349"/>
        <v>7043</v>
      </c>
      <c r="F3189" s="2">
        <f t="shared" ca="1" si="350"/>
        <v>8670</v>
      </c>
      <c r="G3189" s="2">
        <f t="shared" ca="1" si="351"/>
        <v>519</v>
      </c>
    </row>
    <row r="3190" spans="1:7" x14ac:dyDescent="0.3">
      <c r="A3190" s="5" t="str">
        <f t="shared" si="352"/>
        <v>Reebok</v>
      </c>
      <c r="B3190" s="5" t="str">
        <f t="shared" si="347"/>
        <v>Instapump Fury</v>
      </c>
      <c r="C3190" s="3">
        <f t="shared" si="353"/>
        <v>45870</v>
      </c>
      <c r="D3190" s="4">
        <f t="shared" ca="1" si="348"/>
        <v>231</v>
      </c>
      <c r="E3190" s="2">
        <f t="shared" ca="1" si="349"/>
        <v>9437</v>
      </c>
      <c r="F3190" s="2">
        <f t="shared" ca="1" si="350"/>
        <v>18788</v>
      </c>
      <c r="G3190" s="2">
        <f t="shared" ca="1" si="351"/>
        <v>1018</v>
      </c>
    </row>
    <row r="3191" spans="1:7" x14ac:dyDescent="0.3">
      <c r="A3191" s="5" t="str">
        <f t="shared" si="352"/>
        <v>Nike</v>
      </c>
      <c r="B3191" s="5" t="str">
        <f t="shared" si="347"/>
        <v>Cortez</v>
      </c>
      <c r="C3191" s="3">
        <f t="shared" si="353"/>
        <v>45870</v>
      </c>
      <c r="D3191" s="4">
        <f t="shared" ca="1" si="348"/>
        <v>187</v>
      </c>
      <c r="E3191" s="2">
        <f t="shared" ca="1" si="349"/>
        <v>10514</v>
      </c>
      <c r="F3191" s="2">
        <f t="shared" ca="1" si="350"/>
        <v>28059</v>
      </c>
      <c r="G3191" s="2">
        <f t="shared" ca="1" si="351"/>
        <v>1710</v>
      </c>
    </row>
    <row r="3192" spans="1:7" x14ac:dyDescent="0.3">
      <c r="A3192" s="5" t="str">
        <f t="shared" si="352"/>
        <v>Adidas</v>
      </c>
      <c r="B3192" s="5" t="str">
        <f t="shared" si="347"/>
        <v>NMD S1</v>
      </c>
      <c r="C3192" s="3">
        <f t="shared" si="353"/>
        <v>45870</v>
      </c>
      <c r="D3192" s="4">
        <f t="shared" ca="1" si="348"/>
        <v>226</v>
      </c>
      <c r="E3192" s="2">
        <f t="shared" ca="1" si="349"/>
        <v>5380</v>
      </c>
      <c r="F3192" s="2">
        <f t="shared" ca="1" si="350"/>
        <v>13882</v>
      </c>
      <c r="G3192" s="2">
        <f t="shared" ca="1" si="351"/>
        <v>974</v>
      </c>
    </row>
    <row r="3193" spans="1:7" x14ac:dyDescent="0.3">
      <c r="A3193" s="5" t="str">
        <f t="shared" si="352"/>
        <v>Puma</v>
      </c>
      <c r="B3193" s="5" t="str">
        <f t="shared" si="347"/>
        <v>Suede Classic</v>
      </c>
      <c r="C3193" s="3">
        <f t="shared" si="353"/>
        <v>45870</v>
      </c>
      <c r="D3193" s="4">
        <f t="shared" ca="1" si="348"/>
        <v>141</v>
      </c>
      <c r="E3193" s="2">
        <f t="shared" ca="1" si="349"/>
        <v>1700</v>
      </c>
      <c r="F3193" s="2">
        <f t="shared" ca="1" si="350"/>
        <v>9153</v>
      </c>
      <c r="G3193" s="2">
        <f t="shared" ca="1" si="351"/>
        <v>364</v>
      </c>
    </row>
    <row r="3194" spans="1:7" x14ac:dyDescent="0.3">
      <c r="A3194" s="5" t="str">
        <f t="shared" si="352"/>
        <v>New Balance</v>
      </c>
      <c r="B3194" s="5" t="str">
        <f t="shared" si="347"/>
        <v>990v6</v>
      </c>
      <c r="C3194" s="3">
        <f t="shared" si="353"/>
        <v>45870</v>
      </c>
      <c r="D3194" s="4">
        <f t="shared" ca="1" si="348"/>
        <v>225</v>
      </c>
      <c r="E3194" s="2">
        <f t="shared" ca="1" si="349"/>
        <v>11705</v>
      </c>
      <c r="F3194" s="2">
        <f t="shared" ca="1" si="350"/>
        <v>14043</v>
      </c>
      <c r="G3194" s="2">
        <f t="shared" ca="1" si="351"/>
        <v>663</v>
      </c>
    </row>
    <row r="3195" spans="1:7" x14ac:dyDescent="0.3">
      <c r="A3195" s="5" t="str">
        <f t="shared" si="352"/>
        <v>Reebok</v>
      </c>
      <c r="B3195" s="5" t="str">
        <f t="shared" si="347"/>
        <v>Nano X3</v>
      </c>
      <c r="C3195" s="3">
        <f t="shared" si="353"/>
        <v>45870</v>
      </c>
      <c r="D3195" s="4">
        <f t="shared" ca="1" si="348"/>
        <v>126</v>
      </c>
      <c r="E3195" s="2">
        <f t="shared" ca="1" si="349"/>
        <v>9047</v>
      </c>
      <c r="F3195" s="2">
        <f t="shared" ca="1" si="350"/>
        <v>27367</v>
      </c>
      <c r="G3195" s="2">
        <f t="shared" ca="1" si="351"/>
        <v>1047</v>
      </c>
    </row>
    <row r="3196" spans="1:7" x14ac:dyDescent="0.3">
      <c r="A3196" s="5" t="str">
        <f t="shared" si="352"/>
        <v>Nike</v>
      </c>
      <c r="B3196" s="5" t="str">
        <f t="shared" si="347"/>
        <v>Vaporfly 3</v>
      </c>
      <c r="C3196" s="3">
        <f t="shared" si="353"/>
        <v>45870</v>
      </c>
      <c r="D3196" s="4">
        <f t="shared" ca="1" si="348"/>
        <v>192</v>
      </c>
      <c r="E3196" s="2">
        <f t="shared" ca="1" si="349"/>
        <v>5903</v>
      </c>
      <c r="F3196" s="2">
        <f t="shared" ca="1" si="350"/>
        <v>7134</v>
      </c>
      <c r="G3196" s="2">
        <f t="shared" ca="1" si="351"/>
        <v>231</v>
      </c>
    </row>
    <row r="3197" spans="1:7" x14ac:dyDescent="0.3">
      <c r="A3197" s="5" t="str">
        <f t="shared" si="352"/>
        <v>Adidas</v>
      </c>
      <c r="B3197" s="5" t="str">
        <f t="shared" si="347"/>
        <v>Samba</v>
      </c>
      <c r="C3197" s="3">
        <f t="shared" si="353"/>
        <v>45871</v>
      </c>
      <c r="D3197" s="4">
        <f t="shared" ca="1" si="348"/>
        <v>30</v>
      </c>
      <c r="E3197" s="2">
        <f t="shared" ca="1" si="349"/>
        <v>7516</v>
      </c>
      <c r="F3197" s="2">
        <f t="shared" ca="1" si="350"/>
        <v>25501</v>
      </c>
      <c r="G3197" s="2">
        <f t="shared" ca="1" si="351"/>
        <v>1476</v>
      </c>
    </row>
    <row r="3198" spans="1:7" x14ac:dyDescent="0.3">
      <c r="A3198" s="5" t="str">
        <f t="shared" si="352"/>
        <v>Puma</v>
      </c>
      <c r="B3198" s="5" t="str">
        <f t="shared" si="347"/>
        <v>Mayze</v>
      </c>
      <c r="C3198" s="3">
        <f t="shared" si="353"/>
        <v>45871</v>
      </c>
      <c r="D3198" s="4">
        <f t="shared" ca="1" si="348"/>
        <v>172</v>
      </c>
      <c r="E3198" s="2">
        <f t="shared" ca="1" si="349"/>
        <v>6045</v>
      </c>
      <c r="F3198" s="2">
        <f t="shared" ca="1" si="350"/>
        <v>14774</v>
      </c>
      <c r="G3198" s="2">
        <f t="shared" ca="1" si="351"/>
        <v>468</v>
      </c>
    </row>
    <row r="3199" spans="1:7" x14ac:dyDescent="0.3">
      <c r="A3199" s="5" t="str">
        <f t="shared" si="352"/>
        <v>New Balance</v>
      </c>
      <c r="B3199" s="5" t="str">
        <f t="shared" si="347"/>
        <v>574 Core</v>
      </c>
      <c r="C3199" s="3">
        <f t="shared" si="353"/>
        <v>45871</v>
      </c>
      <c r="D3199" s="4">
        <f t="shared" ca="1" si="348"/>
        <v>127</v>
      </c>
      <c r="E3199" s="2">
        <f t="shared" ca="1" si="349"/>
        <v>6041</v>
      </c>
      <c r="F3199" s="2">
        <f t="shared" ca="1" si="350"/>
        <v>34401</v>
      </c>
      <c r="G3199" s="2">
        <f t="shared" ca="1" si="351"/>
        <v>1888</v>
      </c>
    </row>
    <row r="3200" spans="1:7" x14ac:dyDescent="0.3">
      <c r="A3200" s="5" t="str">
        <f t="shared" si="352"/>
        <v>Reebok</v>
      </c>
      <c r="B3200" s="5" t="str">
        <f t="shared" si="347"/>
        <v>Club C 85</v>
      </c>
      <c r="C3200" s="3">
        <f t="shared" si="353"/>
        <v>45871</v>
      </c>
      <c r="D3200" s="4">
        <f t="shared" ca="1" si="348"/>
        <v>146</v>
      </c>
      <c r="E3200" s="2">
        <f t="shared" ca="1" si="349"/>
        <v>4059</v>
      </c>
      <c r="F3200" s="2">
        <f t="shared" ca="1" si="350"/>
        <v>32587</v>
      </c>
      <c r="G3200" s="2">
        <f t="shared" ca="1" si="351"/>
        <v>1394</v>
      </c>
    </row>
    <row r="3201" spans="1:7" x14ac:dyDescent="0.3">
      <c r="A3201" s="5" t="str">
        <f t="shared" si="352"/>
        <v>Nike</v>
      </c>
      <c r="B3201" s="5" t="str">
        <f t="shared" si="347"/>
        <v>Pegasus 40</v>
      </c>
      <c r="C3201" s="3">
        <f t="shared" si="353"/>
        <v>45871</v>
      </c>
      <c r="D3201" s="4">
        <f t="shared" ca="1" si="348"/>
        <v>98</v>
      </c>
      <c r="E3201" s="2">
        <f t="shared" ca="1" si="349"/>
        <v>6353</v>
      </c>
      <c r="F3201" s="2">
        <f t="shared" ca="1" si="350"/>
        <v>10561</v>
      </c>
      <c r="G3201" s="2">
        <f t="shared" ca="1" si="351"/>
        <v>498</v>
      </c>
    </row>
    <row r="3202" spans="1:7" x14ac:dyDescent="0.3">
      <c r="A3202" s="5" t="str">
        <f t="shared" si="352"/>
        <v>Adidas</v>
      </c>
      <c r="B3202" s="5" t="str">
        <f t="shared" si="347"/>
        <v>Gazelle</v>
      </c>
      <c r="C3202" s="3">
        <f t="shared" si="353"/>
        <v>45871</v>
      </c>
      <c r="D3202" s="4">
        <f t="shared" ca="1" si="348"/>
        <v>32</v>
      </c>
      <c r="E3202" s="2">
        <f t="shared" ca="1" si="349"/>
        <v>3559</v>
      </c>
      <c r="F3202" s="2">
        <f t="shared" ca="1" si="350"/>
        <v>9212</v>
      </c>
      <c r="G3202" s="2">
        <f t="shared" ca="1" si="351"/>
        <v>662</v>
      </c>
    </row>
    <row r="3203" spans="1:7" x14ac:dyDescent="0.3">
      <c r="A3203" s="5" t="str">
        <f t="shared" si="352"/>
        <v>Puma</v>
      </c>
      <c r="B3203" s="5" t="str">
        <f t="shared" ref="B3203:B3266" si="354">IF(A3203="Nike",CHOOSE(MOD(ROW(A3202),6)+1,"Air Max 270","Air Force 1","Pegasus 40","Vaporfly 3","Cortez","Jordan 1"),
 IF(A3203="Adidas",CHOOSE(MOD(ROW(A3202),6)+1,"Ultraboost 23","Stan Smith","Superstar","Gazelle","Samba","NMD S1"),
 IF(A3203="Puma",CHOOSE(MOD(ROW(A3202),6)+1,"Suede Classic","RS-X","Cali Dream","Rider Vintage","Slipstream","Mayze"),
 IF(A3203="New Balance",CHOOSE(MOD(ROW(A3202),6)+1,"574 Core","990v6","2002R","9060","327","550"),
 IF(A3203="Reebok",CHOOSE(MOD(ROW(A3202),6)+1,"Classic Leather","Club C 85","Nano X3","Instapump Fury","Zig Kinetica","Question Mid"),"")))))</f>
        <v>Slipstream</v>
      </c>
      <c r="C3203" s="3">
        <f t="shared" si="353"/>
        <v>45871</v>
      </c>
      <c r="D3203" s="4">
        <f t="shared" ref="D3203:D3266" ca="1" si="355">RANDBETWEEN(20,250)</f>
        <v>111</v>
      </c>
      <c r="E3203" s="2">
        <f t="shared" ref="E3203:E3266" ca="1" si="356">ROUND(RANDBETWEEN(1500,12000)+(RANDBETWEEN(-200,200)),2)</f>
        <v>8517</v>
      </c>
      <c r="F3203" s="2">
        <f t="shared" ref="F3203:F3266" ca="1" si="357">RANDBETWEEN(5000,35000)</f>
        <v>11318</v>
      </c>
      <c r="G3203" s="2">
        <f t="shared" ref="G3203:G3266" ca="1" si="358">RANDBETWEEN(ROUND(F3203*0.02,0),ROUND(F3203*0.08,0))</f>
        <v>614</v>
      </c>
    </row>
    <row r="3204" spans="1:7" x14ac:dyDescent="0.3">
      <c r="A3204" s="5" t="str">
        <f t="shared" si="352"/>
        <v>New Balance</v>
      </c>
      <c r="B3204" s="5" t="str">
        <f t="shared" si="354"/>
        <v>550</v>
      </c>
      <c r="C3204" s="3">
        <f t="shared" si="353"/>
        <v>45871</v>
      </c>
      <c r="D3204" s="4">
        <f t="shared" ca="1" si="355"/>
        <v>51</v>
      </c>
      <c r="E3204" s="2">
        <f t="shared" ca="1" si="356"/>
        <v>4439</v>
      </c>
      <c r="F3204" s="2">
        <f t="shared" ca="1" si="357"/>
        <v>5498</v>
      </c>
      <c r="G3204" s="2">
        <f t="shared" ca="1" si="358"/>
        <v>298</v>
      </c>
    </row>
    <row r="3205" spans="1:7" x14ac:dyDescent="0.3">
      <c r="A3205" s="5" t="str">
        <f t="shared" si="352"/>
        <v>Reebok</v>
      </c>
      <c r="B3205" s="5" t="str">
        <f t="shared" si="354"/>
        <v>Classic Leather</v>
      </c>
      <c r="C3205" s="3">
        <f t="shared" si="353"/>
        <v>45871</v>
      </c>
      <c r="D3205" s="4">
        <f t="shared" ca="1" si="355"/>
        <v>109</v>
      </c>
      <c r="E3205" s="2">
        <f t="shared" ca="1" si="356"/>
        <v>5847</v>
      </c>
      <c r="F3205" s="2">
        <f t="shared" ca="1" si="357"/>
        <v>29861</v>
      </c>
      <c r="G3205" s="2">
        <f t="shared" ca="1" si="358"/>
        <v>847</v>
      </c>
    </row>
    <row r="3206" spans="1:7" x14ac:dyDescent="0.3">
      <c r="A3206" s="5" t="str">
        <f t="shared" si="352"/>
        <v>Nike</v>
      </c>
      <c r="B3206" s="5" t="str">
        <f t="shared" si="354"/>
        <v>Air Force 1</v>
      </c>
      <c r="C3206" s="3">
        <f t="shared" si="353"/>
        <v>45871</v>
      </c>
      <c r="D3206" s="4">
        <f t="shared" ca="1" si="355"/>
        <v>209</v>
      </c>
      <c r="E3206" s="2">
        <f t="shared" ca="1" si="356"/>
        <v>12062</v>
      </c>
      <c r="F3206" s="2">
        <f t="shared" ca="1" si="357"/>
        <v>26208</v>
      </c>
      <c r="G3206" s="2">
        <f t="shared" ca="1" si="358"/>
        <v>909</v>
      </c>
    </row>
    <row r="3207" spans="1:7" x14ac:dyDescent="0.3">
      <c r="A3207" s="5" t="str">
        <f t="shared" si="352"/>
        <v>Adidas</v>
      </c>
      <c r="B3207" s="5" t="str">
        <f t="shared" si="354"/>
        <v>Superstar</v>
      </c>
      <c r="C3207" s="3">
        <f t="shared" si="353"/>
        <v>45871</v>
      </c>
      <c r="D3207" s="4">
        <f t="shared" ca="1" si="355"/>
        <v>71</v>
      </c>
      <c r="E3207" s="2">
        <f t="shared" ca="1" si="356"/>
        <v>7952</v>
      </c>
      <c r="F3207" s="2">
        <f t="shared" ca="1" si="357"/>
        <v>27116</v>
      </c>
      <c r="G3207" s="2">
        <f t="shared" ca="1" si="358"/>
        <v>700</v>
      </c>
    </row>
    <row r="3208" spans="1:7" x14ac:dyDescent="0.3">
      <c r="A3208" s="5" t="str">
        <f t="shared" si="352"/>
        <v>Puma</v>
      </c>
      <c r="B3208" s="5" t="str">
        <f t="shared" si="354"/>
        <v>Rider Vintage</v>
      </c>
      <c r="C3208" s="3">
        <f t="shared" si="353"/>
        <v>45871</v>
      </c>
      <c r="D3208" s="4">
        <f t="shared" ca="1" si="355"/>
        <v>32</v>
      </c>
      <c r="E3208" s="2">
        <f t="shared" ca="1" si="356"/>
        <v>3553</v>
      </c>
      <c r="F3208" s="2">
        <f t="shared" ca="1" si="357"/>
        <v>13282</v>
      </c>
      <c r="G3208" s="2">
        <f t="shared" ca="1" si="358"/>
        <v>284</v>
      </c>
    </row>
    <row r="3209" spans="1:7" x14ac:dyDescent="0.3">
      <c r="A3209" s="5" t="str">
        <f t="shared" si="352"/>
        <v>New Balance</v>
      </c>
      <c r="B3209" s="5" t="str">
        <f t="shared" si="354"/>
        <v>327</v>
      </c>
      <c r="C3209" s="3">
        <f t="shared" si="353"/>
        <v>45871</v>
      </c>
      <c r="D3209" s="4">
        <f t="shared" ca="1" si="355"/>
        <v>230</v>
      </c>
      <c r="E3209" s="2">
        <f t="shared" ca="1" si="356"/>
        <v>5576</v>
      </c>
      <c r="F3209" s="2">
        <f t="shared" ca="1" si="357"/>
        <v>6370</v>
      </c>
      <c r="G3209" s="2">
        <f t="shared" ca="1" si="358"/>
        <v>432</v>
      </c>
    </row>
    <row r="3210" spans="1:7" x14ac:dyDescent="0.3">
      <c r="A3210" s="5" t="str">
        <f t="shared" si="352"/>
        <v>Reebok</v>
      </c>
      <c r="B3210" s="5" t="str">
        <f t="shared" si="354"/>
        <v>Question Mid</v>
      </c>
      <c r="C3210" s="3">
        <f t="shared" si="353"/>
        <v>45871</v>
      </c>
      <c r="D3210" s="4">
        <f t="shared" ca="1" si="355"/>
        <v>180</v>
      </c>
      <c r="E3210" s="2">
        <f t="shared" ca="1" si="356"/>
        <v>3233</v>
      </c>
      <c r="F3210" s="2">
        <f t="shared" ca="1" si="357"/>
        <v>11587</v>
      </c>
      <c r="G3210" s="2">
        <f t="shared" ca="1" si="358"/>
        <v>864</v>
      </c>
    </row>
    <row r="3211" spans="1:7" x14ac:dyDescent="0.3">
      <c r="A3211" s="5" t="str">
        <f t="shared" si="352"/>
        <v>Nike</v>
      </c>
      <c r="B3211" s="5" t="str">
        <f t="shared" si="354"/>
        <v>Air Max 270</v>
      </c>
      <c r="C3211" s="3">
        <f t="shared" si="353"/>
        <v>45871</v>
      </c>
      <c r="D3211" s="4">
        <f t="shared" ca="1" si="355"/>
        <v>53</v>
      </c>
      <c r="E3211" s="2">
        <f t="shared" ca="1" si="356"/>
        <v>10719</v>
      </c>
      <c r="F3211" s="2">
        <f t="shared" ca="1" si="357"/>
        <v>13492</v>
      </c>
      <c r="G3211" s="2">
        <f t="shared" ca="1" si="358"/>
        <v>417</v>
      </c>
    </row>
    <row r="3212" spans="1:7" x14ac:dyDescent="0.3">
      <c r="A3212" s="5" t="str">
        <f t="shared" si="352"/>
        <v>Adidas</v>
      </c>
      <c r="B3212" s="5" t="str">
        <f t="shared" si="354"/>
        <v>Stan Smith</v>
      </c>
      <c r="C3212" s="3">
        <f t="shared" si="353"/>
        <v>45872</v>
      </c>
      <c r="D3212" s="4">
        <f t="shared" ca="1" si="355"/>
        <v>81</v>
      </c>
      <c r="E3212" s="2">
        <f t="shared" ca="1" si="356"/>
        <v>8440</v>
      </c>
      <c r="F3212" s="2">
        <f t="shared" ca="1" si="357"/>
        <v>34314</v>
      </c>
      <c r="G3212" s="2">
        <f t="shared" ca="1" si="358"/>
        <v>1103</v>
      </c>
    </row>
    <row r="3213" spans="1:7" x14ac:dyDescent="0.3">
      <c r="A3213" s="5" t="str">
        <f t="shared" si="352"/>
        <v>Puma</v>
      </c>
      <c r="B3213" s="5" t="str">
        <f t="shared" si="354"/>
        <v>Cali Dream</v>
      </c>
      <c r="C3213" s="3">
        <f t="shared" si="353"/>
        <v>45872</v>
      </c>
      <c r="D3213" s="4">
        <f t="shared" ca="1" si="355"/>
        <v>185</v>
      </c>
      <c r="E3213" s="2">
        <f t="shared" ca="1" si="356"/>
        <v>10725</v>
      </c>
      <c r="F3213" s="2">
        <f t="shared" ca="1" si="357"/>
        <v>23906</v>
      </c>
      <c r="G3213" s="2">
        <f t="shared" ca="1" si="358"/>
        <v>876</v>
      </c>
    </row>
    <row r="3214" spans="1:7" x14ac:dyDescent="0.3">
      <c r="A3214" s="5" t="str">
        <f t="shared" si="352"/>
        <v>New Balance</v>
      </c>
      <c r="B3214" s="5" t="str">
        <f t="shared" si="354"/>
        <v>9060</v>
      </c>
      <c r="C3214" s="3">
        <f t="shared" si="353"/>
        <v>45872</v>
      </c>
      <c r="D3214" s="4">
        <f t="shared" ca="1" si="355"/>
        <v>247</v>
      </c>
      <c r="E3214" s="2">
        <f t="shared" ca="1" si="356"/>
        <v>10243</v>
      </c>
      <c r="F3214" s="2">
        <f t="shared" ca="1" si="357"/>
        <v>34065</v>
      </c>
      <c r="G3214" s="2">
        <f t="shared" ca="1" si="358"/>
        <v>1996</v>
      </c>
    </row>
    <row r="3215" spans="1:7" x14ac:dyDescent="0.3">
      <c r="A3215" s="5" t="str">
        <f t="shared" si="352"/>
        <v>Reebok</v>
      </c>
      <c r="B3215" s="5" t="str">
        <f t="shared" si="354"/>
        <v>Zig Kinetica</v>
      </c>
      <c r="C3215" s="3">
        <f t="shared" si="353"/>
        <v>45872</v>
      </c>
      <c r="D3215" s="4">
        <f t="shared" ca="1" si="355"/>
        <v>44</v>
      </c>
      <c r="E3215" s="2">
        <f t="shared" ca="1" si="356"/>
        <v>3573</v>
      </c>
      <c r="F3215" s="2">
        <f t="shared" ca="1" si="357"/>
        <v>19486</v>
      </c>
      <c r="G3215" s="2">
        <f t="shared" ca="1" si="358"/>
        <v>569</v>
      </c>
    </row>
    <row r="3216" spans="1:7" x14ac:dyDescent="0.3">
      <c r="A3216" s="5" t="str">
        <f t="shared" si="352"/>
        <v>Nike</v>
      </c>
      <c r="B3216" s="5" t="str">
        <f t="shared" si="354"/>
        <v>Jordan 1</v>
      </c>
      <c r="C3216" s="3">
        <f t="shared" si="353"/>
        <v>45872</v>
      </c>
      <c r="D3216" s="4">
        <f t="shared" ca="1" si="355"/>
        <v>194</v>
      </c>
      <c r="E3216" s="2">
        <f t="shared" ca="1" si="356"/>
        <v>10504</v>
      </c>
      <c r="F3216" s="2">
        <f t="shared" ca="1" si="357"/>
        <v>19348</v>
      </c>
      <c r="G3216" s="2">
        <f t="shared" ca="1" si="358"/>
        <v>1071</v>
      </c>
    </row>
    <row r="3217" spans="1:7" x14ac:dyDescent="0.3">
      <c r="A3217" s="5" t="str">
        <f t="shared" si="352"/>
        <v>Adidas</v>
      </c>
      <c r="B3217" s="5" t="str">
        <f t="shared" si="354"/>
        <v>Ultraboost 23</v>
      </c>
      <c r="C3217" s="3">
        <f t="shared" si="353"/>
        <v>45872</v>
      </c>
      <c r="D3217" s="4">
        <f t="shared" ca="1" si="355"/>
        <v>50</v>
      </c>
      <c r="E3217" s="2">
        <f t="shared" ca="1" si="356"/>
        <v>7496</v>
      </c>
      <c r="F3217" s="2">
        <f t="shared" ca="1" si="357"/>
        <v>13229</v>
      </c>
      <c r="G3217" s="2">
        <f t="shared" ca="1" si="358"/>
        <v>723</v>
      </c>
    </row>
    <row r="3218" spans="1:7" x14ac:dyDescent="0.3">
      <c r="A3218" s="5" t="str">
        <f t="shared" si="352"/>
        <v>Puma</v>
      </c>
      <c r="B3218" s="5" t="str">
        <f t="shared" si="354"/>
        <v>RS-X</v>
      </c>
      <c r="C3218" s="3">
        <f t="shared" si="353"/>
        <v>45872</v>
      </c>
      <c r="D3218" s="4">
        <f t="shared" ca="1" si="355"/>
        <v>156</v>
      </c>
      <c r="E3218" s="2">
        <f t="shared" ca="1" si="356"/>
        <v>11599</v>
      </c>
      <c r="F3218" s="2">
        <f t="shared" ca="1" si="357"/>
        <v>34689</v>
      </c>
      <c r="G3218" s="2">
        <f t="shared" ca="1" si="358"/>
        <v>1382</v>
      </c>
    </row>
    <row r="3219" spans="1:7" x14ac:dyDescent="0.3">
      <c r="A3219" s="5" t="str">
        <f t="shared" si="352"/>
        <v>New Balance</v>
      </c>
      <c r="B3219" s="5" t="str">
        <f t="shared" si="354"/>
        <v>2002R</v>
      </c>
      <c r="C3219" s="3">
        <f t="shared" si="353"/>
        <v>45872</v>
      </c>
      <c r="D3219" s="4">
        <f t="shared" ca="1" si="355"/>
        <v>56</v>
      </c>
      <c r="E3219" s="2">
        <f t="shared" ca="1" si="356"/>
        <v>5743</v>
      </c>
      <c r="F3219" s="2">
        <f t="shared" ca="1" si="357"/>
        <v>19870</v>
      </c>
      <c r="G3219" s="2">
        <f t="shared" ca="1" si="358"/>
        <v>655</v>
      </c>
    </row>
    <row r="3220" spans="1:7" x14ac:dyDescent="0.3">
      <c r="A3220" s="5" t="str">
        <f t="shared" si="352"/>
        <v>Reebok</v>
      </c>
      <c r="B3220" s="5" t="str">
        <f t="shared" si="354"/>
        <v>Instapump Fury</v>
      </c>
      <c r="C3220" s="3">
        <f t="shared" si="353"/>
        <v>45872</v>
      </c>
      <c r="D3220" s="4">
        <f t="shared" ca="1" si="355"/>
        <v>66</v>
      </c>
      <c r="E3220" s="2">
        <f t="shared" ca="1" si="356"/>
        <v>4060</v>
      </c>
      <c r="F3220" s="2">
        <f t="shared" ca="1" si="357"/>
        <v>33224</v>
      </c>
      <c r="G3220" s="2">
        <f t="shared" ca="1" si="358"/>
        <v>1727</v>
      </c>
    </row>
    <row r="3221" spans="1:7" x14ac:dyDescent="0.3">
      <c r="A3221" s="5" t="str">
        <f t="shared" si="352"/>
        <v>Nike</v>
      </c>
      <c r="B3221" s="5" t="str">
        <f t="shared" si="354"/>
        <v>Cortez</v>
      </c>
      <c r="C3221" s="3">
        <f t="shared" si="353"/>
        <v>45872</v>
      </c>
      <c r="D3221" s="4">
        <f t="shared" ca="1" si="355"/>
        <v>26</v>
      </c>
      <c r="E3221" s="2">
        <f t="shared" ca="1" si="356"/>
        <v>8348</v>
      </c>
      <c r="F3221" s="2">
        <f t="shared" ca="1" si="357"/>
        <v>19921</v>
      </c>
      <c r="G3221" s="2">
        <f t="shared" ca="1" si="358"/>
        <v>884</v>
      </c>
    </row>
    <row r="3222" spans="1:7" x14ac:dyDescent="0.3">
      <c r="A3222" s="5" t="str">
        <f t="shared" si="352"/>
        <v>Adidas</v>
      </c>
      <c r="B3222" s="5" t="str">
        <f t="shared" si="354"/>
        <v>NMD S1</v>
      </c>
      <c r="C3222" s="3">
        <f t="shared" si="353"/>
        <v>45872</v>
      </c>
      <c r="D3222" s="4">
        <f t="shared" ca="1" si="355"/>
        <v>193</v>
      </c>
      <c r="E3222" s="2">
        <f t="shared" ca="1" si="356"/>
        <v>9366</v>
      </c>
      <c r="F3222" s="2">
        <f t="shared" ca="1" si="357"/>
        <v>16806</v>
      </c>
      <c r="G3222" s="2">
        <f t="shared" ca="1" si="358"/>
        <v>596</v>
      </c>
    </row>
    <row r="3223" spans="1:7" x14ac:dyDescent="0.3">
      <c r="A3223" s="5" t="str">
        <f t="shared" si="352"/>
        <v>Puma</v>
      </c>
      <c r="B3223" s="5" t="str">
        <f t="shared" si="354"/>
        <v>Suede Classic</v>
      </c>
      <c r="C3223" s="3">
        <f t="shared" si="353"/>
        <v>45872</v>
      </c>
      <c r="D3223" s="4">
        <f t="shared" ca="1" si="355"/>
        <v>233</v>
      </c>
      <c r="E3223" s="2">
        <f t="shared" ca="1" si="356"/>
        <v>9728</v>
      </c>
      <c r="F3223" s="2">
        <f t="shared" ca="1" si="357"/>
        <v>27141</v>
      </c>
      <c r="G3223" s="2">
        <f t="shared" ca="1" si="358"/>
        <v>836</v>
      </c>
    </row>
    <row r="3224" spans="1:7" x14ac:dyDescent="0.3">
      <c r="A3224" s="5" t="str">
        <f t="shared" si="352"/>
        <v>New Balance</v>
      </c>
      <c r="B3224" s="5" t="str">
        <f t="shared" si="354"/>
        <v>990v6</v>
      </c>
      <c r="C3224" s="3">
        <f t="shared" si="353"/>
        <v>45872</v>
      </c>
      <c r="D3224" s="4">
        <f t="shared" ca="1" si="355"/>
        <v>106</v>
      </c>
      <c r="E3224" s="2">
        <f t="shared" ca="1" si="356"/>
        <v>2948</v>
      </c>
      <c r="F3224" s="2">
        <f t="shared" ca="1" si="357"/>
        <v>7180</v>
      </c>
      <c r="G3224" s="2">
        <f t="shared" ca="1" si="358"/>
        <v>187</v>
      </c>
    </row>
    <row r="3225" spans="1:7" x14ac:dyDescent="0.3">
      <c r="A3225" s="5" t="str">
        <f t="shared" si="352"/>
        <v>Reebok</v>
      </c>
      <c r="B3225" s="5" t="str">
        <f t="shared" si="354"/>
        <v>Nano X3</v>
      </c>
      <c r="C3225" s="3">
        <f t="shared" si="353"/>
        <v>45872</v>
      </c>
      <c r="D3225" s="4">
        <f t="shared" ca="1" si="355"/>
        <v>96</v>
      </c>
      <c r="E3225" s="2">
        <f t="shared" ca="1" si="356"/>
        <v>5759</v>
      </c>
      <c r="F3225" s="2">
        <f t="shared" ca="1" si="357"/>
        <v>11736</v>
      </c>
      <c r="G3225" s="2">
        <f t="shared" ca="1" si="358"/>
        <v>720</v>
      </c>
    </row>
    <row r="3226" spans="1:7" x14ac:dyDescent="0.3">
      <c r="A3226" s="5" t="str">
        <f t="shared" si="352"/>
        <v>Nike</v>
      </c>
      <c r="B3226" s="5" t="str">
        <f t="shared" si="354"/>
        <v>Vaporfly 3</v>
      </c>
      <c r="C3226" s="3">
        <f t="shared" si="353"/>
        <v>45872</v>
      </c>
      <c r="D3226" s="4">
        <f t="shared" ca="1" si="355"/>
        <v>125</v>
      </c>
      <c r="E3226" s="2">
        <f t="shared" ca="1" si="356"/>
        <v>3165</v>
      </c>
      <c r="F3226" s="2">
        <f t="shared" ca="1" si="357"/>
        <v>9078</v>
      </c>
      <c r="G3226" s="2">
        <f t="shared" ca="1" si="358"/>
        <v>408</v>
      </c>
    </row>
    <row r="3227" spans="1:7" x14ac:dyDescent="0.3">
      <c r="A3227" s="5" t="str">
        <f t="shared" si="352"/>
        <v>Adidas</v>
      </c>
      <c r="B3227" s="5" t="str">
        <f t="shared" si="354"/>
        <v>Samba</v>
      </c>
      <c r="C3227" s="3">
        <f t="shared" si="353"/>
        <v>45873</v>
      </c>
      <c r="D3227" s="4">
        <f t="shared" ca="1" si="355"/>
        <v>177</v>
      </c>
      <c r="E3227" s="2">
        <f t="shared" ca="1" si="356"/>
        <v>4336</v>
      </c>
      <c r="F3227" s="2">
        <f t="shared" ca="1" si="357"/>
        <v>34343</v>
      </c>
      <c r="G3227" s="2">
        <f t="shared" ca="1" si="358"/>
        <v>871</v>
      </c>
    </row>
    <row r="3228" spans="1:7" x14ac:dyDescent="0.3">
      <c r="A3228" s="5" t="str">
        <f t="shared" si="352"/>
        <v>Puma</v>
      </c>
      <c r="B3228" s="5" t="str">
        <f t="shared" si="354"/>
        <v>Mayze</v>
      </c>
      <c r="C3228" s="3">
        <f t="shared" si="353"/>
        <v>45873</v>
      </c>
      <c r="D3228" s="4">
        <f t="shared" ca="1" si="355"/>
        <v>229</v>
      </c>
      <c r="E3228" s="2">
        <f t="shared" ca="1" si="356"/>
        <v>3510</v>
      </c>
      <c r="F3228" s="2">
        <f t="shared" ca="1" si="357"/>
        <v>15690</v>
      </c>
      <c r="G3228" s="2">
        <f t="shared" ca="1" si="358"/>
        <v>405</v>
      </c>
    </row>
    <row r="3229" spans="1:7" x14ac:dyDescent="0.3">
      <c r="A3229" s="5" t="str">
        <f t="shared" si="352"/>
        <v>New Balance</v>
      </c>
      <c r="B3229" s="5" t="str">
        <f t="shared" si="354"/>
        <v>574 Core</v>
      </c>
      <c r="C3229" s="3">
        <f t="shared" si="353"/>
        <v>45873</v>
      </c>
      <c r="D3229" s="4">
        <f t="shared" ca="1" si="355"/>
        <v>152</v>
      </c>
      <c r="E3229" s="2">
        <f t="shared" ca="1" si="356"/>
        <v>1962</v>
      </c>
      <c r="F3229" s="2">
        <f t="shared" ca="1" si="357"/>
        <v>30589</v>
      </c>
      <c r="G3229" s="2">
        <f t="shared" ca="1" si="358"/>
        <v>1850</v>
      </c>
    </row>
    <row r="3230" spans="1:7" x14ac:dyDescent="0.3">
      <c r="A3230" s="5" t="str">
        <f t="shared" si="352"/>
        <v>Reebok</v>
      </c>
      <c r="B3230" s="5" t="str">
        <f t="shared" si="354"/>
        <v>Club C 85</v>
      </c>
      <c r="C3230" s="3">
        <f t="shared" si="353"/>
        <v>45873</v>
      </c>
      <c r="D3230" s="4">
        <f t="shared" ca="1" si="355"/>
        <v>73</v>
      </c>
      <c r="E3230" s="2">
        <f t="shared" ca="1" si="356"/>
        <v>9105</v>
      </c>
      <c r="F3230" s="2">
        <f t="shared" ca="1" si="357"/>
        <v>28392</v>
      </c>
      <c r="G3230" s="2">
        <f t="shared" ca="1" si="358"/>
        <v>909</v>
      </c>
    </row>
    <row r="3231" spans="1:7" x14ac:dyDescent="0.3">
      <c r="A3231" s="5" t="str">
        <f t="shared" si="352"/>
        <v>Nike</v>
      </c>
      <c r="B3231" s="5" t="str">
        <f t="shared" si="354"/>
        <v>Pegasus 40</v>
      </c>
      <c r="C3231" s="3">
        <f t="shared" si="353"/>
        <v>45873</v>
      </c>
      <c r="D3231" s="4">
        <f t="shared" ca="1" si="355"/>
        <v>61</v>
      </c>
      <c r="E3231" s="2">
        <f t="shared" ca="1" si="356"/>
        <v>4443</v>
      </c>
      <c r="F3231" s="2">
        <f t="shared" ca="1" si="357"/>
        <v>8456</v>
      </c>
      <c r="G3231" s="2">
        <f t="shared" ca="1" si="358"/>
        <v>435</v>
      </c>
    </row>
    <row r="3232" spans="1:7" x14ac:dyDescent="0.3">
      <c r="A3232" s="5" t="str">
        <f t="shared" si="352"/>
        <v>Adidas</v>
      </c>
      <c r="B3232" s="5" t="str">
        <f t="shared" si="354"/>
        <v>Gazelle</v>
      </c>
      <c r="C3232" s="3">
        <f t="shared" si="353"/>
        <v>45873</v>
      </c>
      <c r="D3232" s="4">
        <f t="shared" ca="1" si="355"/>
        <v>141</v>
      </c>
      <c r="E3232" s="2">
        <f t="shared" ca="1" si="356"/>
        <v>6557</v>
      </c>
      <c r="F3232" s="2">
        <f t="shared" ca="1" si="357"/>
        <v>30774</v>
      </c>
      <c r="G3232" s="2">
        <f t="shared" ca="1" si="358"/>
        <v>671</v>
      </c>
    </row>
    <row r="3233" spans="1:7" x14ac:dyDescent="0.3">
      <c r="A3233" s="5" t="str">
        <f t="shared" si="352"/>
        <v>Puma</v>
      </c>
      <c r="B3233" s="5" t="str">
        <f t="shared" si="354"/>
        <v>Slipstream</v>
      </c>
      <c r="C3233" s="3">
        <f t="shared" si="353"/>
        <v>45873</v>
      </c>
      <c r="D3233" s="4">
        <f t="shared" ca="1" si="355"/>
        <v>66</v>
      </c>
      <c r="E3233" s="2">
        <f t="shared" ca="1" si="356"/>
        <v>9581</v>
      </c>
      <c r="F3233" s="2">
        <f t="shared" ca="1" si="357"/>
        <v>23210</v>
      </c>
      <c r="G3233" s="2">
        <f t="shared" ca="1" si="358"/>
        <v>707</v>
      </c>
    </row>
    <row r="3234" spans="1:7" x14ac:dyDescent="0.3">
      <c r="A3234" s="5" t="str">
        <f t="shared" si="352"/>
        <v>New Balance</v>
      </c>
      <c r="B3234" s="5" t="str">
        <f t="shared" si="354"/>
        <v>550</v>
      </c>
      <c r="C3234" s="3">
        <f t="shared" si="353"/>
        <v>45873</v>
      </c>
      <c r="D3234" s="4">
        <f t="shared" ca="1" si="355"/>
        <v>56</v>
      </c>
      <c r="E3234" s="2">
        <f t="shared" ca="1" si="356"/>
        <v>5090</v>
      </c>
      <c r="F3234" s="2">
        <f t="shared" ca="1" si="357"/>
        <v>17439</v>
      </c>
      <c r="G3234" s="2">
        <f t="shared" ca="1" si="358"/>
        <v>1143</v>
      </c>
    </row>
    <row r="3235" spans="1:7" x14ac:dyDescent="0.3">
      <c r="A3235" s="5" t="str">
        <f t="shared" si="352"/>
        <v>Reebok</v>
      </c>
      <c r="B3235" s="5" t="str">
        <f t="shared" si="354"/>
        <v>Classic Leather</v>
      </c>
      <c r="C3235" s="3">
        <f t="shared" si="353"/>
        <v>45873</v>
      </c>
      <c r="D3235" s="4">
        <f t="shared" ca="1" si="355"/>
        <v>248</v>
      </c>
      <c r="E3235" s="2">
        <f t="shared" ca="1" si="356"/>
        <v>8290</v>
      </c>
      <c r="F3235" s="2">
        <f t="shared" ca="1" si="357"/>
        <v>9294</v>
      </c>
      <c r="G3235" s="2">
        <f t="shared" ca="1" si="358"/>
        <v>236</v>
      </c>
    </row>
    <row r="3236" spans="1:7" x14ac:dyDescent="0.3">
      <c r="A3236" s="5" t="str">
        <f t="shared" si="352"/>
        <v>Nike</v>
      </c>
      <c r="B3236" s="5" t="str">
        <f t="shared" si="354"/>
        <v>Air Force 1</v>
      </c>
      <c r="C3236" s="3">
        <f t="shared" si="353"/>
        <v>45873</v>
      </c>
      <c r="D3236" s="4">
        <f t="shared" ca="1" si="355"/>
        <v>188</v>
      </c>
      <c r="E3236" s="2">
        <f t="shared" ca="1" si="356"/>
        <v>10741</v>
      </c>
      <c r="F3236" s="2">
        <f t="shared" ca="1" si="357"/>
        <v>30973</v>
      </c>
      <c r="G3236" s="2">
        <f t="shared" ca="1" si="358"/>
        <v>884</v>
      </c>
    </row>
    <row r="3237" spans="1:7" x14ac:dyDescent="0.3">
      <c r="A3237" s="5" t="str">
        <f t="shared" si="352"/>
        <v>Adidas</v>
      </c>
      <c r="B3237" s="5" t="str">
        <f t="shared" si="354"/>
        <v>Superstar</v>
      </c>
      <c r="C3237" s="3">
        <f t="shared" si="353"/>
        <v>45873</v>
      </c>
      <c r="D3237" s="4">
        <f t="shared" ca="1" si="355"/>
        <v>98</v>
      </c>
      <c r="E3237" s="2">
        <f t="shared" ca="1" si="356"/>
        <v>10715</v>
      </c>
      <c r="F3237" s="2">
        <f t="shared" ca="1" si="357"/>
        <v>22089</v>
      </c>
      <c r="G3237" s="2">
        <f t="shared" ca="1" si="358"/>
        <v>1420</v>
      </c>
    </row>
    <row r="3238" spans="1:7" x14ac:dyDescent="0.3">
      <c r="A3238" s="5" t="str">
        <f t="shared" si="352"/>
        <v>Puma</v>
      </c>
      <c r="B3238" s="5" t="str">
        <f t="shared" si="354"/>
        <v>Rider Vintage</v>
      </c>
      <c r="C3238" s="3">
        <f t="shared" si="353"/>
        <v>45873</v>
      </c>
      <c r="D3238" s="4">
        <f t="shared" ca="1" si="355"/>
        <v>67</v>
      </c>
      <c r="E3238" s="2">
        <f t="shared" ca="1" si="356"/>
        <v>10895</v>
      </c>
      <c r="F3238" s="2">
        <f t="shared" ca="1" si="357"/>
        <v>20328</v>
      </c>
      <c r="G3238" s="2">
        <f t="shared" ca="1" si="358"/>
        <v>1187</v>
      </c>
    </row>
    <row r="3239" spans="1:7" x14ac:dyDescent="0.3">
      <c r="A3239" s="5" t="str">
        <f t="shared" si="352"/>
        <v>New Balance</v>
      </c>
      <c r="B3239" s="5" t="str">
        <f t="shared" si="354"/>
        <v>327</v>
      </c>
      <c r="C3239" s="3">
        <f t="shared" si="353"/>
        <v>45873</v>
      </c>
      <c r="D3239" s="4">
        <f t="shared" ca="1" si="355"/>
        <v>239</v>
      </c>
      <c r="E3239" s="2">
        <f t="shared" ca="1" si="356"/>
        <v>9416</v>
      </c>
      <c r="F3239" s="2">
        <f t="shared" ca="1" si="357"/>
        <v>14191</v>
      </c>
      <c r="G3239" s="2">
        <f t="shared" ca="1" si="358"/>
        <v>887</v>
      </c>
    </row>
    <row r="3240" spans="1:7" x14ac:dyDescent="0.3">
      <c r="A3240" s="5" t="str">
        <f t="shared" si="352"/>
        <v>Reebok</v>
      </c>
      <c r="B3240" s="5" t="str">
        <f t="shared" si="354"/>
        <v>Question Mid</v>
      </c>
      <c r="C3240" s="3">
        <f t="shared" si="353"/>
        <v>45873</v>
      </c>
      <c r="D3240" s="4">
        <f t="shared" ca="1" si="355"/>
        <v>156</v>
      </c>
      <c r="E3240" s="2">
        <f t="shared" ca="1" si="356"/>
        <v>10266</v>
      </c>
      <c r="F3240" s="2">
        <f t="shared" ca="1" si="357"/>
        <v>11507</v>
      </c>
      <c r="G3240" s="2">
        <f t="shared" ca="1" si="358"/>
        <v>518</v>
      </c>
    </row>
    <row r="3241" spans="1:7" x14ac:dyDescent="0.3">
      <c r="A3241" s="5" t="str">
        <f t="shared" si="352"/>
        <v>Nike</v>
      </c>
      <c r="B3241" s="5" t="str">
        <f t="shared" si="354"/>
        <v>Air Max 270</v>
      </c>
      <c r="C3241" s="3">
        <f t="shared" si="353"/>
        <v>45873</v>
      </c>
      <c r="D3241" s="4">
        <f t="shared" ca="1" si="355"/>
        <v>187</v>
      </c>
      <c r="E3241" s="2">
        <f t="shared" ca="1" si="356"/>
        <v>2531</v>
      </c>
      <c r="F3241" s="2">
        <f t="shared" ca="1" si="357"/>
        <v>28810</v>
      </c>
      <c r="G3241" s="2">
        <f t="shared" ca="1" si="358"/>
        <v>1465</v>
      </c>
    </row>
    <row r="3242" spans="1:7" x14ac:dyDescent="0.3">
      <c r="A3242" s="5" t="str">
        <f t="shared" si="352"/>
        <v>Adidas</v>
      </c>
      <c r="B3242" s="5" t="str">
        <f t="shared" si="354"/>
        <v>Stan Smith</v>
      </c>
      <c r="C3242" s="3">
        <f t="shared" si="353"/>
        <v>45874</v>
      </c>
      <c r="D3242" s="4">
        <f t="shared" ca="1" si="355"/>
        <v>165</v>
      </c>
      <c r="E3242" s="2">
        <f t="shared" ca="1" si="356"/>
        <v>9463</v>
      </c>
      <c r="F3242" s="2">
        <f t="shared" ca="1" si="357"/>
        <v>5289</v>
      </c>
      <c r="G3242" s="2">
        <f t="shared" ca="1" si="358"/>
        <v>150</v>
      </c>
    </row>
    <row r="3243" spans="1:7" x14ac:dyDescent="0.3">
      <c r="A3243" s="5" t="str">
        <f t="shared" ref="A3243:A3306" si="359">CHOOSE(MOD(ROW(A3242),5)+1,"Nike","Adidas","Puma","New Balance","Reebok")</f>
        <v>Puma</v>
      </c>
      <c r="B3243" s="5" t="str">
        <f t="shared" si="354"/>
        <v>Cali Dream</v>
      </c>
      <c r="C3243" s="3">
        <f t="shared" ref="C3243:C3306" si="360">DATE(2025,1,1)+INT((ROW(A3243)-2)/15)</f>
        <v>45874</v>
      </c>
      <c r="D3243" s="4">
        <f t="shared" ca="1" si="355"/>
        <v>78</v>
      </c>
      <c r="E3243" s="2">
        <f t="shared" ca="1" si="356"/>
        <v>8301</v>
      </c>
      <c r="F3243" s="2">
        <f t="shared" ca="1" si="357"/>
        <v>8864</v>
      </c>
      <c r="G3243" s="2">
        <f t="shared" ca="1" si="358"/>
        <v>397</v>
      </c>
    </row>
    <row r="3244" spans="1:7" x14ac:dyDescent="0.3">
      <c r="A3244" s="5" t="str">
        <f t="shared" si="359"/>
        <v>New Balance</v>
      </c>
      <c r="B3244" s="5" t="str">
        <f t="shared" si="354"/>
        <v>9060</v>
      </c>
      <c r="C3244" s="3">
        <f t="shared" si="360"/>
        <v>45874</v>
      </c>
      <c r="D3244" s="4">
        <f t="shared" ca="1" si="355"/>
        <v>59</v>
      </c>
      <c r="E3244" s="2">
        <f t="shared" ca="1" si="356"/>
        <v>5514</v>
      </c>
      <c r="F3244" s="2">
        <f t="shared" ca="1" si="357"/>
        <v>12585</v>
      </c>
      <c r="G3244" s="2">
        <f t="shared" ca="1" si="358"/>
        <v>263</v>
      </c>
    </row>
    <row r="3245" spans="1:7" x14ac:dyDescent="0.3">
      <c r="A3245" s="5" t="str">
        <f t="shared" si="359"/>
        <v>Reebok</v>
      </c>
      <c r="B3245" s="5" t="str">
        <f t="shared" si="354"/>
        <v>Zig Kinetica</v>
      </c>
      <c r="C3245" s="3">
        <f t="shared" si="360"/>
        <v>45874</v>
      </c>
      <c r="D3245" s="4">
        <f t="shared" ca="1" si="355"/>
        <v>86</v>
      </c>
      <c r="E3245" s="2">
        <f t="shared" ca="1" si="356"/>
        <v>6090</v>
      </c>
      <c r="F3245" s="2">
        <f t="shared" ca="1" si="357"/>
        <v>7524</v>
      </c>
      <c r="G3245" s="2">
        <f t="shared" ca="1" si="358"/>
        <v>338</v>
      </c>
    </row>
    <row r="3246" spans="1:7" x14ac:dyDescent="0.3">
      <c r="A3246" s="5" t="str">
        <f t="shared" si="359"/>
        <v>Nike</v>
      </c>
      <c r="B3246" s="5" t="str">
        <f t="shared" si="354"/>
        <v>Jordan 1</v>
      </c>
      <c r="C3246" s="3">
        <f t="shared" si="360"/>
        <v>45874</v>
      </c>
      <c r="D3246" s="4">
        <f t="shared" ca="1" si="355"/>
        <v>170</v>
      </c>
      <c r="E3246" s="2">
        <f t="shared" ca="1" si="356"/>
        <v>10977</v>
      </c>
      <c r="F3246" s="2">
        <f t="shared" ca="1" si="357"/>
        <v>26306</v>
      </c>
      <c r="G3246" s="2">
        <f t="shared" ca="1" si="358"/>
        <v>1923</v>
      </c>
    </row>
    <row r="3247" spans="1:7" x14ac:dyDescent="0.3">
      <c r="A3247" s="5" t="str">
        <f t="shared" si="359"/>
        <v>Adidas</v>
      </c>
      <c r="B3247" s="5" t="str">
        <f t="shared" si="354"/>
        <v>Ultraboost 23</v>
      </c>
      <c r="C3247" s="3">
        <f t="shared" si="360"/>
        <v>45874</v>
      </c>
      <c r="D3247" s="4">
        <f t="shared" ca="1" si="355"/>
        <v>237</v>
      </c>
      <c r="E3247" s="2">
        <f t="shared" ca="1" si="356"/>
        <v>1504</v>
      </c>
      <c r="F3247" s="2">
        <f t="shared" ca="1" si="357"/>
        <v>29702</v>
      </c>
      <c r="G3247" s="2">
        <f t="shared" ca="1" si="358"/>
        <v>944</v>
      </c>
    </row>
    <row r="3248" spans="1:7" x14ac:dyDescent="0.3">
      <c r="A3248" s="5" t="str">
        <f t="shared" si="359"/>
        <v>Puma</v>
      </c>
      <c r="B3248" s="5" t="str">
        <f t="shared" si="354"/>
        <v>RS-X</v>
      </c>
      <c r="C3248" s="3">
        <f t="shared" si="360"/>
        <v>45874</v>
      </c>
      <c r="D3248" s="4">
        <f t="shared" ca="1" si="355"/>
        <v>84</v>
      </c>
      <c r="E3248" s="2">
        <f t="shared" ca="1" si="356"/>
        <v>3975</v>
      </c>
      <c r="F3248" s="2">
        <f t="shared" ca="1" si="357"/>
        <v>16256</v>
      </c>
      <c r="G3248" s="2">
        <f t="shared" ca="1" si="358"/>
        <v>470</v>
      </c>
    </row>
    <row r="3249" spans="1:7" x14ac:dyDescent="0.3">
      <c r="A3249" s="5" t="str">
        <f t="shared" si="359"/>
        <v>New Balance</v>
      </c>
      <c r="B3249" s="5" t="str">
        <f t="shared" si="354"/>
        <v>2002R</v>
      </c>
      <c r="C3249" s="3">
        <f t="shared" si="360"/>
        <v>45874</v>
      </c>
      <c r="D3249" s="4">
        <f t="shared" ca="1" si="355"/>
        <v>110</v>
      </c>
      <c r="E3249" s="2">
        <f t="shared" ca="1" si="356"/>
        <v>10567</v>
      </c>
      <c r="F3249" s="2">
        <f t="shared" ca="1" si="357"/>
        <v>15514</v>
      </c>
      <c r="G3249" s="2">
        <f t="shared" ca="1" si="358"/>
        <v>850</v>
      </c>
    </row>
    <row r="3250" spans="1:7" x14ac:dyDescent="0.3">
      <c r="A3250" s="5" t="str">
        <f t="shared" si="359"/>
        <v>Reebok</v>
      </c>
      <c r="B3250" s="5" t="str">
        <f t="shared" si="354"/>
        <v>Instapump Fury</v>
      </c>
      <c r="C3250" s="3">
        <f t="shared" si="360"/>
        <v>45874</v>
      </c>
      <c r="D3250" s="4">
        <f t="shared" ca="1" si="355"/>
        <v>148</v>
      </c>
      <c r="E3250" s="2">
        <f t="shared" ca="1" si="356"/>
        <v>10889</v>
      </c>
      <c r="F3250" s="2">
        <f t="shared" ca="1" si="357"/>
        <v>28647</v>
      </c>
      <c r="G3250" s="2">
        <f t="shared" ca="1" si="358"/>
        <v>1256</v>
      </c>
    </row>
    <row r="3251" spans="1:7" x14ac:dyDescent="0.3">
      <c r="A3251" s="5" t="str">
        <f t="shared" si="359"/>
        <v>Nike</v>
      </c>
      <c r="B3251" s="5" t="str">
        <f t="shared" si="354"/>
        <v>Cortez</v>
      </c>
      <c r="C3251" s="3">
        <f t="shared" si="360"/>
        <v>45874</v>
      </c>
      <c r="D3251" s="4">
        <f t="shared" ca="1" si="355"/>
        <v>123</v>
      </c>
      <c r="E3251" s="2">
        <f t="shared" ca="1" si="356"/>
        <v>9841</v>
      </c>
      <c r="F3251" s="2">
        <f t="shared" ca="1" si="357"/>
        <v>32534</v>
      </c>
      <c r="G3251" s="2">
        <f t="shared" ca="1" si="358"/>
        <v>1596</v>
      </c>
    </row>
    <row r="3252" spans="1:7" x14ac:dyDescent="0.3">
      <c r="A3252" s="5" t="str">
        <f t="shared" si="359"/>
        <v>Adidas</v>
      </c>
      <c r="B3252" s="5" t="str">
        <f t="shared" si="354"/>
        <v>NMD S1</v>
      </c>
      <c r="C3252" s="3">
        <f t="shared" si="360"/>
        <v>45874</v>
      </c>
      <c r="D3252" s="4">
        <f t="shared" ca="1" si="355"/>
        <v>122</v>
      </c>
      <c r="E3252" s="2">
        <f t="shared" ca="1" si="356"/>
        <v>11519</v>
      </c>
      <c r="F3252" s="2">
        <f t="shared" ca="1" si="357"/>
        <v>7054</v>
      </c>
      <c r="G3252" s="2">
        <f t="shared" ca="1" si="358"/>
        <v>481</v>
      </c>
    </row>
    <row r="3253" spans="1:7" x14ac:dyDescent="0.3">
      <c r="A3253" s="5" t="str">
        <f t="shared" si="359"/>
        <v>Puma</v>
      </c>
      <c r="B3253" s="5" t="str">
        <f t="shared" si="354"/>
        <v>Suede Classic</v>
      </c>
      <c r="C3253" s="3">
        <f t="shared" si="360"/>
        <v>45874</v>
      </c>
      <c r="D3253" s="4">
        <f t="shared" ca="1" si="355"/>
        <v>108</v>
      </c>
      <c r="E3253" s="2">
        <f t="shared" ca="1" si="356"/>
        <v>1817</v>
      </c>
      <c r="F3253" s="2">
        <f t="shared" ca="1" si="357"/>
        <v>29998</v>
      </c>
      <c r="G3253" s="2">
        <f t="shared" ca="1" si="358"/>
        <v>1548</v>
      </c>
    </row>
    <row r="3254" spans="1:7" x14ac:dyDescent="0.3">
      <c r="A3254" s="5" t="str">
        <f t="shared" si="359"/>
        <v>New Balance</v>
      </c>
      <c r="B3254" s="5" t="str">
        <f t="shared" si="354"/>
        <v>990v6</v>
      </c>
      <c r="C3254" s="3">
        <f t="shared" si="360"/>
        <v>45874</v>
      </c>
      <c r="D3254" s="4">
        <f t="shared" ca="1" si="355"/>
        <v>128</v>
      </c>
      <c r="E3254" s="2">
        <f t="shared" ca="1" si="356"/>
        <v>11017</v>
      </c>
      <c r="F3254" s="2">
        <f t="shared" ca="1" si="357"/>
        <v>25312</v>
      </c>
      <c r="G3254" s="2">
        <f t="shared" ca="1" si="358"/>
        <v>1255</v>
      </c>
    </row>
    <row r="3255" spans="1:7" x14ac:dyDescent="0.3">
      <c r="A3255" s="5" t="str">
        <f t="shared" si="359"/>
        <v>Reebok</v>
      </c>
      <c r="B3255" s="5" t="str">
        <f t="shared" si="354"/>
        <v>Nano X3</v>
      </c>
      <c r="C3255" s="3">
        <f t="shared" si="360"/>
        <v>45874</v>
      </c>
      <c r="D3255" s="4">
        <f t="shared" ca="1" si="355"/>
        <v>32</v>
      </c>
      <c r="E3255" s="2">
        <f t="shared" ca="1" si="356"/>
        <v>8089</v>
      </c>
      <c r="F3255" s="2">
        <f t="shared" ca="1" si="357"/>
        <v>7799</v>
      </c>
      <c r="G3255" s="2">
        <f t="shared" ca="1" si="358"/>
        <v>274</v>
      </c>
    </row>
    <row r="3256" spans="1:7" x14ac:dyDescent="0.3">
      <c r="A3256" s="5" t="str">
        <f t="shared" si="359"/>
        <v>Nike</v>
      </c>
      <c r="B3256" s="5" t="str">
        <f t="shared" si="354"/>
        <v>Vaporfly 3</v>
      </c>
      <c r="C3256" s="3">
        <f t="shared" si="360"/>
        <v>45874</v>
      </c>
      <c r="D3256" s="4">
        <f t="shared" ca="1" si="355"/>
        <v>40</v>
      </c>
      <c r="E3256" s="2">
        <f t="shared" ca="1" si="356"/>
        <v>9372</v>
      </c>
      <c r="F3256" s="2">
        <f t="shared" ca="1" si="357"/>
        <v>27349</v>
      </c>
      <c r="G3256" s="2">
        <f t="shared" ca="1" si="358"/>
        <v>1486</v>
      </c>
    </row>
    <row r="3257" spans="1:7" x14ac:dyDescent="0.3">
      <c r="A3257" s="5" t="str">
        <f t="shared" si="359"/>
        <v>Adidas</v>
      </c>
      <c r="B3257" s="5" t="str">
        <f t="shared" si="354"/>
        <v>Samba</v>
      </c>
      <c r="C3257" s="3">
        <f t="shared" si="360"/>
        <v>45875</v>
      </c>
      <c r="D3257" s="4">
        <f t="shared" ca="1" si="355"/>
        <v>228</v>
      </c>
      <c r="E3257" s="2">
        <f t="shared" ca="1" si="356"/>
        <v>8789</v>
      </c>
      <c r="F3257" s="2">
        <f t="shared" ca="1" si="357"/>
        <v>34511</v>
      </c>
      <c r="G3257" s="2">
        <f t="shared" ca="1" si="358"/>
        <v>1699</v>
      </c>
    </row>
    <row r="3258" spans="1:7" x14ac:dyDescent="0.3">
      <c r="A3258" s="5" t="str">
        <f t="shared" si="359"/>
        <v>Puma</v>
      </c>
      <c r="B3258" s="5" t="str">
        <f t="shared" si="354"/>
        <v>Mayze</v>
      </c>
      <c r="C3258" s="3">
        <f t="shared" si="360"/>
        <v>45875</v>
      </c>
      <c r="D3258" s="4">
        <f t="shared" ca="1" si="355"/>
        <v>177</v>
      </c>
      <c r="E3258" s="2">
        <f t="shared" ca="1" si="356"/>
        <v>5764</v>
      </c>
      <c r="F3258" s="2">
        <f t="shared" ca="1" si="357"/>
        <v>31864</v>
      </c>
      <c r="G3258" s="2">
        <f t="shared" ca="1" si="358"/>
        <v>2220</v>
      </c>
    </row>
    <row r="3259" spans="1:7" x14ac:dyDescent="0.3">
      <c r="A3259" s="5" t="str">
        <f t="shared" si="359"/>
        <v>New Balance</v>
      </c>
      <c r="B3259" s="5" t="str">
        <f t="shared" si="354"/>
        <v>574 Core</v>
      </c>
      <c r="C3259" s="3">
        <f t="shared" si="360"/>
        <v>45875</v>
      </c>
      <c r="D3259" s="4">
        <f t="shared" ca="1" si="355"/>
        <v>169</v>
      </c>
      <c r="E3259" s="2">
        <f t="shared" ca="1" si="356"/>
        <v>8836</v>
      </c>
      <c r="F3259" s="2">
        <f t="shared" ca="1" si="357"/>
        <v>6536</v>
      </c>
      <c r="G3259" s="2">
        <f t="shared" ca="1" si="358"/>
        <v>505</v>
      </c>
    </row>
    <row r="3260" spans="1:7" x14ac:dyDescent="0.3">
      <c r="A3260" s="5" t="str">
        <f t="shared" si="359"/>
        <v>Reebok</v>
      </c>
      <c r="B3260" s="5" t="str">
        <f t="shared" si="354"/>
        <v>Club C 85</v>
      </c>
      <c r="C3260" s="3">
        <f t="shared" si="360"/>
        <v>45875</v>
      </c>
      <c r="D3260" s="4">
        <f t="shared" ca="1" si="355"/>
        <v>60</v>
      </c>
      <c r="E3260" s="2">
        <f t="shared" ca="1" si="356"/>
        <v>3195</v>
      </c>
      <c r="F3260" s="2">
        <f t="shared" ca="1" si="357"/>
        <v>27498</v>
      </c>
      <c r="G3260" s="2">
        <f t="shared" ca="1" si="358"/>
        <v>837</v>
      </c>
    </row>
    <row r="3261" spans="1:7" x14ac:dyDescent="0.3">
      <c r="A3261" s="5" t="str">
        <f t="shared" si="359"/>
        <v>Nike</v>
      </c>
      <c r="B3261" s="5" t="str">
        <f t="shared" si="354"/>
        <v>Pegasus 40</v>
      </c>
      <c r="C3261" s="3">
        <f t="shared" si="360"/>
        <v>45875</v>
      </c>
      <c r="D3261" s="4">
        <f t="shared" ca="1" si="355"/>
        <v>138</v>
      </c>
      <c r="E3261" s="2">
        <f t="shared" ca="1" si="356"/>
        <v>8143</v>
      </c>
      <c r="F3261" s="2">
        <f t="shared" ca="1" si="357"/>
        <v>34624</v>
      </c>
      <c r="G3261" s="2">
        <f t="shared" ca="1" si="358"/>
        <v>1414</v>
      </c>
    </row>
    <row r="3262" spans="1:7" x14ac:dyDescent="0.3">
      <c r="A3262" s="5" t="str">
        <f t="shared" si="359"/>
        <v>Adidas</v>
      </c>
      <c r="B3262" s="5" t="str">
        <f t="shared" si="354"/>
        <v>Gazelle</v>
      </c>
      <c r="C3262" s="3">
        <f t="shared" si="360"/>
        <v>45875</v>
      </c>
      <c r="D3262" s="4">
        <f t="shared" ca="1" si="355"/>
        <v>112</v>
      </c>
      <c r="E3262" s="2">
        <f t="shared" ca="1" si="356"/>
        <v>2321</v>
      </c>
      <c r="F3262" s="2">
        <f t="shared" ca="1" si="357"/>
        <v>29861</v>
      </c>
      <c r="G3262" s="2">
        <f t="shared" ca="1" si="358"/>
        <v>1780</v>
      </c>
    </row>
    <row r="3263" spans="1:7" x14ac:dyDescent="0.3">
      <c r="A3263" s="5" t="str">
        <f t="shared" si="359"/>
        <v>Puma</v>
      </c>
      <c r="B3263" s="5" t="str">
        <f t="shared" si="354"/>
        <v>Slipstream</v>
      </c>
      <c r="C3263" s="3">
        <f t="shared" si="360"/>
        <v>45875</v>
      </c>
      <c r="D3263" s="4">
        <f t="shared" ca="1" si="355"/>
        <v>129</v>
      </c>
      <c r="E3263" s="2">
        <f t="shared" ca="1" si="356"/>
        <v>8895</v>
      </c>
      <c r="F3263" s="2">
        <f t="shared" ca="1" si="357"/>
        <v>18691</v>
      </c>
      <c r="G3263" s="2">
        <f t="shared" ca="1" si="358"/>
        <v>692</v>
      </c>
    </row>
    <row r="3264" spans="1:7" x14ac:dyDescent="0.3">
      <c r="A3264" s="5" t="str">
        <f t="shared" si="359"/>
        <v>New Balance</v>
      </c>
      <c r="B3264" s="5" t="str">
        <f t="shared" si="354"/>
        <v>550</v>
      </c>
      <c r="C3264" s="3">
        <f t="shared" si="360"/>
        <v>45875</v>
      </c>
      <c r="D3264" s="4">
        <f t="shared" ca="1" si="355"/>
        <v>117</v>
      </c>
      <c r="E3264" s="2">
        <f t="shared" ca="1" si="356"/>
        <v>6585</v>
      </c>
      <c r="F3264" s="2">
        <f t="shared" ca="1" si="357"/>
        <v>8488</v>
      </c>
      <c r="G3264" s="2">
        <f t="shared" ca="1" si="358"/>
        <v>502</v>
      </c>
    </row>
    <row r="3265" spans="1:7" x14ac:dyDescent="0.3">
      <c r="A3265" s="5" t="str">
        <f t="shared" si="359"/>
        <v>Reebok</v>
      </c>
      <c r="B3265" s="5" t="str">
        <f t="shared" si="354"/>
        <v>Classic Leather</v>
      </c>
      <c r="C3265" s="3">
        <f t="shared" si="360"/>
        <v>45875</v>
      </c>
      <c r="D3265" s="4">
        <f t="shared" ca="1" si="355"/>
        <v>236</v>
      </c>
      <c r="E3265" s="2">
        <f t="shared" ca="1" si="356"/>
        <v>2618</v>
      </c>
      <c r="F3265" s="2">
        <f t="shared" ca="1" si="357"/>
        <v>23542</v>
      </c>
      <c r="G3265" s="2">
        <f t="shared" ca="1" si="358"/>
        <v>1635</v>
      </c>
    </row>
    <row r="3266" spans="1:7" x14ac:dyDescent="0.3">
      <c r="A3266" s="5" t="str">
        <f t="shared" si="359"/>
        <v>Nike</v>
      </c>
      <c r="B3266" s="5" t="str">
        <f t="shared" si="354"/>
        <v>Air Force 1</v>
      </c>
      <c r="C3266" s="3">
        <f t="shared" si="360"/>
        <v>45875</v>
      </c>
      <c r="D3266" s="4">
        <f t="shared" ca="1" si="355"/>
        <v>38</v>
      </c>
      <c r="E3266" s="2">
        <f t="shared" ca="1" si="356"/>
        <v>6509</v>
      </c>
      <c r="F3266" s="2">
        <f t="shared" ca="1" si="357"/>
        <v>9299</v>
      </c>
      <c r="G3266" s="2">
        <f t="shared" ca="1" si="358"/>
        <v>203</v>
      </c>
    </row>
    <row r="3267" spans="1:7" x14ac:dyDescent="0.3">
      <c r="A3267" s="5" t="str">
        <f t="shared" si="359"/>
        <v>Adidas</v>
      </c>
      <c r="B3267" s="5" t="str">
        <f t="shared" ref="B3267:B3330" si="361">IF(A3267="Nike",CHOOSE(MOD(ROW(A3266),6)+1,"Air Max 270","Air Force 1","Pegasus 40","Vaporfly 3","Cortez","Jordan 1"),
 IF(A3267="Adidas",CHOOSE(MOD(ROW(A3266),6)+1,"Ultraboost 23","Stan Smith","Superstar","Gazelle","Samba","NMD S1"),
 IF(A3267="Puma",CHOOSE(MOD(ROW(A3266),6)+1,"Suede Classic","RS-X","Cali Dream","Rider Vintage","Slipstream","Mayze"),
 IF(A3267="New Balance",CHOOSE(MOD(ROW(A3266),6)+1,"574 Core","990v6","2002R","9060","327","550"),
 IF(A3267="Reebok",CHOOSE(MOD(ROW(A3266),6)+1,"Classic Leather","Club C 85","Nano X3","Instapump Fury","Zig Kinetica","Question Mid"),"")))))</f>
        <v>Superstar</v>
      </c>
      <c r="C3267" s="3">
        <f t="shared" si="360"/>
        <v>45875</v>
      </c>
      <c r="D3267" s="4">
        <f t="shared" ref="D3267:D3330" ca="1" si="362">RANDBETWEEN(20,250)</f>
        <v>138</v>
      </c>
      <c r="E3267" s="2">
        <f t="shared" ref="E3267:E3330" ca="1" si="363">ROUND(RANDBETWEEN(1500,12000)+(RANDBETWEEN(-200,200)),2)</f>
        <v>4138</v>
      </c>
      <c r="F3267" s="2">
        <f t="shared" ref="F3267:F3330" ca="1" si="364">RANDBETWEEN(5000,35000)</f>
        <v>33758</v>
      </c>
      <c r="G3267" s="2">
        <f t="shared" ref="G3267:G3330" ca="1" si="365">RANDBETWEEN(ROUND(F3267*0.02,0),ROUND(F3267*0.08,0))</f>
        <v>1773</v>
      </c>
    </row>
    <row r="3268" spans="1:7" x14ac:dyDescent="0.3">
      <c r="A3268" s="5" t="str">
        <f t="shared" si="359"/>
        <v>Puma</v>
      </c>
      <c r="B3268" s="5" t="str">
        <f t="shared" si="361"/>
        <v>Rider Vintage</v>
      </c>
      <c r="C3268" s="3">
        <f t="shared" si="360"/>
        <v>45875</v>
      </c>
      <c r="D3268" s="4">
        <f t="shared" ca="1" si="362"/>
        <v>170</v>
      </c>
      <c r="E3268" s="2">
        <f t="shared" ca="1" si="363"/>
        <v>10768</v>
      </c>
      <c r="F3268" s="2">
        <f t="shared" ca="1" si="364"/>
        <v>11368</v>
      </c>
      <c r="G3268" s="2">
        <f t="shared" ca="1" si="365"/>
        <v>433</v>
      </c>
    </row>
    <row r="3269" spans="1:7" x14ac:dyDescent="0.3">
      <c r="A3269" s="5" t="str">
        <f t="shared" si="359"/>
        <v>New Balance</v>
      </c>
      <c r="B3269" s="5" t="str">
        <f t="shared" si="361"/>
        <v>327</v>
      </c>
      <c r="C3269" s="3">
        <f t="shared" si="360"/>
        <v>45875</v>
      </c>
      <c r="D3269" s="4">
        <f t="shared" ca="1" si="362"/>
        <v>86</v>
      </c>
      <c r="E3269" s="2">
        <f t="shared" ca="1" si="363"/>
        <v>2462</v>
      </c>
      <c r="F3269" s="2">
        <f t="shared" ca="1" si="364"/>
        <v>25097</v>
      </c>
      <c r="G3269" s="2">
        <f t="shared" ca="1" si="365"/>
        <v>1239</v>
      </c>
    </row>
    <row r="3270" spans="1:7" x14ac:dyDescent="0.3">
      <c r="A3270" s="5" t="str">
        <f t="shared" si="359"/>
        <v>Reebok</v>
      </c>
      <c r="B3270" s="5" t="str">
        <f t="shared" si="361"/>
        <v>Question Mid</v>
      </c>
      <c r="C3270" s="3">
        <f t="shared" si="360"/>
        <v>45875</v>
      </c>
      <c r="D3270" s="4">
        <f t="shared" ca="1" si="362"/>
        <v>234</v>
      </c>
      <c r="E3270" s="2">
        <f t="shared" ca="1" si="363"/>
        <v>6809</v>
      </c>
      <c r="F3270" s="2">
        <f t="shared" ca="1" si="364"/>
        <v>10918</v>
      </c>
      <c r="G3270" s="2">
        <f t="shared" ca="1" si="365"/>
        <v>695</v>
      </c>
    </row>
    <row r="3271" spans="1:7" x14ac:dyDescent="0.3">
      <c r="A3271" s="5" t="str">
        <f t="shared" si="359"/>
        <v>Nike</v>
      </c>
      <c r="B3271" s="5" t="str">
        <f t="shared" si="361"/>
        <v>Air Max 270</v>
      </c>
      <c r="C3271" s="3">
        <f t="shared" si="360"/>
        <v>45875</v>
      </c>
      <c r="D3271" s="4">
        <f t="shared" ca="1" si="362"/>
        <v>184</v>
      </c>
      <c r="E3271" s="2">
        <f t="shared" ca="1" si="363"/>
        <v>11217</v>
      </c>
      <c r="F3271" s="2">
        <f t="shared" ca="1" si="364"/>
        <v>24219</v>
      </c>
      <c r="G3271" s="2">
        <f t="shared" ca="1" si="365"/>
        <v>842</v>
      </c>
    </row>
    <row r="3272" spans="1:7" x14ac:dyDescent="0.3">
      <c r="A3272" s="5" t="str">
        <f t="shared" si="359"/>
        <v>Adidas</v>
      </c>
      <c r="B3272" s="5" t="str">
        <f t="shared" si="361"/>
        <v>Stan Smith</v>
      </c>
      <c r="C3272" s="3">
        <f t="shared" si="360"/>
        <v>45876</v>
      </c>
      <c r="D3272" s="4">
        <f t="shared" ca="1" si="362"/>
        <v>39</v>
      </c>
      <c r="E3272" s="2">
        <f t="shared" ca="1" si="363"/>
        <v>8695</v>
      </c>
      <c r="F3272" s="2">
        <f t="shared" ca="1" si="364"/>
        <v>15203</v>
      </c>
      <c r="G3272" s="2">
        <f t="shared" ca="1" si="365"/>
        <v>1060</v>
      </c>
    </row>
    <row r="3273" spans="1:7" x14ac:dyDescent="0.3">
      <c r="A3273" s="5" t="str">
        <f t="shared" si="359"/>
        <v>Puma</v>
      </c>
      <c r="B3273" s="5" t="str">
        <f t="shared" si="361"/>
        <v>Cali Dream</v>
      </c>
      <c r="C3273" s="3">
        <f t="shared" si="360"/>
        <v>45876</v>
      </c>
      <c r="D3273" s="4">
        <f t="shared" ca="1" si="362"/>
        <v>210</v>
      </c>
      <c r="E3273" s="2">
        <f t="shared" ca="1" si="363"/>
        <v>10436</v>
      </c>
      <c r="F3273" s="2">
        <f t="shared" ca="1" si="364"/>
        <v>19366</v>
      </c>
      <c r="G3273" s="2">
        <f t="shared" ca="1" si="365"/>
        <v>1236</v>
      </c>
    </row>
    <row r="3274" spans="1:7" x14ac:dyDescent="0.3">
      <c r="A3274" s="5" t="str">
        <f t="shared" si="359"/>
        <v>New Balance</v>
      </c>
      <c r="B3274" s="5" t="str">
        <f t="shared" si="361"/>
        <v>9060</v>
      </c>
      <c r="C3274" s="3">
        <f t="shared" si="360"/>
        <v>45876</v>
      </c>
      <c r="D3274" s="4">
        <f t="shared" ca="1" si="362"/>
        <v>152</v>
      </c>
      <c r="E3274" s="2">
        <f t="shared" ca="1" si="363"/>
        <v>11308</v>
      </c>
      <c r="F3274" s="2">
        <f t="shared" ca="1" si="364"/>
        <v>7919</v>
      </c>
      <c r="G3274" s="2">
        <f t="shared" ca="1" si="365"/>
        <v>252</v>
      </c>
    </row>
    <row r="3275" spans="1:7" x14ac:dyDescent="0.3">
      <c r="A3275" s="5" t="str">
        <f t="shared" si="359"/>
        <v>Reebok</v>
      </c>
      <c r="B3275" s="5" t="str">
        <f t="shared" si="361"/>
        <v>Zig Kinetica</v>
      </c>
      <c r="C3275" s="3">
        <f t="shared" si="360"/>
        <v>45876</v>
      </c>
      <c r="D3275" s="4">
        <f t="shared" ca="1" si="362"/>
        <v>94</v>
      </c>
      <c r="E3275" s="2">
        <f t="shared" ca="1" si="363"/>
        <v>10069</v>
      </c>
      <c r="F3275" s="2">
        <f t="shared" ca="1" si="364"/>
        <v>7139</v>
      </c>
      <c r="G3275" s="2">
        <f t="shared" ca="1" si="365"/>
        <v>204</v>
      </c>
    </row>
    <row r="3276" spans="1:7" x14ac:dyDescent="0.3">
      <c r="A3276" s="5" t="str">
        <f t="shared" si="359"/>
        <v>Nike</v>
      </c>
      <c r="B3276" s="5" t="str">
        <f t="shared" si="361"/>
        <v>Jordan 1</v>
      </c>
      <c r="C3276" s="3">
        <f t="shared" si="360"/>
        <v>45876</v>
      </c>
      <c r="D3276" s="4">
        <f t="shared" ca="1" si="362"/>
        <v>70</v>
      </c>
      <c r="E3276" s="2">
        <f t="shared" ca="1" si="363"/>
        <v>7865</v>
      </c>
      <c r="F3276" s="2">
        <f t="shared" ca="1" si="364"/>
        <v>5643</v>
      </c>
      <c r="G3276" s="2">
        <f t="shared" ca="1" si="365"/>
        <v>301</v>
      </c>
    </row>
    <row r="3277" spans="1:7" x14ac:dyDescent="0.3">
      <c r="A3277" s="5" t="str">
        <f t="shared" si="359"/>
        <v>Adidas</v>
      </c>
      <c r="B3277" s="5" t="str">
        <f t="shared" si="361"/>
        <v>Ultraboost 23</v>
      </c>
      <c r="C3277" s="3">
        <f t="shared" si="360"/>
        <v>45876</v>
      </c>
      <c r="D3277" s="4">
        <f t="shared" ca="1" si="362"/>
        <v>230</v>
      </c>
      <c r="E3277" s="2">
        <f t="shared" ca="1" si="363"/>
        <v>7500</v>
      </c>
      <c r="F3277" s="2">
        <f t="shared" ca="1" si="364"/>
        <v>15623</v>
      </c>
      <c r="G3277" s="2">
        <f t="shared" ca="1" si="365"/>
        <v>1178</v>
      </c>
    </row>
    <row r="3278" spans="1:7" x14ac:dyDescent="0.3">
      <c r="A3278" s="5" t="str">
        <f t="shared" si="359"/>
        <v>Puma</v>
      </c>
      <c r="B3278" s="5" t="str">
        <f t="shared" si="361"/>
        <v>RS-X</v>
      </c>
      <c r="C3278" s="3">
        <f t="shared" si="360"/>
        <v>45876</v>
      </c>
      <c r="D3278" s="4">
        <f t="shared" ca="1" si="362"/>
        <v>103</v>
      </c>
      <c r="E3278" s="2">
        <f t="shared" ca="1" si="363"/>
        <v>6153</v>
      </c>
      <c r="F3278" s="2">
        <f t="shared" ca="1" si="364"/>
        <v>8465</v>
      </c>
      <c r="G3278" s="2">
        <f t="shared" ca="1" si="365"/>
        <v>346</v>
      </c>
    </row>
    <row r="3279" spans="1:7" x14ac:dyDescent="0.3">
      <c r="A3279" s="5" t="str">
        <f t="shared" si="359"/>
        <v>New Balance</v>
      </c>
      <c r="B3279" s="5" t="str">
        <f t="shared" si="361"/>
        <v>2002R</v>
      </c>
      <c r="C3279" s="3">
        <f t="shared" si="360"/>
        <v>45876</v>
      </c>
      <c r="D3279" s="4">
        <f t="shared" ca="1" si="362"/>
        <v>65</v>
      </c>
      <c r="E3279" s="2">
        <f t="shared" ca="1" si="363"/>
        <v>11477</v>
      </c>
      <c r="F3279" s="2">
        <f t="shared" ca="1" si="364"/>
        <v>20021</v>
      </c>
      <c r="G3279" s="2">
        <f t="shared" ca="1" si="365"/>
        <v>856</v>
      </c>
    </row>
    <row r="3280" spans="1:7" x14ac:dyDescent="0.3">
      <c r="A3280" s="5" t="str">
        <f t="shared" si="359"/>
        <v>Reebok</v>
      </c>
      <c r="B3280" s="5" t="str">
        <f t="shared" si="361"/>
        <v>Instapump Fury</v>
      </c>
      <c r="C3280" s="3">
        <f t="shared" si="360"/>
        <v>45876</v>
      </c>
      <c r="D3280" s="4">
        <f t="shared" ca="1" si="362"/>
        <v>161</v>
      </c>
      <c r="E3280" s="2">
        <f t="shared" ca="1" si="363"/>
        <v>9561</v>
      </c>
      <c r="F3280" s="2">
        <f t="shared" ca="1" si="364"/>
        <v>33798</v>
      </c>
      <c r="G3280" s="2">
        <f t="shared" ca="1" si="365"/>
        <v>1845</v>
      </c>
    </row>
    <row r="3281" spans="1:7" x14ac:dyDescent="0.3">
      <c r="A3281" s="5" t="str">
        <f t="shared" si="359"/>
        <v>Nike</v>
      </c>
      <c r="B3281" s="5" t="str">
        <f t="shared" si="361"/>
        <v>Cortez</v>
      </c>
      <c r="C3281" s="3">
        <f t="shared" si="360"/>
        <v>45876</v>
      </c>
      <c r="D3281" s="4">
        <f t="shared" ca="1" si="362"/>
        <v>181</v>
      </c>
      <c r="E3281" s="2">
        <f t="shared" ca="1" si="363"/>
        <v>2977</v>
      </c>
      <c r="F3281" s="2">
        <f t="shared" ca="1" si="364"/>
        <v>14117</v>
      </c>
      <c r="G3281" s="2">
        <f t="shared" ca="1" si="365"/>
        <v>1003</v>
      </c>
    </row>
    <row r="3282" spans="1:7" x14ac:dyDescent="0.3">
      <c r="A3282" s="5" t="str">
        <f t="shared" si="359"/>
        <v>Adidas</v>
      </c>
      <c r="B3282" s="5" t="str">
        <f t="shared" si="361"/>
        <v>NMD S1</v>
      </c>
      <c r="C3282" s="3">
        <f t="shared" si="360"/>
        <v>45876</v>
      </c>
      <c r="D3282" s="4">
        <f t="shared" ca="1" si="362"/>
        <v>162</v>
      </c>
      <c r="E3282" s="2">
        <f t="shared" ca="1" si="363"/>
        <v>3129</v>
      </c>
      <c r="F3282" s="2">
        <f t="shared" ca="1" si="364"/>
        <v>13263</v>
      </c>
      <c r="G3282" s="2">
        <f t="shared" ca="1" si="365"/>
        <v>1026</v>
      </c>
    </row>
    <row r="3283" spans="1:7" x14ac:dyDescent="0.3">
      <c r="A3283" s="5" t="str">
        <f t="shared" si="359"/>
        <v>Puma</v>
      </c>
      <c r="B3283" s="5" t="str">
        <f t="shared" si="361"/>
        <v>Suede Classic</v>
      </c>
      <c r="C3283" s="3">
        <f t="shared" si="360"/>
        <v>45876</v>
      </c>
      <c r="D3283" s="4">
        <f t="shared" ca="1" si="362"/>
        <v>201</v>
      </c>
      <c r="E3283" s="2">
        <f t="shared" ca="1" si="363"/>
        <v>2428</v>
      </c>
      <c r="F3283" s="2">
        <f t="shared" ca="1" si="364"/>
        <v>9750</v>
      </c>
      <c r="G3283" s="2">
        <f t="shared" ca="1" si="365"/>
        <v>299</v>
      </c>
    </row>
    <row r="3284" spans="1:7" x14ac:dyDescent="0.3">
      <c r="A3284" s="5" t="str">
        <f t="shared" si="359"/>
        <v>New Balance</v>
      </c>
      <c r="B3284" s="5" t="str">
        <f t="shared" si="361"/>
        <v>990v6</v>
      </c>
      <c r="C3284" s="3">
        <f t="shared" si="360"/>
        <v>45876</v>
      </c>
      <c r="D3284" s="4">
        <f t="shared" ca="1" si="362"/>
        <v>41</v>
      </c>
      <c r="E3284" s="2">
        <f t="shared" ca="1" si="363"/>
        <v>7974</v>
      </c>
      <c r="F3284" s="2">
        <f t="shared" ca="1" si="364"/>
        <v>13071</v>
      </c>
      <c r="G3284" s="2">
        <f t="shared" ca="1" si="365"/>
        <v>630</v>
      </c>
    </row>
    <row r="3285" spans="1:7" x14ac:dyDescent="0.3">
      <c r="A3285" s="5" t="str">
        <f t="shared" si="359"/>
        <v>Reebok</v>
      </c>
      <c r="B3285" s="5" t="str">
        <f t="shared" si="361"/>
        <v>Nano X3</v>
      </c>
      <c r="C3285" s="3">
        <f t="shared" si="360"/>
        <v>45876</v>
      </c>
      <c r="D3285" s="4">
        <f t="shared" ca="1" si="362"/>
        <v>221</v>
      </c>
      <c r="E3285" s="2">
        <f t="shared" ca="1" si="363"/>
        <v>9795</v>
      </c>
      <c r="F3285" s="2">
        <f t="shared" ca="1" si="364"/>
        <v>22984</v>
      </c>
      <c r="G3285" s="2">
        <f t="shared" ca="1" si="365"/>
        <v>681</v>
      </c>
    </row>
    <row r="3286" spans="1:7" x14ac:dyDescent="0.3">
      <c r="A3286" s="5" t="str">
        <f t="shared" si="359"/>
        <v>Nike</v>
      </c>
      <c r="B3286" s="5" t="str">
        <f t="shared" si="361"/>
        <v>Vaporfly 3</v>
      </c>
      <c r="C3286" s="3">
        <f t="shared" si="360"/>
        <v>45876</v>
      </c>
      <c r="D3286" s="4">
        <f t="shared" ca="1" si="362"/>
        <v>236</v>
      </c>
      <c r="E3286" s="2">
        <f t="shared" ca="1" si="363"/>
        <v>1766</v>
      </c>
      <c r="F3286" s="2">
        <f t="shared" ca="1" si="364"/>
        <v>33101</v>
      </c>
      <c r="G3286" s="2">
        <f t="shared" ca="1" si="365"/>
        <v>765</v>
      </c>
    </row>
    <row r="3287" spans="1:7" x14ac:dyDescent="0.3">
      <c r="A3287" s="5" t="str">
        <f t="shared" si="359"/>
        <v>Adidas</v>
      </c>
      <c r="B3287" s="5" t="str">
        <f t="shared" si="361"/>
        <v>Samba</v>
      </c>
      <c r="C3287" s="3">
        <f t="shared" si="360"/>
        <v>45877</v>
      </c>
      <c r="D3287" s="4">
        <f t="shared" ca="1" si="362"/>
        <v>248</v>
      </c>
      <c r="E3287" s="2">
        <f t="shared" ca="1" si="363"/>
        <v>5407</v>
      </c>
      <c r="F3287" s="2">
        <f t="shared" ca="1" si="364"/>
        <v>15836</v>
      </c>
      <c r="G3287" s="2">
        <f t="shared" ca="1" si="365"/>
        <v>648</v>
      </c>
    </row>
    <row r="3288" spans="1:7" x14ac:dyDescent="0.3">
      <c r="A3288" s="5" t="str">
        <f t="shared" si="359"/>
        <v>Puma</v>
      </c>
      <c r="B3288" s="5" t="str">
        <f t="shared" si="361"/>
        <v>Mayze</v>
      </c>
      <c r="C3288" s="3">
        <f t="shared" si="360"/>
        <v>45877</v>
      </c>
      <c r="D3288" s="4">
        <f t="shared" ca="1" si="362"/>
        <v>98</v>
      </c>
      <c r="E3288" s="2">
        <f t="shared" ca="1" si="363"/>
        <v>7811</v>
      </c>
      <c r="F3288" s="2">
        <f t="shared" ca="1" si="364"/>
        <v>26700</v>
      </c>
      <c r="G3288" s="2">
        <f t="shared" ca="1" si="365"/>
        <v>1562</v>
      </c>
    </row>
    <row r="3289" spans="1:7" x14ac:dyDescent="0.3">
      <c r="A3289" s="5" t="str">
        <f t="shared" si="359"/>
        <v>New Balance</v>
      </c>
      <c r="B3289" s="5" t="str">
        <f t="shared" si="361"/>
        <v>574 Core</v>
      </c>
      <c r="C3289" s="3">
        <f t="shared" si="360"/>
        <v>45877</v>
      </c>
      <c r="D3289" s="4">
        <f t="shared" ca="1" si="362"/>
        <v>58</v>
      </c>
      <c r="E3289" s="2">
        <f t="shared" ca="1" si="363"/>
        <v>7628</v>
      </c>
      <c r="F3289" s="2">
        <f t="shared" ca="1" si="364"/>
        <v>25905</v>
      </c>
      <c r="G3289" s="2">
        <f t="shared" ca="1" si="365"/>
        <v>1088</v>
      </c>
    </row>
    <row r="3290" spans="1:7" x14ac:dyDescent="0.3">
      <c r="A3290" s="5" t="str">
        <f t="shared" si="359"/>
        <v>Reebok</v>
      </c>
      <c r="B3290" s="5" t="str">
        <f t="shared" si="361"/>
        <v>Club C 85</v>
      </c>
      <c r="C3290" s="3">
        <f t="shared" si="360"/>
        <v>45877</v>
      </c>
      <c r="D3290" s="4">
        <f t="shared" ca="1" si="362"/>
        <v>99</v>
      </c>
      <c r="E3290" s="2">
        <f t="shared" ca="1" si="363"/>
        <v>4086</v>
      </c>
      <c r="F3290" s="2">
        <f t="shared" ca="1" si="364"/>
        <v>15348</v>
      </c>
      <c r="G3290" s="2">
        <f t="shared" ca="1" si="365"/>
        <v>996</v>
      </c>
    </row>
    <row r="3291" spans="1:7" x14ac:dyDescent="0.3">
      <c r="A3291" s="5" t="str">
        <f t="shared" si="359"/>
        <v>Nike</v>
      </c>
      <c r="B3291" s="5" t="str">
        <f t="shared" si="361"/>
        <v>Pegasus 40</v>
      </c>
      <c r="C3291" s="3">
        <f t="shared" si="360"/>
        <v>45877</v>
      </c>
      <c r="D3291" s="4">
        <f t="shared" ca="1" si="362"/>
        <v>222</v>
      </c>
      <c r="E3291" s="2">
        <f t="shared" ca="1" si="363"/>
        <v>7004</v>
      </c>
      <c r="F3291" s="2">
        <f t="shared" ca="1" si="364"/>
        <v>31704</v>
      </c>
      <c r="G3291" s="2">
        <f t="shared" ca="1" si="365"/>
        <v>1150</v>
      </c>
    </row>
    <row r="3292" spans="1:7" x14ac:dyDescent="0.3">
      <c r="A3292" s="5" t="str">
        <f t="shared" si="359"/>
        <v>Adidas</v>
      </c>
      <c r="B3292" s="5" t="str">
        <f t="shared" si="361"/>
        <v>Gazelle</v>
      </c>
      <c r="C3292" s="3">
        <f t="shared" si="360"/>
        <v>45877</v>
      </c>
      <c r="D3292" s="4">
        <f t="shared" ca="1" si="362"/>
        <v>165</v>
      </c>
      <c r="E3292" s="2">
        <f t="shared" ca="1" si="363"/>
        <v>3378</v>
      </c>
      <c r="F3292" s="2">
        <f t="shared" ca="1" si="364"/>
        <v>7634</v>
      </c>
      <c r="G3292" s="2">
        <f t="shared" ca="1" si="365"/>
        <v>274</v>
      </c>
    </row>
    <row r="3293" spans="1:7" x14ac:dyDescent="0.3">
      <c r="A3293" s="5" t="str">
        <f t="shared" si="359"/>
        <v>Puma</v>
      </c>
      <c r="B3293" s="5" t="str">
        <f t="shared" si="361"/>
        <v>Slipstream</v>
      </c>
      <c r="C3293" s="3">
        <f t="shared" si="360"/>
        <v>45877</v>
      </c>
      <c r="D3293" s="4">
        <f t="shared" ca="1" si="362"/>
        <v>243</v>
      </c>
      <c r="E3293" s="2">
        <f t="shared" ca="1" si="363"/>
        <v>3534</v>
      </c>
      <c r="F3293" s="2">
        <f t="shared" ca="1" si="364"/>
        <v>13961</v>
      </c>
      <c r="G3293" s="2">
        <f t="shared" ca="1" si="365"/>
        <v>486</v>
      </c>
    </row>
    <row r="3294" spans="1:7" x14ac:dyDescent="0.3">
      <c r="A3294" s="5" t="str">
        <f t="shared" si="359"/>
        <v>New Balance</v>
      </c>
      <c r="B3294" s="5" t="str">
        <f t="shared" si="361"/>
        <v>550</v>
      </c>
      <c r="C3294" s="3">
        <f t="shared" si="360"/>
        <v>45877</v>
      </c>
      <c r="D3294" s="4">
        <f t="shared" ca="1" si="362"/>
        <v>169</v>
      </c>
      <c r="E3294" s="2">
        <f t="shared" ca="1" si="363"/>
        <v>7435</v>
      </c>
      <c r="F3294" s="2">
        <f t="shared" ca="1" si="364"/>
        <v>5390</v>
      </c>
      <c r="G3294" s="2">
        <f t="shared" ca="1" si="365"/>
        <v>186</v>
      </c>
    </row>
    <row r="3295" spans="1:7" x14ac:dyDescent="0.3">
      <c r="A3295" s="5" t="str">
        <f t="shared" si="359"/>
        <v>Reebok</v>
      </c>
      <c r="B3295" s="5" t="str">
        <f t="shared" si="361"/>
        <v>Classic Leather</v>
      </c>
      <c r="C3295" s="3">
        <f t="shared" si="360"/>
        <v>45877</v>
      </c>
      <c r="D3295" s="4">
        <f t="shared" ca="1" si="362"/>
        <v>185</v>
      </c>
      <c r="E3295" s="2">
        <f t="shared" ca="1" si="363"/>
        <v>10706</v>
      </c>
      <c r="F3295" s="2">
        <f t="shared" ca="1" si="364"/>
        <v>6561</v>
      </c>
      <c r="G3295" s="2">
        <f t="shared" ca="1" si="365"/>
        <v>279</v>
      </c>
    </row>
    <row r="3296" spans="1:7" x14ac:dyDescent="0.3">
      <c r="A3296" s="5" t="str">
        <f t="shared" si="359"/>
        <v>Nike</v>
      </c>
      <c r="B3296" s="5" t="str">
        <f t="shared" si="361"/>
        <v>Air Force 1</v>
      </c>
      <c r="C3296" s="3">
        <f t="shared" si="360"/>
        <v>45877</v>
      </c>
      <c r="D3296" s="4">
        <f t="shared" ca="1" si="362"/>
        <v>67</v>
      </c>
      <c r="E3296" s="2">
        <f t="shared" ca="1" si="363"/>
        <v>9791</v>
      </c>
      <c r="F3296" s="2">
        <f t="shared" ca="1" si="364"/>
        <v>26746</v>
      </c>
      <c r="G3296" s="2">
        <f t="shared" ca="1" si="365"/>
        <v>1869</v>
      </c>
    </row>
    <row r="3297" spans="1:7" x14ac:dyDescent="0.3">
      <c r="A3297" s="5" t="str">
        <f t="shared" si="359"/>
        <v>Adidas</v>
      </c>
      <c r="B3297" s="5" t="str">
        <f t="shared" si="361"/>
        <v>Superstar</v>
      </c>
      <c r="C3297" s="3">
        <f t="shared" si="360"/>
        <v>45877</v>
      </c>
      <c r="D3297" s="4">
        <f t="shared" ca="1" si="362"/>
        <v>200</v>
      </c>
      <c r="E3297" s="2">
        <f t="shared" ca="1" si="363"/>
        <v>6508</v>
      </c>
      <c r="F3297" s="2">
        <f t="shared" ca="1" si="364"/>
        <v>18444</v>
      </c>
      <c r="G3297" s="2">
        <f t="shared" ca="1" si="365"/>
        <v>543</v>
      </c>
    </row>
    <row r="3298" spans="1:7" x14ac:dyDescent="0.3">
      <c r="A3298" s="5" t="str">
        <f t="shared" si="359"/>
        <v>Puma</v>
      </c>
      <c r="B3298" s="5" t="str">
        <f t="shared" si="361"/>
        <v>Rider Vintage</v>
      </c>
      <c r="C3298" s="3">
        <f t="shared" si="360"/>
        <v>45877</v>
      </c>
      <c r="D3298" s="4">
        <f t="shared" ca="1" si="362"/>
        <v>66</v>
      </c>
      <c r="E3298" s="2">
        <f t="shared" ca="1" si="363"/>
        <v>7751</v>
      </c>
      <c r="F3298" s="2">
        <f t="shared" ca="1" si="364"/>
        <v>24938</v>
      </c>
      <c r="G3298" s="2">
        <f t="shared" ca="1" si="365"/>
        <v>1010</v>
      </c>
    </row>
    <row r="3299" spans="1:7" x14ac:dyDescent="0.3">
      <c r="A3299" s="5" t="str">
        <f t="shared" si="359"/>
        <v>New Balance</v>
      </c>
      <c r="B3299" s="5" t="str">
        <f t="shared" si="361"/>
        <v>327</v>
      </c>
      <c r="C3299" s="3">
        <f t="shared" si="360"/>
        <v>45877</v>
      </c>
      <c r="D3299" s="4">
        <f t="shared" ca="1" si="362"/>
        <v>106</v>
      </c>
      <c r="E3299" s="2">
        <f t="shared" ca="1" si="363"/>
        <v>3446</v>
      </c>
      <c r="F3299" s="2">
        <f t="shared" ca="1" si="364"/>
        <v>7582</v>
      </c>
      <c r="G3299" s="2">
        <f t="shared" ca="1" si="365"/>
        <v>366</v>
      </c>
    </row>
    <row r="3300" spans="1:7" x14ac:dyDescent="0.3">
      <c r="A3300" s="5" t="str">
        <f t="shared" si="359"/>
        <v>Reebok</v>
      </c>
      <c r="B3300" s="5" t="str">
        <f t="shared" si="361"/>
        <v>Question Mid</v>
      </c>
      <c r="C3300" s="3">
        <f t="shared" si="360"/>
        <v>45877</v>
      </c>
      <c r="D3300" s="4">
        <f t="shared" ca="1" si="362"/>
        <v>68</v>
      </c>
      <c r="E3300" s="2">
        <f t="shared" ca="1" si="363"/>
        <v>4501</v>
      </c>
      <c r="F3300" s="2">
        <f t="shared" ca="1" si="364"/>
        <v>32775</v>
      </c>
      <c r="G3300" s="2">
        <f t="shared" ca="1" si="365"/>
        <v>779</v>
      </c>
    </row>
    <row r="3301" spans="1:7" x14ac:dyDescent="0.3">
      <c r="A3301" s="5" t="str">
        <f t="shared" si="359"/>
        <v>Nike</v>
      </c>
      <c r="B3301" s="5" t="str">
        <f t="shared" si="361"/>
        <v>Air Max 270</v>
      </c>
      <c r="C3301" s="3">
        <f t="shared" si="360"/>
        <v>45877</v>
      </c>
      <c r="D3301" s="4">
        <f t="shared" ca="1" si="362"/>
        <v>35</v>
      </c>
      <c r="E3301" s="2">
        <f t="shared" ca="1" si="363"/>
        <v>4855</v>
      </c>
      <c r="F3301" s="2">
        <f t="shared" ca="1" si="364"/>
        <v>34428</v>
      </c>
      <c r="G3301" s="2">
        <f t="shared" ca="1" si="365"/>
        <v>736</v>
      </c>
    </row>
    <row r="3302" spans="1:7" x14ac:dyDescent="0.3">
      <c r="A3302" s="5" t="str">
        <f t="shared" si="359"/>
        <v>Adidas</v>
      </c>
      <c r="B3302" s="5" t="str">
        <f t="shared" si="361"/>
        <v>Stan Smith</v>
      </c>
      <c r="C3302" s="3">
        <f t="shared" si="360"/>
        <v>45878</v>
      </c>
      <c r="D3302" s="4">
        <f t="shared" ca="1" si="362"/>
        <v>205</v>
      </c>
      <c r="E3302" s="2">
        <f t="shared" ca="1" si="363"/>
        <v>10006</v>
      </c>
      <c r="F3302" s="2">
        <f t="shared" ca="1" si="364"/>
        <v>6696</v>
      </c>
      <c r="G3302" s="2">
        <f t="shared" ca="1" si="365"/>
        <v>378</v>
      </c>
    </row>
    <row r="3303" spans="1:7" x14ac:dyDescent="0.3">
      <c r="A3303" s="5" t="str">
        <f t="shared" si="359"/>
        <v>Puma</v>
      </c>
      <c r="B3303" s="5" t="str">
        <f t="shared" si="361"/>
        <v>Cali Dream</v>
      </c>
      <c r="C3303" s="3">
        <f t="shared" si="360"/>
        <v>45878</v>
      </c>
      <c r="D3303" s="4">
        <f t="shared" ca="1" si="362"/>
        <v>193</v>
      </c>
      <c r="E3303" s="2">
        <f t="shared" ca="1" si="363"/>
        <v>2805</v>
      </c>
      <c r="F3303" s="2">
        <f t="shared" ca="1" si="364"/>
        <v>11855</v>
      </c>
      <c r="G3303" s="2">
        <f t="shared" ca="1" si="365"/>
        <v>459</v>
      </c>
    </row>
    <row r="3304" spans="1:7" x14ac:dyDescent="0.3">
      <c r="A3304" s="5" t="str">
        <f t="shared" si="359"/>
        <v>New Balance</v>
      </c>
      <c r="B3304" s="5" t="str">
        <f t="shared" si="361"/>
        <v>9060</v>
      </c>
      <c r="C3304" s="3">
        <f t="shared" si="360"/>
        <v>45878</v>
      </c>
      <c r="D3304" s="4">
        <f t="shared" ca="1" si="362"/>
        <v>61</v>
      </c>
      <c r="E3304" s="2">
        <f t="shared" ca="1" si="363"/>
        <v>2063</v>
      </c>
      <c r="F3304" s="2">
        <f t="shared" ca="1" si="364"/>
        <v>25467</v>
      </c>
      <c r="G3304" s="2">
        <f t="shared" ca="1" si="365"/>
        <v>1119</v>
      </c>
    </row>
    <row r="3305" spans="1:7" x14ac:dyDescent="0.3">
      <c r="A3305" s="5" t="str">
        <f t="shared" si="359"/>
        <v>Reebok</v>
      </c>
      <c r="B3305" s="5" t="str">
        <f t="shared" si="361"/>
        <v>Zig Kinetica</v>
      </c>
      <c r="C3305" s="3">
        <f t="shared" si="360"/>
        <v>45878</v>
      </c>
      <c r="D3305" s="4">
        <f t="shared" ca="1" si="362"/>
        <v>47</v>
      </c>
      <c r="E3305" s="2">
        <f t="shared" ca="1" si="363"/>
        <v>6339</v>
      </c>
      <c r="F3305" s="2">
        <f t="shared" ca="1" si="364"/>
        <v>8629</v>
      </c>
      <c r="G3305" s="2">
        <f t="shared" ca="1" si="365"/>
        <v>567</v>
      </c>
    </row>
    <row r="3306" spans="1:7" x14ac:dyDescent="0.3">
      <c r="A3306" s="5" t="str">
        <f t="shared" si="359"/>
        <v>Nike</v>
      </c>
      <c r="B3306" s="5" t="str">
        <f t="shared" si="361"/>
        <v>Jordan 1</v>
      </c>
      <c r="C3306" s="3">
        <f t="shared" si="360"/>
        <v>45878</v>
      </c>
      <c r="D3306" s="4">
        <f t="shared" ca="1" si="362"/>
        <v>158</v>
      </c>
      <c r="E3306" s="2">
        <f t="shared" ca="1" si="363"/>
        <v>2476</v>
      </c>
      <c r="F3306" s="2">
        <f t="shared" ca="1" si="364"/>
        <v>24317</v>
      </c>
      <c r="G3306" s="2">
        <f t="shared" ca="1" si="365"/>
        <v>516</v>
      </c>
    </row>
    <row r="3307" spans="1:7" x14ac:dyDescent="0.3">
      <c r="A3307" s="5" t="str">
        <f t="shared" ref="A3307:A3370" si="366">CHOOSE(MOD(ROW(A3306),5)+1,"Nike","Adidas","Puma","New Balance","Reebok")</f>
        <v>Adidas</v>
      </c>
      <c r="B3307" s="5" t="str">
        <f t="shared" si="361"/>
        <v>Ultraboost 23</v>
      </c>
      <c r="C3307" s="3">
        <f t="shared" ref="C3307:C3370" si="367">DATE(2025,1,1)+INT((ROW(A3307)-2)/15)</f>
        <v>45878</v>
      </c>
      <c r="D3307" s="4">
        <f t="shared" ca="1" si="362"/>
        <v>83</v>
      </c>
      <c r="E3307" s="2">
        <f t="shared" ca="1" si="363"/>
        <v>10089</v>
      </c>
      <c r="F3307" s="2">
        <f t="shared" ca="1" si="364"/>
        <v>10981</v>
      </c>
      <c r="G3307" s="2">
        <f t="shared" ca="1" si="365"/>
        <v>796</v>
      </c>
    </row>
    <row r="3308" spans="1:7" x14ac:dyDescent="0.3">
      <c r="A3308" s="5" t="str">
        <f t="shared" si="366"/>
        <v>Puma</v>
      </c>
      <c r="B3308" s="5" t="str">
        <f t="shared" si="361"/>
        <v>RS-X</v>
      </c>
      <c r="C3308" s="3">
        <f t="shared" si="367"/>
        <v>45878</v>
      </c>
      <c r="D3308" s="4">
        <f t="shared" ca="1" si="362"/>
        <v>202</v>
      </c>
      <c r="E3308" s="2">
        <f t="shared" ca="1" si="363"/>
        <v>4940</v>
      </c>
      <c r="F3308" s="2">
        <f t="shared" ca="1" si="364"/>
        <v>20558</v>
      </c>
      <c r="G3308" s="2">
        <f t="shared" ca="1" si="365"/>
        <v>684</v>
      </c>
    </row>
    <row r="3309" spans="1:7" x14ac:dyDescent="0.3">
      <c r="A3309" s="5" t="str">
        <f t="shared" si="366"/>
        <v>New Balance</v>
      </c>
      <c r="B3309" s="5" t="str">
        <f t="shared" si="361"/>
        <v>2002R</v>
      </c>
      <c r="C3309" s="3">
        <f t="shared" si="367"/>
        <v>45878</v>
      </c>
      <c r="D3309" s="4">
        <f t="shared" ca="1" si="362"/>
        <v>186</v>
      </c>
      <c r="E3309" s="2">
        <f t="shared" ca="1" si="363"/>
        <v>7965</v>
      </c>
      <c r="F3309" s="2">
        <f t="shared" ca="1" si="364"/>
        <v>29466</v>
      </c>
      <c r="G3309" s="2">
        <f t="shared" ca="1" si="365"/>
        <v>1060</v>
      </c>
    </row>
    <row r="3310" spans="1:7" x14ac:dyDescent="0.3">
      <c r="A3310" s="5" t="str">
        <f t="shared" si="366"/>
        <v>Reebok</v>
      </c>
      <c r="B3310" s="5" t="str">
        <f t="shared" si="361"/>
        <v>Instapump Fury</v>
      </c>
      <c r="C3310" s="3">
        <f t="shared" si="367"/>
        <v>45878</v>
      </c>
      <c r="D3310" s="4">
        <f t="shared" ca="1" si="362"/>
        <v>107</v>
      </c>
      <c r="E3310" s="2">
        <f t="shared" ca="1" si="363"/>
        <v>4129</v>
      </c>
      <c r="F3310" s="2">
        <f t="shared" ca="1" si="364"/>
        <v>32711</v>
      </c>
      <c r="G3310" s="2">
        <f t="shared" ca="1" si="365"/>
        <v>2184</v>
      </c>
    </row>
    <row r="3311" spans="1:7" x14ac:dyDescent="0.3">
      <c r="A3311" s="5" t="str">
        <f t="shared" si="366"/>
        <v>Nike</v>
      </c>
      <c r="B3311" s="5" t="str">
        <f t="shared" si="361"/>
        <v>Cortez</v>
      </c>
      <c r="C3311" s="3">
        <f t="shared" si="367"/>
        <v>45878</v>
      </c>
      <c r="D3311" s="4">
        <f t="shared" ca="1" si="362"/>
        <v>54</v>
      </c>
      <c r="E3311" s="2">
        <f t="shared" ca="1" si="363"/>
        <v>3542</v>
      </c>
      <c r="F3311" s="2">
        <f t="shared" ca="1" si="364"/>
        <v>33413</v>
      </c>
      <c r="G3311" s="2">
        <f t="shared" ca="1" si="365"/>
        <v>1340</v>
      </c>
    </row>
    <row r="3312" spans="1:7" x14ac:dyDescent="0.3">
      <c r="A3312" s="5" t="str">
        <f t="shared" si="366"/>
        <v>Adidas</v>
      </c>
      <c r="B3312" s="5" t="str">
        <f t="shared" si="361"/>
        <v>NMD S1</v>
      </c>
      <c r="C3312" s="3">
        <f t="shared" si="367"/>
        <v>45878</v>
      </c>
      <c r="D3312" s="4">
        <f t="shared" ca="1" si="362"/>
        <v>182</v>
      </c>
      <c r="E3312" s="2">
        <f t="shared" ca="1" si="363"/>
        <v>11937</v>
      </c>
      <c r="F3312" s="2">
        <f t="shared" ca="1" si="364"/>
        <v>23881</v>
      </c>
      <c r="G3312" s="2">
        <f t="shared" ca="1" si="365"/>
        <v>748</v>
      </c>
    </row>
    <row r="3313" spans="1:7" x14ac:dyDescent="0.3">
      <c r="A3313" s="5" t="str">
        <f t="shared" si="366"/>
        <v>Puma</v>
      </c>
      <c r="B3313" s="5" t="str">
        <f t="shared" si="361"/>
        <v>Suede Classic</v>
      </c>
      <c r="C3313" s="3">
        <f t="shared" si="367"/>
        <v>45878</v>
      </c>
      <c r="D3313" s="4">
        <f t="shared" ca="1" si="362"/>
        <v>229</v>
      </c>
      <c r="E3313" s="2">
        <f t="shared" ca="1" si="363"/>
        <v>10004</v>
      </c>
      <c r="F3313" s="2">
        <f t="shared" ca="1" si="364"/>
        <v>8717</v>
      </c>
      <c r="G3313" s="2">
        <f t="shared" ca="1" si="365"/>
        <v>351</v>
      </c>
    </row>
    <row r="3314" spans="1:7" x14ac:dyDescent="0.3">
      <c r="A3314" s="5" t="str">
        <f t="shared" si="366"/>
        <v>New Balance</v>
      </c>
      <c r="B3314" s="5" t="str">
        <f t="shared" si="361"/>
        <v>990v6</v>
      </c>
      <c r="C3314" s="3">
        <f t="shared" si="367"/>
        <v>45878</v>
      </c>
      <c r="D3314" s="4">
        <f t="shared" ca="1" si="362"/>
        <v>25</v>
      </c>
      <c r="E3314" s="2">
        <f t="shared" ca="1" si="363"/>
        <v>11494</v>
      </c>
      <c r="F3314" s="2">
        <f t="shared" ca="1" si="364"/>
        <v>5348</v>
      </c>
      <c r="G3314" s="2">
        <f t="shared" ca="1" si="365"/>
        <v>327</v>
      </c>
    </row>
    <row r="3315" spans="1:7" x14ac:dyDescent="0.3">
      <c r="A3315" s="5" t="str">
        <f t="shared" si="366"/>
        <v>Reebok</v>
      </c>
      <c r="B3315" s="5" t="str">
        <f t="shared" si="361"/>
        <v>Nano X3</v>
      </c>
      <c r="C3315" s="3">
        <f t="shared" si="367"/>
        <v>45878</v>
      </c>
      <c r="D3315" s="4">
        <f t="shared" ca="1" si="362"/>
        <v>175</v>
      </c>
      <c r="E3315" s="2">
        <f t="shared" ca="1" si="363"/>
        <v>10299</v>
      </c>
      <c r="F3315" s="2">
        <f t="shared" ca="1" si="364"/>
        <v>12135</v>
      </c>
      <c r="G3315" s="2">
        <f t="shared" ca="1" si="365"/>
        <v>540</v>
      </c>
    </row>
    <row r="3316" spans="1:7" x14ac:dyDescent="0.3">
      <c r="A3316" s="5" t="str">
        <f t="shared" si="366"/>
        <v>Nike</v>
      </c>
      <c r="B3316" s="5" t="str">
        <f t="shared" si="361"/>
        <v>Vaporfly 3</v>
      </c>
      <c r="C3316" s="3">
        <f t="shared" si="367"/>
        <v>45878</v>
      </c>
      <c r="D3316" s="4">
        <f t="shared" ca="1" si="362"/>
        <v>204</v>
      </c>
      <c r="E3316" s="2">
        <f t="shared" ca="1" si="363"/>
        <v>9974</v>
      </c>
      <c r="F3316" s="2">
        <f t="shared" ca="1" si="364"/>
        <v>20025</v>
      </c>
      <c r="G3316" s="2">
        <f t="shared" ca="1" si="365"/>
        <v>1089</v>
      </c>
    </row>
    <row r="3317" spans="1:7" x14ac:dyDescent="0.3">
      <c r="A3317" s="5" t="str">
        <f t="shared" si="366"/>
        <v>Adidas</v>
      </c>
      <c r="B3317" s="5" t="str">
        <f t="shared" si="361"/>
        <v>Samba</v>
      </c>
      <c r="C3317" s="3">
        <f t="shared" si="367"/>
        <v>45879</v>
      </c>
      <c r="D3317" s="4">
        <f t="shared" ca="1" si="362"/>
        <v>187</v>
      </c>
      <c r="E3317" s="2">
        <f t="shared" ca="1" si="363"/>
        <v>7816</v>
      </c>
      <c r="F3317" s="2">
        <f t="shared" ca="1" si="364"/>
        <v>13531</v>
      </c>
      <c r="G3317" s="2">
        <f t="shared" ca="1" si="365"/>
        <v>814</v>
      </c>
    </row>
    <row r="3318" spans="1:7" x14ac:dyDescent="0.3">
      <c r="A3318" s="5" t="str">
        <f t="shared" si="366"/>
        <v>Puma</v>
      </c>
      <c r="B3318" s="5" t="str">
        <f t="shared" si="361"/>
        <v>Mayze</v>
      </c>
      <c r="C3318" s="3">
        <f t="shared" si="367"/>
        <v>45879</v>
      </c>
      <c r="D3318" s="4">
        <f t="shared" ca="1" si="362"/>
        <v>26</v>
      </c>
      <c r="E3318" s="2">
        <f t="shared" ca="1" si="363"/>
        <v>3079</v>
      </c>
      <c r="F3318" s="2">
        <f t="shared" ca="1" si="364"/>
        <v>18025</v>
      </c>
      <c r="G3318" s="2">
        <f t="shared" ca="1" si="365"/>
        <v>1353</v>
      </c>
    </row>
    <row r="3319" spans="1:7" x14ac:dyDescent="0.3">
      <c r="A3319" s="5" t="str">
        <f t="shared" si="366"/>
        <v>New Balance</v>
      </c>
      <c r="B3319" s="5" t="str">
        <f t="shared" si="361"/>
        <v>574 Core</v>
      </c>
      <c r="C3319" s="3">
        <f t="shared" si="367"/>
        <v>45879</v>
      </c>
      <c r="D3319" s="4">
        <f t="shared" ca="1" si="362"/>
        <v>150</v>
      </c>
      <c r="E3319" s="2">
        <f t="shared" ca="1" si="363"/>
        <v>5640</v>
      </c>
      <c r="F3319" s="2">
        <f t="shared" ca="1" si="364"/>
        <v>17600</v>
      </c>
      <c r="G3319" s="2">
        <f t="shared" ca="1" si="365"/>
        <v>653</v>
      </c>
    </row>
    <row r="3320" spans="1:7" x14ac:dyDescent="0.3">
      <c r="A3320" s="5" t="str">
        <f t="shared" si="366"/>
        <v>Reebok</v>
      </c>
      <c r="B3320" s="5" t="str">
        <f t="shared" si="361"/>
        <v>Club C 85</v>
      </c>
      <c r="C3320" s="3">
        <f t="shared" si="367"/>
        <v>45879</v>
      </c>
      <c r="D3320" s="4">
        <f t="shared" ca="1" si="362"/>
        <v>187</v>
      </c>
      <c r="E3320" s="2">
        <f t="shared" ca="1" si="363"/>
        <v>2469</v>
      </c>
      <c r="F3320" s="2">
        <f t="shared" ca="1" si="364"/>
        <v>15447</v>
      </c>
      <c r="G3320" s="2">
        <f t="shared" ca="1" si="365"/>
        <v>970</v>
      </c>
    </row>
    <row r="3321" spans="1:7" x14ac:dyDescent="0.3">
      <c r="A3321" s="5" t="str">
        <f t="shared" si="366"/>
        <v>Nike</v>
      </c>
      <c r="B3321" s="5" t="str">
        <f t="shared" si="361"/>
        <v>Pegasus 40</v>
      </c>
      <c r="C3321" s="3">
        <f t="shared" si="367"/>
        <v>45879</v>
      </c>
      <c r="D3321" s="4">
        <f t="shared" ca="1" si="362"/>
        <v>21</v>
      </c>
      <c r="E3321" s="2">
        <f t="shared" ca="1" si="363"/>
        <v>3352</v>
      </c>
      <c r="F3321" s="2">
        <f t="shared" ca="1" si="364"/>
        <v>28088</v>
      </c>
      <c r="G3321" s="2">
        <f t="shared" ca="1" si="365"/>
        <v>1381</v>
      </c>
    </row>
    <row r="3322" spans="1:7" x14ac:dyDescent="0.3">
      <c r="A3322" s="5" t="str">
        <f t="shared" si="366"/>
        <v>Adidas</v>
      </c>
      <c r="B3322" s="5" t="str">
        <f t="shared" si="361"/>
        <v>Gazelle</v>
      </c>
      <c r="C3322" s="3">
        <f t="shared" si="367"/>
        <v>45879</v>
      </c>
      <c r="D3322" s="4">
        <f t="shared" ca="1" si="362"/>
        <v>200</v>
      </c>
      <c r="E3322" s="2">
        <f t="shared" ca="1" si="363"/>
        <v>6681</v>
      </c>
      <c r="F3322" s="2">
        <f t="shared" ca="1" si="364"/>
        <v>15541</v>
      </c>
      <c r="G3322" s="2">
        <f t="shared" ca="1" si="365"/>
        <v>1027</v>
      </c>
    </row>
    <row r="3323" spans="1:7" x14ac:dyDescent="0.3">
      <c r="A3323" s="5" t="str">
        <f t="shared" si="366"/>
        <v>Puma</v>
      </c>
      <c r="B3323" s="5" t="str">
        <f t="shared" si="361"/>
        <v>Slipstream</v>
      </c>
      <c r="C3323" s="3">
        <f t="shared" si="367"/>
        <v>45879</v>
      </c>
      <c r="D3323" s="4">
        <f t="shared" ca="1" si="362"/>
        <v>188</v>
      </c>
      <c r="E3323" s="2">
        <f t="shared" ca="1" si="363"/>
        <v>7793</v>
      </c>
      <c r="F3323" s="2">
        <f t="shared" ca="1" si="364"/>
        <v>33196</v>
      </c>
      <c r="G3323" s="2">
        <f t="shared" ca="1" si="365"/>
        <v>1915</v>
      </c>
    </row>
    <row r="3324" spans="1:7" x14ac:dyDescent="0.3">
      <c r="A3324" s="5" t="str">
        <f t="shared" si="366"/>
        <v>New Balance</v>
      </c>
      <c r="B3324" s="5" t="str">
        <f t="shared" si="361"/>
        <v>550</v>
      </c>
      <c r="C3324" s="3">
        <f t="shared" si="367"/>
        <v>45879</v>
      </c>
      <c r="D3324" s="4">
        <f t="shared" ca="1" si="362"/>
        <v>105</v>
      </c>
      <c r="E3324" s="2">
        <f t="shared" ca="1" si="363"/>
        <v>2040</v>
      </c>
      <c r="F3324" s="2">
        <f t="shared" ca="1" si="364"/>
        <v>32161</v>
      </c>
      <c r="G3324" s="2">
        <f t="shared" ca="1" si="365"/>
        <v>1947</v>
      </c>
    </row>
    <row r="3325" spans="1:7" x14ac:dyDescent="0.3">
      <c r="A3325" s="5" t="str">
        <f t="shared" si="366"/>
        <v>Reebok</v>
      </c>
      <c r="B3325" s="5" t="str">
        <f t="shared" si="361"/>
        <v>Classic Leather</v>
      </c>
      <c r="C3325" s="3">
        <f t="shared" si="367"/>
        <v>45879</v>
      </c>
      <c r="D3325" s="4">
        <f t="shared" ca="1" si="362"/>
        <v>42</v>
      </c>
      <c r="E3325" s="2">
        <f t="shared" ca="1" si="363"/>
        <v>9655</v>
      </c>
      <c r="F3325" s="2">
        <f t="shared" ca="1" si="364"/>
        <v>27745</v>
      </c>
      <c r="G3325" s="2">
        <f t="shared" ca="1" si="365"/>
        <v>972</v>
      </c>
    </row>
    <row r="3326" spans="1:7" x14ac:dyDescent="0.3">
      <c r="A3326" s="5" t="str">
        <f t="shared" si="366"/>
        <v>Nike</v>
      </c>
      <c r="B3326" s="5" t="str">
        <f t="shared" si="361"/>
        <v>Air Force 1</v>
      </c>
      <c r="C3326" s="3">
        <f t="shared" si="367"/>
        <v>45879</v>
      </c>
      <c r="D3326" s="4">
        <f t="shared" ca="1" si="362"/>
        <v>228</v>
      </c>
      <c r="E3326" s="2">
        <f t="shared" ca="1" si="363"/>
        <v>9626</v>
      </c>
      <c r="F3326" s="2">
        <f t="shared" ca="1" si="364"/>
        <v>7642</v>
      </c>
      <c r="G3326" s="2">
        <f t="shared" ca="1" si="365"/>
        <v>302</v>
      </c>
    </row>
    <row r="3327" spans="1:7" x14ac:dyDescent="0.3">
      <c r="A3327" s="5" t="str">
        <f t="shared" si="366"/>
        <v>Adidas</v>
      </c>
      <c r="B3327" s="5" t="str">
        <f t="shared" si="361"/>
        <v>Superstar</v>
      </c>
      <c r="C3327" s="3">
        <f t="shared" si="367"/>
        <v>45879</v>
      </c>
      <c r="D3327" s="4">
        <f t="shared" ca="1" si="362"/>
        <v>214</v>
      </c>
      <c r="E3327" s="2">
        <f t="shared" ca="1" si="363"/>
        <v>5002</v>
      </c>
      <c r="F3327" s="2">
        <f t="shared" ca="1" si="364"/>
        <v>10872</v>
      </c>
      <c r="G3327" s="2">
        <f t="shared" ca="1" si="365"/>
        <v>410</v>
      </c>
    </row>
    <row r="3328" spans="1:7" x14ac:dyDescent="0.3">
      <c r="A3328" s="5" t="str">
        <f t="shared" si="366"/>
        <v>Puma</v>
      </c>
      <c r="B3328" s="5" t="str">
        <f t="shared" si="361"/>
        <v>Rider Vintage</v>
      </c>
      <c r="C3328" s="3">
        <f t="shared" si="367"/>
        <v>45879</v>
      </c>
      <c r="D3328" s="4">
        <f t="shared" ca="1" si="362"/>
        <v>248</v>
      </c>
      <c r="E3328" s="2">
        <f t="shared" ca="1" si="363"/>
        <v>10072</v>
      </c>
      <c r="F3328" s="2">
        <f t="shared" ca="1" si="364"/>
        <v>12503</v>
      </c>
      <c r="G3328" s="2">
        <f t="shared" ca="1" si="365"/>
        <v>367</v>
      </c>
    </row>
    <row r="3329" spans="1:7" x14ac:dyDescent="0.3">
      <c r="A3329" s="5" t="str">
        <f t="shared" si="366"/>
        <v>New Balance</v>
      </c>
      <c r="B3329" s="5" t="str">
        <f t="shared" si="361"/>
        <v>327</v>
      </c>
      <c r="C3329" s="3">
        <f t="shared" si="367"/>
        <v>45879</v>
      </c>
      <c r="D3329" s="4">
        <f t="shared" ca="1" si="362"/>
        <v>216</v>
      </c>
      <c r="E3329" s="2">
        <f t="shared" ca="1" si="363"/>
        <v>1619</v>
      </c>
      <c r="F3329" s="2">
        <f t="shared" ca="1" si="364"/>
        <v>15575</v>
      </c>
      <c r="G3329" s="2">
        <f t="shared" ca="1" si="365"/>
        <v>354</v>
      </c>
    </row>
    <row r="3330" spans="1:7" x14ac:dyDescent="0.3">
      <c r="A3330" s="5" t="str">
        <f t="shared" si="366"/>
        <v>Reebok</v>
      </c>
      <c r="B3330" s="5" t="str">
        <f t="shared" si="361"/>
        <v>Question Mid</v>
      </c>
      <c r="C3330" s="3">
        <f t="shared" si="367"/>
        <v>45879</v>
      </c>
      <c r="D3330" s="4">
        <f t="shared" ca="1" si="362"/>
        <v>178</v>
      </c>
      <c r="E3330" s="2">
        <f t="shared" ca="1" si="363"/>
        <v>7675</v>
      </c>
      <c r="F3330" s="2">
        <f t="shared" ca="1" si="364"/>
        <v>7919</v>
      </c>
      <c r="G3330" s="2">
        <f t="shared" ca="1" si="365"/>
        <v>545</v>
      </c>
    </row>
    <row r="3331" spans="1:7" x14ac:dyDescent="0.3">
      <c r="A3331" s="5" t="str">
        <f t="shared" si="366"/>
        <v>Nike</v>
      </c>
      <c r="B3331" s="5" t="str">
        <f t="shared" ref="B3331:B3394" si="368">IF(A3331="Nike",CHOOSE(MOD(ROW(A3330),6)+1,"Air Max 270","Air Force 1","Pegasus 40","Vaporfly 3","Cortez","Jordan 1"),
 IF(A3331="Adidas",CHOOSE(MOD(ROW(A3330),6)+1,"Ultraboost 23","Stan Smith","Superstar","Gazelle","Samba","NMD S1"),
 IF(A3331="Puma",CHOOSE(MOD(ROW(A3330),6)+1,"Suede Classic","RS-X","Cali Dream","Rider Vintage","Slipstream","Mayze"),
 IF(A3331="New Balance",CHOOSE(MOD(ROW(A3330),6)+1,"574 Core","990v6","2002R","9060","327","550"),
 IF(A3331="Reebok",CHOOSE(MOD(ROW(A3330),6)+1,"Classic Leather","Club C 85","Nano X3","Instapump Fury","Zig Kinetica","Question Mid"),"")))))</f>
        <v>Air Max 270</v>
      </c>
      <c r="C3331" s="3">
        <f t="shared" si="367"/>
        <v>45879</v>
      </c>
      <c r="D3331" s="4">
        <f t="shared" ref="D3331:D3394" ca="1" si="369">RANDBETWEEN(20,250)</f>
        <v>151</v>
      </c>
      <c r="E3331" s="2">
        <f t="shared" ref="E3331:E3394" ca="1" si="370">ROUND(RANDBETWEEN(1500,12000)+(RANDBETWEEN(-200,200)),2)</f>
        <v>6504</v>
      </c>
      <c r="F3331" s="2">
        <f t="shared" ref="F3331:F3394" ca="1" si="371">RANDBETWEEN(5000,35000)</f>
        <v>32984</v>
      </c>
      <c r="G3331" s="2">
        <f t="shared" ref="G3331:G3394" ca="1" si="372">RANDBETWEEN(ROUND(F3331*0.02,0),ROUND(F3331*0.08,0))</f>
        <v>1916</v>
      </c>
    </row>
    <row r="3332" spans="1:7" x14ac:dyDescent="0.3">
      <c r="A3332" s="5" t="str">
        <f t="shared" si="366"/>
        <v>Adidas</v>
      </c>
      <c r="B3332" s="5" t="str">
        <f t="shared" si="368"/>
        <v>Stan Smith</v>
      </c>
      <c r="C3332" s="3">
        <f t="shared" si="367"/>
        <v>45880</v>
      </c>
      <c r="D3332" s="4">
        <f t="shared" ca="1" si="369"/>
        <v>124</v>
      </c>
      <c r="E3332" s="2">
        <f t="shared" ca="1" si="370"/>
        <v>8205</v>
      </c>
      <c r="F3332" s="2">
        <f t="shared" ca="1" si="371"/>
        <v>17867</v>
      </c>
      <c r="G3332" s="2">
        <f t="shared" ca="1" si="372"/>
        <v>1220</v>
      </c>
    </row>
    <row r="3333" spans="1:7" x14ac:dyDescent="0.3">
      <c r="A3333" s="5" t="str">
        <f t="shared" si="366"/>
        <v>Puma</v>
      </c>
      <c r="B3333" s="5" t="str">
        <f t="shared" si="368"/>
        <v>Cali Dream</v>
      </c>
      <c r="C3333" s="3">
        <f t="shared" si="367"/>
        <v>45880</v>
      </c>
      <c r="D3333" s="4">
        <f t="shared" ca="1" si="369"/>
        <v>98</v>
      </c>
      <c r="E3333" s="2">
        <f t="shared" ca="1" si="370"/>
        <v>6323</v>
      </c>
      <c r="F3333" s="2">
        <f t="shared" ca="1" si="371"/>
        <v>15116</v>
      </c>
      <c r="G3333" s="2">
        <f t="shared" ca="1" si="372"/>
        <v>1107</v>
      </c>
    </row>
    <row r="3334" spans="1:7" x14ac:dyDescent="0.3">
      <c r="A3334" s="5" t="str">
        <f t="shared" si="366"/>
        <v>New Balance</v>
      </c>
      <c r="B3334" s="5" t="str">
        <f t="shared" si="368"/>
        <v>9060</v>
      </c>
      <c r="C3334" s="3">
        <f t="shared" si="367"/>
        <v>45880</v>
      </c>
      <c r="D3334" s="4">
        <f t="shared" ca="1" si="369"/>
        <v>111</v>
      </c>
      <c r="E3334" s="2">
        <f t="shared" ca="1" si="370"/>
        <v>4434</v>
      </c>
      <c r="F3334" s="2">
        <f t="shared" ca="1" si="371"/>
        <v>6188</v>
      </c>
      <c r="G3334" s="2">
        <f t="shared" ca="1" si="372"/>
        <v>239</v>
      </c>
    </row>
    <row r="3335" spans="1:7" x14ac:dyDescent="0.3">
      <c r="A3335" s="5" t="str">
        <f t="shared" si="366"/>
        <v>Reebok</v>
      </c>
      <c r="B3335" s="5" t="str">
        <f t="shared" si="368"/>
        <v>Zig Kinetica</v>
      </c>
      <c r="C3335" s="3">
        <f t="shared" si="367"/>
        <v>45880</v>
      </c>
      <c r="D3335" s="4">
        <f t="shared" ca="1" si="369"/>
        <v>79</v>
      </c>
      <c r="E3335" s="2">
        <f t="shared" ca="1" si="370"/>
        <v>3001</v>
      </c>
      <c r="F3335" s="2">
        <f t="shared" ca="1" si="371"/>
        <v>25511</v>
      </c>
      <c r="G3335" s="2">
        <f t="shared" ca="1" si="372"/>
        <v>925</v>
      </c>
    </row>
    <row r="3336" spans="1:7" x14ac:dyDescent="0.3">
      <c r="A3336" s="5" t="str">
        <f t="shared" si="366"/>
        <v>Nike</v>
      </c>
      <c r="B3336" s="5" t="str">
        <f t="shared" si="368"/>
        <v>Jordan 1</v>
      </c>
      <c r="C3336" s="3">
        <f t="shared" si="367"/>
        <v>45880</v>
      </c>
      <c r="D3336" s="4">
        <f t="shared" ca="1" si="369"/>
        <v>159</v>
      </c>
      <c r="E3336" s="2">
        <f t="shared" ca="1" si="370"/>
        <v>5888</v>
      </c>
      <c r="F3336" s="2">
        <f t="shared" ca="1" si="371"/>
        <v>15775</v>
      </c>
      <c r="G3336" s="2">
        <f t="shared" ca="1" si="372"/>
        <v>576</v>
      </c>
    </row>
    <row r="3337" spans="1:7" x14ac:dyDescent="0.3">
      <c r="A3337" s="5" t="str">
        <f t="shared" si="366"/>
        <v>Adidas</v>
      </c>
      <c r="B3337" s="5" t="str">
        <f t="shared" si="368"/>
        <v>Ultraboost 23</v>
      </c>
      <c r="C3337" s="3">
        <f t="shared" si="367"/>
        <v>45880</v>
      </c>
      <c r="D3337" s="4">
        <f t="shared" ca="1" si="369"/>
        <v>135</v>
      </c>
      <c r="E3337" s="2">
        <f t="shared" ca="1" si="370"/>
        <v>11686</v>
      </c>
      <c r="F3337" s="2">
        <f t="shared" ca="1" si="371"/>
        <v>32032</v>
      </c>
      <c r="G3337" s="2">
        <f t="shared" ca="1" si="372"/>
        <v>2106</v>
      </c>
    </row>
    <row r="3338" spans="1:7" x14ac:dyDescent="0.3">
      <c r="A3338" s="5" t="str">
        <f t="shared" si="366"/>
        <v>Puma</v>
      </c>
      <c r="B3338" s="5" t="str">
        <f t="shared" si="368"/>
        <v>RS-X</v>
      </c>
      <c r="C3338" s="3">
        <f t="shared" si="367"/>
        <v>45880</v>
      </c>
      <c r="D3338" s="4">
        <f t="shared" ca="1" si="369"/>
        <v>202</v>
      </c>
      <c r="E3338" s="2">
        <f t="shared" ca="1" si="370"/>
        <v>9280</v>
      </c>
      <c r="F3338" s="2">
        <f t="shared" ca="1" si="371"/>
        <v>6690</v>
      </c>
      <c r="G3338" s="2">
        <f t="shared" ca="1" si="372"/>
        <v>511</v>
      </c>
    </row>
    <row r="3339" spans="1:7" x14ac:dyDescent="0.3">
      <c r="A3339" s="5" t="str">
        <f t="shared" si="366"/>
        <v>New Balance</v>
      </c>
      <c r="B3339" s="5" t="str">
        <f t="shared" si="368"/>
        <v>2002R</v>
      </c>
      <c r="C3339" s="3">
        <f t="shared" si="367"/>
        <v>45880</v>
      </c>
      <c r="D3339" s="4">
        <f t="shared" ca="1" si="369"/>
        <v>50</v>
      </c>
      <c r="E3339" s="2">
        <f t="shared" ca="1" si="370"/>
        <v>9301</v>
      </c>
      <c r="F3339" s="2">
        <f t="shared" ca="1" si="371"/>
        <v>11647</v>
      </c>
      <c r="G3339" s="2">
        <f t="shared" ca="1" si="372"/>
        <v>457</v>
      </c>
    </row>
    <row r="3340" spans="1:7" x14ac:dyDescent="0.3">
      <c r="A3340" s="5" t="str">
        <f t="shared" si="366"/>
        <v>Reebok</v>
      </c>
      <c r="B3340" s="5" t="str">
        <f t="shared" si="368"/>
        <v>Instapump Fury</v>
      </c>
      <c r="C3340" s="3">
        <f t="shared" si="367"/>
        <v>45880</v>
      </c>
      <c r="D3340" s="4">
        <f t="shared" ca="1" si="369"/>
        <v>93</v>
      </c>
      <c r="E3340" s="2">
        <f t="shared" ca="1" si="370"/>
        <v>3373</v>
      </c>
      <c r="F3340" s="2">
        <f t="shared" ca="1" si="371"/>
        <v>28575</v>
      </c>
      <c r="G3340" s="2">
        <f t="shared" ca="1" si="372"/>
        <v>678</v>
      </c>
    </row>
    <row r="3341" spans="1:7" x14ac:dyDescent="0.3">
      <c r="A3341" s="5" t="str">
        <f t="shared" si="366"/>
        <v>Nike</v>
      </c>
      <c r="B3341" s="5" t="str">
        <f t="shared" si="368"/>
        <v>Cortez</v>
      </c>
      <c r="C3341" s="3">
        <f t="shared" si="367"/>
        <v>45880</v>
      </c>
      <c r="D3341" s="4">
        <f t="shared" ca="1" si="369"/>
        <v>244</v>
      </c>
      <c r="E3341" s="2">
        <f t="shared" ca="1" si="370"/>
        <v>10841</v>
      </c>
      <c r="F3341" s="2">
        <f t="shared" ca="1" si="371"/>
        <v>25914</v>
      </c>
      <c r="G3341" s="2">
        <f t="shared" ca="1" si="372"/>
        <v>2071</v>
      </c>
    </row>
    <row r="3342" spans="1:7" x14ac:dyDescent="0.3">
      <c r="A3342" s="5" t="str">
        <f t="shared" si="366"/>
        <v>Adidas</v>
      </c>
      <c r="B3342" s="5" t="str">
        <f t="shared" si="368"/>
        <v>NMD S1</v>
      </c>
      <c r="C3342" s="3">
        <f t="shared" si="367"/>
        <v>45880</v>
      </c>
      <c r="D3342" s="4">
        <f t="shared" ca="1" si="369"/>
        <v>198</v>
      </c>
      <c r="E3342" s="2">
        <f t="shared" ca="1" si="370"/>
        <v>7313</v>
      </c>
      <c r="F3342" s="2">
        <f t="shared" ca="1" si="371"/>
        <v>23114</v>
      </c>
      <c r="G3342" s="2">
        <f t="shared" ca="1" si="372"/>
        <v>1334</v>
      </c>
    </row>
    <row r="3343" spans="1:7" x14ac:dyDescent="0.3">
      <c r="A3343" s="5" t="str">
        <f t="shared" si="366"/>
        <v>Puma</v>
      </c>
      <c r="B3343" s="5" t="str">
        <f t="shared" si="368"/>
        <v>Suede Classic</v>
      </c>
      <c r="C3343" s="3">
        <f t="shared" si="367"/>
        <v>45880</v>
      </c>
      <c r="D3343" s="4">
        <f t="shared" ca="1" si="369"/>
        <v>232</v>
      </c>
      <c r="E3343" s="2">
        <f t="shared" ca="1" si="370"/>
        <v>4040</v>
      </c>
      <c r="F3343" s="2">
        <f t="shared" ca="1" si="371"/>
        <v>16708</v>
      </c>
      <c r="G3343" s="2">
        <f t="shared" ca="1" si="372"/>
        <v>769</v>
      </c>
    </row>
    <row r="3344" spans="1:7" x14ac:dyDescent="0.3">
      <c r="A3344" s="5" t="str">
        <f t="shared" si="366"/>
        <v>New Balance</v>
      </c>
      <c r="B3344" s="5" t="str">
        <f t="shared" si="368"/>
        <v>990v6</v>
      </c>
      <c r="C3344" s="3">
        <f t="shared" si="367"/>
        <v>45880</v>
      </c>
      <c r="D3344" s="4">
        <f t="shared" ca="1" si="369"/>
        <v>181</v>
      </c>
      <c r="E3344" s="2">
        <f t="shared" ca="1" si="370"/>
        <v>10998</v>
      </c>
      <c r="F3344" s="2">
        <f t="shared" ca="1" si="371"/>
        <v>24341</v>
      </c>
      <c r="G3344" s="2">
        <f t="shared" ca="1" si="372"/>
        <v>691</v>
      </c>
    </row>
    <row r="3345" spans="1:7" x14ac:dyDescent="0.3">
      <c r="A3345" s="5" t="str">
        <f t="shared" si="366"/>
        <v>Reebok</v>
      </c>
      <c r="B3345" s="5" t="str">
        <f t="shared" si="368"/>
        <v>Nano X3</v>
      </c>
      <c r="C3345" s="3">
        <f t="shared" si="367"/>
        <v>45880</v>
      </c>
      <c r="D3345" s="4">
        <f t="shared" ca="1" si="369"/>
        <v>138</v>
      </c>
      <c r="E3345" s="2">
        <f t="shared" ca="1" si="370"/>
        <v>8240</v>
      </c>
      <c r="F3345" s="2">
        <f t="shared" ca="1" si="371"/>
        <v>31855</v>
      </c>
      <c r="G3345" s="2">
        <f t="shared" ca="1" si="372"/>
        <v>2474</v>
      </c>
    </row>
    <row r="3346" spans="1:7" x14ac:dyDescent="0.3">
      <c r="A3346" s="5" t="str">
        <f t="shared" si="366"/>
        <v>Nike</v>
      </c>
      <c r="B3346" s="5" t="str">
        <f t="shared" si="368"/>
        <v>Vaporfly 3</v>
      </c>
      <c r="C3346" s="3">
        <f t="shared" si="367"/>
        <v>45880</v>
      </c>
      <c r="D3346" s="4">
        <f t="shared" ca="1" si="369"/>
        <v>29</v>
      </c>
      <c r="E3346" s="2">
        <f t="shared" ca="1" si="370"/>
        <v>4914</v>
      </c>
      <c r="F3346" s="2">
        <f t="shared" ca="1" si="371"/>
        <v>26412</v>
      </c>
      <c r="G3346" s="2">
        <f t="shared" ca="1" si="372"/>
        <v>1222</v>
      </c>
    </row>
    <row r="3347" spans="1:7" x14ac:dyDescent="0.3">
      <c r="A3347" s="5" t="str">
        <f t="shared" si="366"/>
        <v>Adidas</v>
      </c>
      <c r="B3347" s="5" t="str">
        <f t="shared" si="368"/>
        <v>Samba</v>
      </c>
      <c r="C3347" s="3">
        <f t="shared" si="367"/>
        <v>45881</v>
      </c>
      <c r="D3347" s="4">
        <f t="shared" ca="1" si="369"/>
        <v>85</v>
      </c>
      <c r="E3347" s="2">
        <f t="shared" ca="1" si="370"/>
        <v>3241</v>
      </c>
      <c r="F3347" s="2">
        <f t="shared" ca="1" si="371"/>
        <v>32735</v>
      </c>
      <c r="G3347" s="2">
        <f t="shared" ca="1" si="372"/>
        <v>684</v>
      </c>
    </row>
    <row r="3348" spans="1:7" x14ac:dyDescent="0.3">
      <c r="A3348" s="5" t="str">
        <f t="shared" si="366"/>
        <v>Puma</v>
      </c>
      <c r="B3348" s="5" t="str">
        <f t="shared" si="368"/>
        <v>Mayze</v>
      </c>
      <c r="C3348" s="3">
        <f t="shared" si="367"/>
        <v>45881</v>
      </c>
      <c r="D3348" s="4">
        <f t="shared" ca="1" si="369"/>
        <v>238</v>
      </c>
      <c r="E3348" s="2">
        <f t="shared" ca="1" si="370"/>
        <v>7383</v>
      </c>
      <c r="F3348" s="2">
        <f t="shared" ca="1" si="371"/>
        <v>12912</v>
      </c>
      <c r="G3348" s="2">
        <f t="shared" ca="1" si="372"/>
        <v>297</v>
      </c>
    </row>
    <row r="3349" spans="1:7" x14ac:dyDescent="0.3">
      <c r="A3349" s="5" t="str">
        <f t="shared" si="366"/>
        <v>New Balance</v>
      </c>
      <c r="B3349" s="5" t="str">
        <f t="shared" si="368"/>
        <v>574 Core</v>
      </c>
      <c r="C3349" s="3">
        <f t="shared" si="367"/>
        <v>45881</v>
      </c>
      <c r="D3349" s="4">
        <f t="shared" ca="1" si="369"/>
        <v>108</v>
      </c>
      <c r="E3349" s="2">
        <f t="shared" ca="1" si="370"/>
        <v>10169</v>
      </c>
      <c r="F3349" s="2">
        <f t="shared" ca="1" si="371"/>
        <v>5124</v>
      </c>
      <c r="G3349" s="2">
        <f t="shared" ca="1" si="372"/>
        <v>376</v>
      </c>
    </row>
    <row r="3350" spans="1:7" x14ac:dyDescent="0.3">
      <c r="A3350" s="5" t="str">
        <f t="shared" si="366"/>
        <v>Reebok</v>
      </c>
      <c r="B3350" s="5" t="str">
        <f t="shared" si="368"/>
        <v>Club C 85</v>
      </c>
      <c r="C3350" s="3">
        <f t="shared" si="367"/>
        <v>45881</v>
      </c>
      <c r="D3350" s="4">
        <f t="shared" ca="1" si="369"/>
        <v>32</v>
      </c>
      <c r="E3350" s="2">
        <f t="shared" ca="1" si="370"/>
        <v>8714</v>
      </c>
      <c r="F3350" s="2">
        <f t="shared" ca="1" si="371"/>
        <v>6536</v>
      </c>
      <c r="G3350" s="2">
        <f t="shared" ca="1" si="372"/>
        <v>147</v>
      </c>
    </row>
    <row r="3351" spans="1:7" x14ac:dyDescent="0.3">
      <c r="A3351" s="5" t="str">
        <f t="shared" si="366"/>
        <v>Nike</v>
      </c>
      <c r="B3351" s="5" t="str">
        <f t="shared" si="368"/>
        <v>Pegasus 40</v>
      </c>
      <c r="C3351" s="3">
        <f t="shared" si="367"/>
        <v>45881</v>
      </c>
      <c r="D3351" s="4">
        <f t="shared" ca="1" si="369"/>
        <v>110</v>
      </c>
      <c r="E3351" s="2">
        <f t="shared" ca="1" si="370"/>
        <v>8528</v>
      </c>
      <c r="F3351" s="2">
        <f t="shared" ca="1" si="371"/>
        <v>28001</v>
      </c>
      <c r="G3351" s="2">
        <f t="shared" ca="1" si="372"/>
        <v>1092</v>
      </c>
    </row>
    <row r="3352" spans="1:7" x14ac:dyDescent="0.3">
      <c r="A3352" s="5" t="str">
        <f t="shared" si="366"/>
        <v>Adidas</v>
      </c>
      <c r="B3352" s="5" t="str">
        <f t="shared" si="368"/>
        <v>Gazelle</v>
      </c>
      <c r="C3352" s="3">
        <f t="shared" si="367"/>
        <v>45881</v>
      </c>
      <c r="D3352" s="4">
        <f t="shared" ca="1" si="369"/>
        <v>210</v>
      </c>
      <c r="E3352" s="2">
        <f t="shared" ca="1" si="370"/>
        <v>4354</v>
      </c>
      <c r="F3352" s="2">
        <f t="shared" ca="1" si="371"/>
        <v>10602</v>
      </c>
      <c r="G3352" s="2">
        <f t="shared" ca="1" si="372"/>
        <v>835</v>
      </c>
    </row>
    <row r="3353" spans="1:7" x14ac:dyDescent="0.3">
      <c r="A3353" s="5" t="str">
        <f t="shared" si="366"/>
        <v>Puma</v>
      </c>
      <c r="B3353" s="5" t="str">
        <f t="shared" si="368"/>
        <v>Slipstream</v>
      </c>
      <c r="C3353" s="3">
        <f t="shared" si="367"/>
        <v>45881</v>
      </c>
      <c r="D3353" s="4">
        <f t="shared" ca="1" si="369"/>
        <v>158</v>
      </c>
      <c r="E3353" s="2">
        <f t="shared" ca="1" si="370"/>
        <v>2665</v>
      </c>
      <c r="F3353" s="2">
        <f t="shared" ca="1" si="371"/>
        <v>12499</v>
      </c>
      <c r="G3353" s="2">
        <f t="shared" ca="1" si="372"/>
        <v>286</v>
      </c>
    </row>
    <row r="3354" spans="1:7" x14ac:dyDescent="0.3">
      <c r="A3354" s="5" t="str">
        <f t="shared" si="366"/>
        <v>New Balance</v>
      </c>
      <c r="B3354" s="5" t="str">
        <f t="shared" si="368"/>
        <v>550</v>
      </c>
      <c r="C3354" s="3">
        <f t="shared" si="367"/>
        <v>45881</v>
      </c>
      <c r="D3354" s="4">
        <f t="shared" ca="1" si="369"/>
        <v>54</v>
      </c>
      <c r="E3354" s="2">
        <f t="shared" ca="1" si="370"/>
        <v>11867</v>
      </c>
      <c r="F3354" s="2">
        <f t="shared" ca="1" si="371"/>
        <v>27442</v>
      </c>
      <c r="G3354" s="2">
        <f t="shared" ca="1" si="372"/>
        <v>2037</v>
      </c>
    </row>
    <row r="3355" spans="1:7" x14ac:dyDescent="0.3">
      <c r="A3355" s="5" t="str">
        <f t="shared" si="366"/>
        <v>Reebok</v>
      </c>
      <c r="B3355" s="5" t="str">
        <f t="shared" si="368"/>
        <v>Classic Leather</v>
      </c>
      <c r="C3355" s="3">
        <f t="shared" si="367"/>
        <v>45881</v>
      </c>
      <c r="D3355" s="4">
        <f t="shared" ca="1" si="369"/>
        <v>249</v>
      </c>
      <c r="E3355" s="2">
        <f t="shared" ca="1" si="370"/>
        <v>8976</v>
      </c>
      <c r="F3355" s="2">
        <f t="shared" ca="1" si="371"/>
        <v>15366</v>
      </c>
      <c r="G3355" s="2">
        <f t="shared" ca="1" si="372"/>
        <v>1143</v>
      </c>
    </row>
    <row r="3356" spans="1:7" x14ac:dyDescent="0.3">
      <c r="A3356" s="5" t="str">
        <f t="shared" si="366"/>
        <v>Nike</v>
      </c>
      <c r="B3356" s="5" t="str">
        <f t="shared" si="368"/>
        <v>Air Force 1</v>
      </c>
      <c r="C3356" s="3">
        <f t="shared" si="367"/>
        <v>45881</v>
      </c>
      <c r="D3356" s="4">
        <f t="shared" ca="1" si="369"/>
        <v>51</v>
      </c>
      <c r="E3356" s="2">
        <f t="shared" ca="1" si="370"/>
        <v>6260</v>
      </c>
      <c r="F3356" s="2">
        <f t="shared" ca="1" si="371"/>
        <v>33249</v>
      </c>
      <c r="G3356" s="2">
        <f t="shared" ca="1" si="372"/>
        <v>1917</v>
      </c>
    </row>
    <row r="3357" spans="1:7" x14ac:dyDescent="0.3">
      <c r="A3357" s="5" t="str">
        <f t="shared" si="366"/>
        <v>Adidas</v>
      </c>
      <c r="B3357" s="5" t="str">
        <f t="shared" si="368"/>
        <v>Superstar</v>
      </c>
      <c r="C3357" s="3">
        <f t="shared" si="367"/>
        <v>45881</v>
      </c>
      <c r="D3357" s="4">
        <f t="shared" ca="1" si="369"/>
        <v>67</v>
      </c>
      <c r="E3357" s="2">
        <f t="shared" ca="1" si="370"/>
        <v>7313</v>
      </c>
      <c r="F3357" s="2">
        <f t="shared" ca="1" si="371"/>
        <v>16519</v>
      </c>
      <c r="G3357" s="2">
        <f t="shared" ca="1" si="372"/>
        <v>1117</v>
      </c>
    </row>
    <row r="3358" spans="1:7" x14ac:dyDescent="0.3">
      <c r="A3358" s="5" t="str">
        <f t="shared" si="366"/>
        <v>Puma</v>
      </c>
      <c r="B3358" s="5" t="str">
        <f t="shared" si="368"/>
        <v>Rider Vintage</v>
      </c>
      <c r="C3358" s="3">
        <f t="shared" si="367"/>
        <v>45881</v>
      </c>
      <c r="D3358" s="4">
        <f t="shared" ca="1" si="369"/>
        <v>192</v>
      </c>
      <c r="E3358" s="2">
        <f t="shared" ca="1" si="370"/>
        <v>8074</v>
      </c>
      <c r="F3358" s="2">
        <f t="shared" ca="1" si="371"/>
        <v>31030</v>
      </c>
      <c r="G3358" s="2">
        <f t="shared" ca="1" si="372"/>
        <v>694</v>
      </c>
    </row>
    <row r="3359" spans="1:7" x14ac:dyDescent="0.3">
      <c r="A3359" s="5" t="str">
        <f t="shared" si="366"/>
        <v>New Balance</v>
      </c>
      <c r="B3359" s="5" t="str">
        <f t="shared" si="368"/>
        <v>327</v>
      </c>
      <c r="C3359" s="3">
        <f t="shared" si="367"/>
        <v>45881</v>
      </c>
      <c r="D3359" s="4">
        <f t="shared" ca="1" si="369"/>
        <v>208</v>
      </c>
      <c r="E3359" s="2">
        <f t="shared" ca="1" si="370"/>
        <v>1715</v>
      </c>
      <c r="F3359" s="2">
        <f t="shared" ca="1" si="371"/>
        <v>32655</v>
      </c>
      <c r="G3359" s="2">
        <f t="shared" ca="1" si="372"/>
        <v>967</v>
      </c>
    </row>
    <row r="3360" spans="1:7" x14ac:dyDescent="0.3">
      <c r="A3360" s="5" t="str">
        <f t="shared" si="366"/>
        <v>Reebok</v>
      </c>
      <c r="B3360" s="5" t="str">
        <f t="shared" si="368"/>
        <v>Question Mid</v>
      </c>
      <c r="C3360" s="3">
        <f t="shared" si="367"/>
        <v>45881</v>
      </c>
      <c r="D3360" s="4">
        <f t="shared" ca="1" si="369"/>
        <v>205</v>
      </c>
      <c r="E3360" s="2">
        <f t="shared" ca="1" si="370"/>
        <v>12010</v>
      </c>
      <c r="F3360" s="2">
        <f t="shared" ca="1" si="371"/>
        <v>15104</v>
      </c>
      <c r="G3360" s="2">
        <f t="shared" ca="1" si="372"/>
        <v>526</v>
      </c>
    </row>
    <row r="3361" spans="1:7" x14ac:dyDescent="0.3">
      <c r="A3361" s="5" t="str">
        <f t="shared" si="366"/>
        <v>Nike</v>
      </c>
      <c r="B3361" s="5" t="str">
        <f t="shared" si="368"/>
        <v>Air Max 270</v>
      </c>
      <c r="C3361" s="3">
        <f t="shared" si="367"/>
        <v>45881</v>
      </c>
      <c r="D3361" s="4">
        <f t="shared" ca="1" si="369"/>
        <v>46</v>
      </c>
      <c r="E3361" s="2">
        <f t="shared" ca="1" si="370"/>
        <v>7822</v>
      </c>
      <c r="F3361" s="2">
        <f t="shared" ca="1" si="371"/>
        <v>14310</v>
      </c>
      <c r="G3361" s="2">
        <f t="shared" ca="1" si="372"/>
        <v>572</v>
      </c>
    </row>
    <row r="3362" spans="1:7" x14ac:dyDescent="0.3">
      <c r="A3362" s="5" t="str">
        <f t="shared" si="366"/>
        <v>Adidas</v>
      </c>
      <c r="B3362" s="5" t="str">
        <f t="shared" si="368"/>
        <v>Stan Smith</v>
      </c>
      <c r="C3362" s="3">
        <f t="shared" si="367"/>
        <v>45882</v>
      </c>
      <c r="D3362" s="4">
        <f t="shared" ca="1" si="369"/>
        <v>195</v>
      </c>
      <c r="E3362" s="2">
        <f t="shared" ca="1" si="370"/>
        <v>11085</v>
      </c>
      <c r="F3362" s="2">
        <f t="shared" ca="1" si="371"/>
        <v>24979</v>
      </c>
      <c r="G3362" s="2">
        <f t="shared" ca="1" si="372"/>
        <v>959</v>
      </c>
    </row>
    <row r="3363" spans="1:7" x14ac:dyDescent="0.3">
      <c r="A3363" s="5" t="str">
        <f t="shared" si="366"/>
        <v>Puma</v>
      </c>
      <c r="B3363" s="5" t="str">
        <f t="shared" si="368"/>
        <v>Cali Dream</v>
      </c>
      <c r="C3363" s="3">
        <f t="shared" si="367"/>
        <v>45882</v>
      </c>
      <c r="D3363" s="4">
        <f t="shared" ca="1" si="369"/>
        <v>60</v>
      </c>
      <c r="E3363" s="2">
        <f t="shared" ca="1" si="370"/>
        <v>7216</v>
      </c>
      <c r="F3363" s="2">
        <f t="shared" ca="1" si="371"/>
        <v>15905</v>
      </c>
      <c r="G3363" s="2">
        <f t="shared" ca="1" si="372"/>
        <v>1212</v>
      </c>
    </row>
    <row r="3364" spans="1:7" x14ac:dyDescent="0.3">
      <c r="A3364" s="5" t="str">
        <f t="shared" si="366"/>
        <v>New Balance</v>
      </c>
      <c r="B3364" s="5" t="str">
        <f t="shared" si="368"/>
        <v>9060</v>
      </c>
      <c r="C3364" s="3">
        <f t="shared" si="367"/>
        <v>45882</v>
      </c>
      <c r="D3364" s="4">
        <f t="shared" ca="1" si="369"/>
        <v>242</v>
      </c>
      <c r="E3364" s="2">
        <f t="shared" ca="1" si="370"/>
        <v>6578</v>
      </c>
      <c r="F3364" s="2">
        <f t="shared" ca="1" si="371"/>
        <v>33038</v>
      </c>
      <c r="G3364" s="2">
        <f t="shared" ca="1" si="372"/>
        <v>1352</v>
      </c>
    </row>
    <row r="3365" spans="1:7" x14ac:dyDescent="0.3">
      <c r="A3365" s="5" t="str">
        <f t="shared" si="366"/>
        <v>Reebok</v>
      </c>
      <c r="B3365" s="5" t="str">
        <f t="shared" si="368"/>
        <v>Zig Kinetica</v>
      </c>
      <c r="C3365" s="3">
        <f t="shared" si="367"/>
        <v>45882</v>
      </c>
      <c r="D3365" s="4">
        <f t="shared" ca="1" si="369"/>
        <v>157</v>
      </c>
      <c r="E3365" s="2">
        <f t="shared" ca="1" si="370"/>
        <v>3645</v>
      </c>
      <c r="F3365" s="2">
        <f t="shared" ca="1" si="371"/>
        <v>30438</v>
      </c>
      <c r="G3365" s="2">
        <f t="shared" ca="1" si="372"/>
        <v>2337</v>
      </c>
    </row>
    <row r="3366" spans="1:7" x14ac:dyDescent="0.3">
      <c r="A3366" s="5" t="str">
        <f t="shared" si="366"/>
        <v>Nike</v>
      </c>
      <c r="B3366" s="5" t="str">
        <f t="shared" si="368"/>
        <v>Jordan 1</v>
      </c>
      <c r="C3366" s="3">
        <f t="shared" si="367"/>
        <v>45882</v>
      </c>
      <c r="D3366" s="4">
        <f t="shared" ca="1" si="369"/>
        <v>135</v>
      </c>
      <c r="E3366" s="2">
        <f t="shared" ca="1" si="370"/>
        <v>11443</v>
      </c>
      <c r="F3366" s="2">
        <f t="shared" ca="1" si="371"/>
        <v>6657</v>
      </c>
      <c r="G3366" s="2">
        <f t="shared" ca="1" si="372"/>
        <v>394</v>
      </c>
    </row>
    <row r="3367" spans="1:7" x14ac:dyDescent="0.3">
      <c r="A3367" s="5" t="str">
        <f t="shared" si="366"/>
        <v>Adidas</v>
      </c>
      <c r="B3367" s="5" t="str">
        <f t="shared" si="368"/>
        <v>Ultraboost 23</v>
      </c>
      <c r="C3367" s="3">
        <f t="shared" si="367"/>
        <v>45882</v>
      </c>
      <c r="D3367" s="4">
        <f t="shared" ca="1" si="369"/>
        <v>99</v>
      </c>
      <c r="E3367" s="2">
        <f t="shared" ca="1" si="370"/>
        <v>4014</v>
      </c>
      <c r="F3367" s="2">
        <f t="shared" ca="1" si="371"/>
        <v>29160</v>
      </c>
      <c r="G3367" s="2">
        <f t="shared" ca="1" si="372"/>
        <v>1397</v>
      </c>
    </row>
    <row r="3368" spans="1:7" x14ac:dyDescent="0.3">
      <c r="A3368" s="5" t="str">
        <f t="shared" si="366"/>
        <v>Puma</v>
      </c>
      <c r="B3368" s="5" t="str">
        <f t="shared" si="368"/>
        <v>RS-X</v>
      </c>
      <c r="C3368" s="3">
        <f t="shared" si="367"/>
        <v>45882</v>
      </c>
      <c r="D3368" s="4">
        <f t="shared" ca="1" si="369"/>
        <v>138</v>
      </c>
      <c r="E3368" s="2">
        <f t="shared" ca="1" si="370"/>
        <v>8134</v>
      </c>
      <c r="F3368" s="2">
        <f t="shared" ca="1" si="371"/>
        <v>31883</v>
      </c>
      <c r="G3368" s="2">
        <f t="shared" ca="1" si="372"/>
        <v>1023</v>
      </c>
    </row>
    <row r="3369" spans="1:7" x14ac:dyDescent="0.3">
      <c r="A3369" s="5" t="str">
        <f t="shared" si="366"/>
        <v>New Balance</v>
      </c>
      <c r="B3369" s="5" t="str">
        <f t="shared" si="368"/>
        <v>2002R</v>
      </c>
      <c r="C3369" s="3">
        <f t="shared" si="367"/>
        <v>45882</v>
      </c>
      <c r="D3369" s="4">
        <f t="shared" ca="1" si="369"/>
        <v>131</v>
      </c>
      <c r="E3369" s="2">
        <f t="shared" ca="1" si="370"/>
        <v>8413</v>
      </c>
      <c r="F3369" s="2">
        <f t="shared" ca="1" si="371"/>
        <v>20889</v>
      </c>
      <c r="G3369" s="2">
        <f t="shared" ca="1" si="372"/>
        <v>680</v>
      </c>
    </row>
    <row r="3370" spans="1:7" x14ac:dyDescent="0.3">
      <c r="A3370" s="5" t="str">
        <f t="shared" si="366"/>
        <v>Reebok</v>
      </c>
      <c r="B3370" s="5" t="str">
        <f t="shared" si="368"/>
        <v>Instapump Fury</v>
      </c>
      <c r="C3370" s="3">
        <f t="shared" si="367"/>
        <v>45882</v>
      </c>
      <c r="D3370" s="4">
        <f t="shared" ca="1" si="369"/>
        <v>224</v>
      </c>
      <c r="E3370" s="2">
        <f t="shared" ca="1" si="370"/>
        <v>3829</v>
      </c>
      <c r="F3370" s="2">
        <f t="shared" ca="1" si="371"/>
        <v>15624</v>
      </c>
      <c r="G3370" s="2">
        <f t="shared" ca="1" si="372"/>
        <v>621</v>
      </c>
    </row>
    <row r="3371" spans="1:7" x14ac:dyDescent="0.3">
      <c r="A3371" s="5" t="str">
        <f t="shared" ref="A3371:A3434" si="373">CHOOSE(MOD(ROW(A3370),5)+1,"Nike","Adidas","Puma","New Balance","Reebok")</f>
        <v>Nike</v>
      </c>
      <c r="B3371" s="5" t="str">
        <f t="shared" si="368"/>
        <v>Cortez</v>
      </c>
      <c r="C3371" s="3">
        <f t="shared" ref="C3371:C3434" si="374">DATE(2025,1,1)+INT((ROW(A3371)-2)/15)</f>
        <v>45882</v>
      </c>
      <c r="D3371" s="4">
        <f t="shared" ca="1" si="369"/>
        <v>191</v>
      </c>
      <c r="E3371" s="2">
        <f t="shared" ca="1" si="370"/>
        <v>5413</v>
      </c>
      <c r="F3371" s="2">
        <f t="shared" ca="1" si="371"/>
        <v>22287</v>
      </c>
      <c r="G3371" s="2">
        <f t="shared" ca="1" si="372"/>
        <v>1482</v>
      </c>
    </row>
    <row r="3372" spans="1:7" x14ac:dyDescent="0.3">
      <c r="A3372" s="5" t="str">
        <f t="shared" si="373"/>
        <v>Adidas</v>
      </c>
      <c r="B3372" s="5" t="str">
        <f t="shared" si="368"/>
        <v>NMD S1</v>
      </c>
      <c r="C3372" s="3">
        <f t="shared" si="374"/>
        <v>45882</v>
      </c>
      <c r="D3372" s="4">
        <f t="shared" ca="1" si="369"/>
        <v>177</v>
      </c>
      <c r="E3372" s="2">
        <f t="shared" ca="1" si="370"/>
        <v>3006</v>
      </c>
      <c r="F3372" s="2">
        <f t="shared" ca="1" si="371"/>
        <v>33350</v>
      </c>
      <c r="G3372" s="2">
        <f t="shared" ca="1" si="372"/>
        <v>2294</v>
      </c>
    </row>
    <row r="3373" spans="1:7" x14ac:dyDescent="0.3">
      <c r="A3373" s="5" t="str">
        <f t="shared" si="373"/>
        <v>Puma</v>
      </c>
      <c r="B3373" s="5" t="str">
        <f t="shared" si="368"/>
        <v>Suede Classic</v>
      </c>
      <c r="C3373" s="3">
        <f t="shared" si="374"/>
        <v>45882</v>
      </c>
      <c r="D3373" s="4">
        <f t="shared" ca="1" si="369"/>
        <v>61</v>
      </c>
      <c r="E3373" s="2">
        <f t="shared" ca="1" si="370"/>
        <v>2148</v>
      </c>
      <c r="F3373" s="2">
        <f t="shared" ca="1" si="371"/>
        <v>32616</v>
      </c>
      <c r="G3373" s="2">
        <f t="shared" ca="1" si="372"/>
        <v>1031</v>
      </c>
    </row>
    <row r="3374" spans="1:7" x14ac:dyDescent="0.3">
      <c r="A3374" s="5" t="str">
        <f t="shared" si="373"/>
        <v>New Balance</v>
      </c>
      <c r="B3374" s="5" t="str">
        <f t="shared" si="368"/>
        <v>990v6</v>
      </c>
      <c r="C3374" s="3">
        <f t="shared" si="374"/>
        <v>45882</v>
      </c>
      <c r="D3374" s="4">
        <f t="shared" ca="1" si="369"/>
        <v>163</v>
      </c>
      <c r="E3374" s="2">
        <f t="shared" ca="1" si="370"/>
        <v>10979</v>
      </c>
      <c r="F3374" s="2">
        <f t="shared" ca="1" si="371"/>
        <v>18211</v>
      </c>
      <c r="G3374" s="2">
        <f t="shared" ca="1" si="372"/>
        <v>691</v>
      </c>
    </row>
    <row r="3375" spans="1:7" x14ac:dyDescent="0.3">
      <c r="A3375" s="5" t="str">
        <f t="shared" si="373"/>
        <v>Reebok</v>
      </c>
      <c r="B3375" s="5" t="str">
        <f t="shared" si="368"/>
        <v>Nano X3</v>
      </c>
      <c r="C3375" s="3">
        <f t="shared" si="374"/>
        <v>45882</v>
      </c>
      <c r="D3375" s="4">
        <f t="shared" ca="1" si="369"/>
        <v>36</v>
      </c>
      <c r="E3375" s="2">
        <f t="shared" ca="1" si="370"/>
        <v>1762</v>
      </c>
      <c r="F3375" s="2">
        <f t="shared" ca="1" si="371"/>
        <v>8634</v>
      </c>
      <c r="G3375" s="2">
        <f t="shared" ca="1" si="372"/>
        <v>511</v>
      </c>
    </row>
    <row r="3376" spans="1:7" x14ac:dyDescent="0.3">
      <c r="A3376" s="5" t="str">
        <f t="shared" si="373"/>
        <v>Nike</v>
      </c>
      <c r="B3376" s="5" t="str">
        <f t="shared" si="368"/>
        <v>Vaporfly 3</v>
      </c>
      <c r="C3376" s="3">
        <f t="shared" si="374"/>
        <v>45882</v>
      </c>
      <c r="D3376" s="4">
        <f t="shared" ca="1" si="369"/>
        <v>225</v>
      </c>
      <c r="E3376" s="2">
        <f t="shared" ca="1" si="370"/>
        <v>11624</v>
      </c>
      <c r="F3376" s="2">
        <f t="shared" ca="1" si="371"/>
        <v>33174</v>
      </c>
      <c r="G3376" s="2">
        <f t="shared" ca="1" si="372"/>
        <v>2477</v>
      </c>
    </row>
    <row r="3377" spans="1:7" x14ac:dyDescent="0.3">
      <c r="A3377" s="5" t="str">
        <f t="shared" si="373"/>
        <v>Adidas</v>
      </c>
      <c r="B3377" s="5" t="str">
        <f t="shared" si="368"/>
        <v>Samba</v>
      </c>
      <c r="C3377" s="3">
        <f t="shared" si="374"/>
        <v>45883</v>
      </c>
      <c r="D3377" s="4">
        <f t="shared" ca="1" si="369"/>
        <v>127</v>
      </c>
      <c r="E3377" s="2">
        <f t="shared" ca="1" si="370"/>
        <v>7953</v>
      </c>
      <c r="F3377" s="2">
        <f t="shared" ca="1" si="371"/>
        <v>23224</v>
      </c>
      <c r="G3377" s="2">
        <f t="shared" ca="1" si="372"/>
        <v>792</v>
      </c>
    </row>
    <row r="3378" spans="1:7" x14ac:dyDescent="0.3">
      <c r="A3378" s="5" t="str">
        <f t="shared" si="373"/>
        <v>Puma</v>
      </c>
      <c r="B3378" s="5" t="str">
        <f t="shared" si="368"/>
        <v>Mayze</v>
      </c>
      <c r="C3378" s="3">
        <f t="shared" si="374"/>
        <v>45883</v>
      </c>
      <c r="D3378" s="4">
        <f t="shared" ca="1" si="369"/>
        <v>106</v>
      </c>
      <c r="E3378" s="2">
        <f t="shared" ca="1" si="370"/>
        <v>4565</v>
      </c>
      <c r="F3378" s="2">
        <f t="shared" ca="1" si="371"/>
        <v>30151</v>
      </c>
      <c r="G3378" s="2">
        <f t="shared" ca="1" si="372"/>
        <v>1993</v>
      </c>
    </row>
    <row r="3379" spans="1:7" x14ac:dyDescent="0.3">
      <c r="A3379" s="5" t="str">
        <f t="shared" si="373"/>
        <v>New Balance</v>
      </c>
      <c r="B3379" s="5" t="str">
        <f t="shared" si="368"/>
        <v>574 Core</v>
      </c>
      <c r="C3379" s="3">
        <f t="shared" si="374"/>
        <v>45883</v>
      </c>
      <c r="D3379" s="4">
        <f t="shared" ca="1" si="369"/>
        <v>115</v>
      </c>
      <c r="E3379" s="2">
        <f t="shared" ca="1" si="370"/>
        <v>4829</v>
      </c>
      <c r="F3379" s="2">
        <f t="shared" ca="1" si="371"/>
        <v>29716</v>
      </c>
      <c r="G3379" s="2">
        <f t="shared" ca="1" si="372"/>
        <v>850</v>
      </c>
    </row>
    <row r="3380" spans="1:7" x14ac:dyDescent="0.3">
      <c r="A3380" s="5" t="str">
        <f t="shared" si="373"/>
        <v>Reebok</v>
      </c>
      <c r="B3380" s="5" t="str">
        <f t="shared" si="368"/>
        <v>Club C 85</v>
      </c>
      <c r="C3380" s="3">
        <f t="shared" si="374"/>
        <v>45883</v>
      </c>
      <c r="D3380" s="4">
        <f t="shared" ca="1" si="369"/>
        <v>143</v>
      </c>
      <c r="E3380" s="2">
        <f t="shared" ca="1" si="370"/>
        <v>2301</v>
      </c>
      <c r="F3380" s="2">
        <f t="shared" ca="1" si="371"/>
        <v>30441</v>
      </c>
      <c r="G3380" s="2">
        <f t="shared" ca="1" si="372"/>
        <v>802</v>
      </c>
    </row>
    <row r="3381" spans="1:7" x14ac:dyDescent="0.3">
      <c r="A3381" s="5" t="str">
        <f t="shared" si="373"/>
        <v>Nike</v>
      </c>
      <c r="B3381" s="5" t="str">
        <f t="shared" si="368"/>
        <v>Pegasus 40</v>
      </c>
      <c r="C3381" s="3">
        <f t="shared" si="374"/>
        <v>45883</v>
      </c>
      <c r="D3381" s="4">
        <f t="shared" ca="1" si="369"/>
        <v>97</v>
      </c>
      <c r="E3381" s="2">
        <f t="shared" ca="1" si="370"/>
        <v>5569</v>
      </c>
      <c r="F3381" s="2">
        <f t="shared" ca="1" si="371"/>
        <v>33443</v>
      </c>
      <c r="G3381" s="2">
        <f t="shared" ca="1" si="372"/>
        <v>1251</v>
      </c>
    </row>
    <row r="3382" spans="1:7" x14ac:dyDescent="0.3">
      <c r="A3382" s="5" t="str">
        <f t="shared" si="373"/>
        <v>Adidas</v>
      </c>
      <c r="B3382" s="5" t="str">
        <f t="shared" si="368"/>
        <v>Gazelle</v>
      </c>
      <c r="C3382" s="3">
        <f t="shared" si="374"/>
        <v>45883</v>
      </c>
      <c r="D3382" s="4">
        <f t="shared" ca="1" si="369"/>
        <v>197</v>
      </c>
      <c r="E3382" s="2">
        <f t="shared" ca="1" si="370"/>
        <v>11850</v>
      </c>
      <c r="F3382" s="2">
        <f t="shared" ca="1" si="371"/>
        <v>33210</v>
      </c>
      <c r="G3382" s="2">
        <f t="shared" ca="1" si="372"/>
        <v>1406</v>
      </c>
    </row>
    <row r="3383" spans="1:7" x14ac:dyDescent="0.3">
      <c r="A3383" s="5" t="str">
        <f t="shared" si="373"/>
        <v>Puma</v>
      </c>
      <c r="B3383" s="5" t="str">
        <f t="shared" si="368"/>
        <v>Slipstream</v>
      </c>
      <c r="C3383" s="3">
        <f t="shared" si="374"/>
        <v>45883</v>
      </c>
      <c r="D3383" s="4">
        <f t="shared" ca="1" si="369"/>
        <v>33</v>
      </c>
      <c r="E3383" s="2">
        <f t="shared" ca="1" si="370"/>
        <v>4144</v>
      </c>
      <c r="F3383" s="2">
        <f t="shared" ca="1" si="371"/>
        <v>12907</v>
      </c>
      <c r="G3383" s="2">
        <f t="shared" ca="1" si="372"/>
        <v>264</v>
      </c>
    </row>
    <row r="3384" spans="1:7" x14ac:dyDescent="0.3">
      <c r="A3384" s="5" t="str">
        <f t="shared" si="373"/>
        <v>New Balance</v>
      </c>
      <c r="B3384" s="5" t="str">
        <f t="shared" si="368"/>
        <v>550</v>
      </c>
      <c r="C3384" s="3">
        <f t="shared" si="374"/>
        <v>45883</v>
      </c>
      <c r="D3384" s="4">
        <f t="shared" ca="1" si="369"/>
        <v>55</v>
      </c>
      <c r="E3384" s="2">
        <f t="shared" ca="1" si="370"/>
        <v>9897</v>
      </c>
      <c r="F3384" s="2">
        <f t="shared" ca="1" si="371"/>
        <v>8073</v>
      </c>
      <c r="G3384" s="2">
        <f t="shared" ca="1" si="372"/>
        <v>606</v>
      </c>
    </row>
    <row r="3385" spans="1:7" x14ac:dyDescent="0.3">
      <c r="A3385" s="5" t="str">
        <f t="shared" si="373"/>
        <v>Reebok</v>
      </c>
      <c r="B3385" s="5" t="str">
        <f t="shared" si="368"/>
        <v>Classic Leather</v>
      </c>
      <c r="C3385" s="3">
        <f t="shared" si="374"/>
        <v>45883</v>
      </c>
      <c r="D3385" s="4">
        <f t="shared" ca="1" si="369"/>
        <v>119</v>
      </c>
      <c r="E3385" s="2">
        <f t="shared" ca="1" si="370"/>
        <v>9843</v>
      </c>
      <c r="F3385" s="2">
        <f t="shared" ca="1" si="371"/>
        <v>9195</v>
      </c>
      <c r="G3385" s="2">
        <f t="shared" ca="1" si="372"/>
        <v>188</v>
      </c>
    </row>
    <row r="3386" spans="1:7" x14ac:dyDescent="0.3">
      <c r="A3386" s="5" t="str">
        <f t="shared" si="373"/>
        <v>Nike</v>
      </c>
      <c r="B3386" s="5" t="str">
        <f t="shared" si="368"/>
        <v>Air Force 1</v>
      </c>
      <c r="C3386" s="3">
        <f t="shared" si="374"/>
        <v>45883</v>
      </c>
      <c r="D3386" s="4">
        <f t="shared" ca="1" si="369"/>
        <v>102</v>
      </c>
      <c r="E3386" s="2">
        <f t="shared" ca="1" si="370"/>
        <v>10571</v>
      </c>
      <c r="F3386" s="2">
        <f t="shared" ca="1" si="371"/>
        <v>28585</v>
      </c>
      <c r="G3386" s="2">
        <f t="shared" ca="1" si="372"/>
        <v>1858</v>
      </c>
    </row>
    <row r="3387" spans="1:7" x14ac:dyDescent="0.3">
      <c r="A3387" s="5" t="str">
        <f t="shared" si="373"/>
        <v>Adidas</v>
      </c>
      <c r="B3387" s="5" t="str">
        <f t="shared" si="368"/>
        <v>Superstar</v>
      </c>
      <c r="C3387" s="3">
        <f t="shared" si="374"/>
        <v>45883</v>
      </c>
      <c r="D3387" s="4">
        <f t="shared" ca="1" si="369"/>
        <v>178</v>
      </c>
      <c r="E3387" s="2">
        <f t="shared" ca="1" si="370"/>
        <v>6079</v>
      </c>
      <c r="F3387" s="2">
        <f t="shared" ca="1" si="371"/>
        <v>8616</v>
      </c>
      <c r="G3387" s="2">
        <f t="shared" ca="1" si="372"/>
        <v>294</v>
      </c>
    </row>
    <row r="3388" spans="1:7" x14ac:dyDescent="0.3">
      <c r="A3388" s="5" t="str">
        <f t="shared" si="373"/>
        <v>Puma</v>
      </c>
      <c r="B3388" s="5" t="str">
        <f t="shared" si="368"/>
        <v>Rider Vintage</v>
      </c>
      <c r="C3388" s="3">
        <f t="shared" si="374"/>
        <v>45883</v>
      </c>
      <c r="D3388" s="4">
        <f t="shared" ca="1" si="369"/>
        <v>146</v>
      </c>
      <c r="E3388" s="2">
        <f t="shared" ca="1" si="370"/>
        <v>6742</v>
      </c>
      <c r="F3388" s="2">
        <f t="shared" ca="1" si="371"/>
        <v>23823</v>
      </c>
      <c r="G3388" s="2">
        <f t="shared" ca="1" si="372"/>
        <v>1773</v>
      </c>
    </row>
    <row r="3389" spans="1:7" x14ac:dyDescent="0.3">
      <c r="A3389" s="5" t="str">
        <f t="shared" si="373"/>
        <v>New Balance</v>
      </c>
      <c r="B3389" s="5" t="str">
        <f t="shared" si="368"/>
        <v>327</v>
      </c>
      <c r="C3389" s="3">
        <f t="shared" si="374"/>
        <v>45883</v>
      </c>
      <c r="D3389" s="4">
        <f t="shared" ca="1" si="369"/>
        <v>173</v>
      </c>
      <c r="E3389" s="2">
        <f t="shared" ca="1" si="370"/>
        <v>9742</v>
      </c>
      <c r="F3389" s="2">
        <f t="shared" ca="1" si="371"/>
        <v>9797</v>
      </c>
      <c r="G3389" s="2">
        <f t="shared" ca="1" si="372"/>
        <v>281</v>
      </c>
    </row>
    <row r="3390" spans="1:7" x14ac:dyDescent="0.3">
      <c r="A3390" s="5" t="str">
        <f t="shared" si="373"/>
        <v>Reebok</v>
      </c>
      <c r="B3390" s="5" t="str">
        <f t="shared" si="368"/>
        <v>Question Mid</v>
      </c>
      <c r="C3390" s="3">
        <f t="shared" si="374"/>
        <v>45883</v>
      </c>
      <c r="D3390" s="4">
        <f t="shared" ca="1" si="369"/>
        <v>170</v>
      </c>
      <c r="E3390" s="2">
        <f t="shared" ca="1" si="370"/>
        <v>6266</v>
      </c>
      <c r="F3390" s="2">
        <f t="shared" ca="1" si="371"/>
        <v>29248</v>
      </c>
      <c r="G3390" s="2">
        <f t="shared" ca="1" si="372"/>
        <v>2090</v>
      </c>
    </row>
    <row r="3391" spans="1:7" x14ac:dyDescent="0.3">
      <c r="A3391" s="5" t="str">
        <f t="shared" si="373"/>
        <v>Nike</v>
      </c>
      <c r="B3391" s="5" t="str">
        <f t="shared" si="368"/>
        <v>Air Max 270</v>
      </c>
      <c r="C3391" s="3">
        <f t="shared" si="374"/>
        <v>45883</v>
      </c>
      <c r="D3391" s="4">
        <f t="shared" ca="1" si="369"/>
        <v>172</v>
      </c>
      <c r="E3391" s="2">
        <f t="shared" ca="1" si="370"/>
        <v>3698</v>
      </c>
      <c r="F3391" s="2">
        <f t="shared" ca="1" si="371"/>
        <v>21837</v>
      </c>
      <c r="G3391" s="2">
        <f t="shared" ca="1" si="372"/>
        <v>1718</v>
      </c>
    </row>
    <row r="3392" spans="1:7" x14ac:dyDescent="0.3">
      <c r="A3392" s="5" t="str">
        <f t="shared" si="373"/>
        <v>Adidas</v>
      </c>
      <c r="B3392" s="5" t="str">
        <f t="shared" si="368"/>
        <v>Stan Smith</v>
      </c>
      <c r="C3392" s="3">
        <f t="shared" si="374"/>
        <v>45884</v>
      </c>
      <c r="D3392" s="4">
        <f t="shared" ca="1" si="369"/>
        <v>50</v>
      </c>
      <c r="E3392" s="2">
        <f t="shared" ca="1" si="370"/>
        <v>7945</v>
      </c>
      <c r="F3392" s="2">
        <f t="shared" ca="1" si="371"/>
        <v>31638</v>
      </c>
      <c r="G3392" s="2">
        <f t="shared" ca="1" si="372"/>
        <v>2156</v>
      </c>
    </row>
    <row r="3393" spans="1:7" x14ac:dyDescent="0.3">
      <c r="A3393" s="5" t="str">
        <f t="shared" si="373"/>
        <v>Puma</v>
      </c>
      <c r="B3393" s="5" t="str">
        <f t="shared" si="368"/>
        <v>Cali Dream</v>
      </c>
      <c r="C3393" s="3">
        <f t="shared" si="374"/>
        <v>45884</v>
      </c>
      <c r="D3393" s="4">
        <f t="shared" ca="1" si="369"/>
        <v>215</v>
      </c>
      <c r="E3393" s="2">
        <f t="shared" ca="1" si="370"/>
        <v>3111</v>
      </c>
      <c r="F3393" s="2">
        <f t="shared" ca="1" si="371"/>
        <v>18706</v>
      </c>
      <c r="G3393" s="2">
        <f t="shared" ca="1" si="372"/>
        <v>377</v>
      </c>
    </row>
    <row r="3394" spans="1:7" x14ac:dyDescent="0.3">
      <c r="A3394" s="5" t="str">
        <f t="shared" si="373"/>
        <v>New Balance</v>
      </c>
      <c r="B3394" s="5" t="str">
        <f t="shared" si="368"/>
        <v>9060</v>
      </c>
      <c r="C3394" s="3">
        <f t="shared" si="374"/>
        <v>45884</v>
      </c>
      <c r="D3394" s="4">
        <f t="shared" ca="1" si="369"/>
        <v>108</v>
      </c>
      <c r="E3394" s="2">
        <f t="shared" ca="1" si="370"/>
        <v>2277</v>
      </c>
      <c r="F3394" s="2">
        <f t="shared" ca="1" si="371"/>
        <v>9797</v>
      </c>
      <c r="G3394" s="2">
        <f t="shared" ca="1" si="372"/>
        <v>267</v>
      </c>
    </row>
    <row r="3395" spans="1:7" x14ac:dyDescent="0.3">
      <c r="A3395" s="5" t="str">
        <f t="shared" si="373"/>
        <v>Reebok</v>
      </c>
      <c r="B3395" s="5" t="str">
        <f t="shared" ref="B3395:B3458" si="375">IF(A3395="Nike",CHOOSE(MOD(ROW(A3394),6)+1,"Air Max 270","Air Force 1","Pegasus 40","Vaporfly 3","Cortez","Jordan 1"),
 IF(A3395="Adidas",CHOOSE(MOD(ROW(A3394),6)+1,"Ultraboost 23","Stan Smith","Superstar","Gazelle","Samba","NMD S1"),
 IF(A3395="Puma",CHOOSE(MOD(ROW(A3394),6)+1,"Suede Classic","RS-X","Cali Dream","Rider Vintage","Slipstream","Mayze"),
 IF(A3395="New Balance",CHOOSE(MOD(ROW(A3394),6)+1,"574 Core","990v6","2002R","9060","327","550"),
 IF(A3395="Reebok",CHOOSE(MOD(ROW(A3394),6)+1,"Classic Leather","Club C 85","Nano X3","Instapump Fury","Zig Kinetica","Question Mid"),"")))))</f>
        <v>Zig Kinetica</v>
      </c>
      <c r="C3395" s="3">
        <f t="shared" si="374"/>
        <v>45884</v>
      </c>
      <c r="D3395" s="4">
        <f t="shared" ref="D3395:D3458" ca="1" si="376">RANDBETWEEN(20,250)</f>
        <v>76</v>
      </c>
      <c r="E3395" s="2">
        <f t="shared" ref="E3395:E3458" ca="1" si="377">ROUND(RANDBETWEEN(1500,12000)+(RANDBETWEEN(-200,200)),2)</f>
        <v>9257</v>
      </c>
      <c r="F3395" s="2">
        <f t="shared" ref="F3395:F3458" ca="1" si="378">RANDBETWEEN(5000,35000)</f>
        <v>5042</v>
      </c>
      <c r="G3395" s="2">
        <f t="shared" ref="G3395:G3458" ca="1" si="379">RANDBETWEEN(ROUND(F3395*0.02,0),ROUND(F3395*0.08,0))</f>
        <v>199</v>
      </c>
    </row>
    <row r="3396" spans="1:7" x14ac:dyDescent="0.3">
      <c r="A3396" s="5" t="str">
        <f t="shared" si="373"/>
        <v>Nike</v>
      </c>
      <c r="B3396" s="5" t="str">
        <f t="shared" si="375"/>
        <v>Jordan 1</v>
      </c>
      <c r="C3396" s="3">
        <f t="shared" si="374"/>
        <v>45884</v>
      </c>
      <c r="D3396" s="4">
        <f t="shared" ca="1" si="376"/>
        <v>192</v>
      </c>
      <c r="E3396" s="2">
        <f t="shared" ca="1" si="377"/>
        <v>1676</v>
      </c>
      <c r="F3396" s="2">
        <f t="shared" ca="1" si="378"/>
        <v>14591</v>
      </c>
      <c r="G3396" s="2">
        <f t="shared" ca="1" si="379"/>
        <v>940</v>
      </c>
    </row>
    <row r="3397" spans="1:7" x14ac:dyDescent="0.3">
      <c r="A3397" s="5" t="str">
        <f t="shared" si="373"/>
        <v>Adidas</v>
      </c>
      <c r="B3397" s="5" t="str">
        <f t="shared" si="375"/>
        <v>Ultraboost 23</v>
      </c>
      <c r="C3397" s="3">
        <f t="shared" si="374"/>
        <v>45884</v>
      </c>
      <c r="D3397" s="4">
        <f t="shared" ca="1" si="376"/>
        <v>141</v>
      </c>
      <c r="E3397" s="2">
        <f t="shared" ca="1" si="377"/>
        <v>11418</v>
      </c>
      <c r="F3397" s="2">
        <f t="shared" ca="1" si="378"/>
        <v>8899</v>
      </c>
      <c r="G3397" s="2">
        <f t="shared" ca="1" si="379"/>
        <v>384</v>
      </c>
    </row>
    <row r="3398" spans="1:7" x14ac:dyDescent="0.3">
      <c r="A3398" s="5" t="str">
        <f t="shared" si="373"/>
        <v>Puma</v>
      </c>
      <c r="B3398" s="5" t="str">
        <f t="shared" si="375"/>
        <v>RS-X</v>
      </c>
      <c r="C3398" s="3">
        <f t="shared" si="374"/>
        <v>45884</v>
      </c>
      <c r="D3398" s="4">
        <f t="shared" ca="1" si="376"/>
        <v>28</v>
      </c>
      <c r="E3398" s="2">
        <f t="shared" ca="1" si="377"/>
        <v>4757</v>
      </c>
      <c r="F3398" s="2">
        <f t="shared" ca="1" si="378"/>
        <v>7213</v>
      </c>
      <c r="G3398" s="2">
        <f t="shared" ca="1" si="379"/>
        <v>188</v>
      </c>
    </row>
    <row r="3399" spans="1:7" x14ac:dyDescent="0.3">
      <c r="A3399" s="5" t="str">
        <f t="shared" si="373"/>
        <v>New Balance</v>
      </c>
      <c r="B3399" s="5" t="str">
        <f t="shared" si="375"/>
        <v>2002R</v>
      </c>
      <c r="C3399" s="3">
        <f t="shared" si="374"/>
        <v>45884</v>
      </c>
      <c r="D3399" s="4">
        <f t="shared" ca="1" si="376"/>
        <v>141</v>
      </c>
      <c r="E3399" s="2">
        <f t="shared" ca="1" si="377"/>
        <v>7960</v>
      </c>
      <c r="F3399" s="2">
        <f t="shared" ca="1" si="378"/>
        <v>33793</v>
      </c>
      <c r="G3399" s="2">
        <f t="shared" ca="1" si="379"/>
        <v>1871</v>
      </c>
    </row>
    <row r="3400" spans="1:7" x14ac:dyDescent="0.3">
      <c r="A3400" s="5" t="str">
        <f t="shared" si="373"/>
        <v>Reebok</v>
      </c>
      <c r="B3400" s="5" t="str">
        <f t="shared" si="375"/>
        <v>Instapump Fury</v>
      </c>
      <c r="C3400" s="3">
        <f t="shared" si="374"/>
        <v>45884</v>
      </c>
      <c r="D3400" s="4">
        <f t="shared" ca="1" si="376"/>
        <v>83</v>
      </c>
      <c r="E3400" s="2">
        <f t="shared" ca="1" si="377"/>
        <v>3152</v>
      </c>
      <c r="F3400" s="2">
        <f t="shared" ca="1" si="378"/>
        <v>5853</v>
      </c>
      <c r="G3400" s="2">
        <f t="shared" ca="1" si="379"/>
        <v>142</v>
      </c>
    </row>
    <row r="3401" spans="1:7" x14ac:dyDescent="0.3">
      <c r="A3401" s="5" t="str">
        <f t="shared" si="373"/>
        <v>Nike</v>
      </c>
      <c r="B3401" s="5" t="str">
        <f t="shared" si="375"/>
        <v>Cortez</v>
      </c>
      <c r="C3401" s="3">
        <f t="shared" si="374"/>
        <v>45884</v>
      </c>
      <c r="D3401" s="4">
        <f t="shared" ca="1" si="376"/>
        <v>43</v>
      </c>
      <c r="E3401" s="2">
        <f t="shared" ca="1" si="377"/>
        <v>2534</v>
      </c>
      <c r="F3401" s="2">
        <f t="shared" ca="1" si="378"/>
        <v>29253</v>
      </c>
      <c r="G3401" s="2">
        <f t="shared" ca="1" si="379"/>
        <v>1064</v>
      </c>
    </row>
    <row r="3402" spans="1:7" x14ac:dyDescent="0.3">
      <c r="A3402" s="5" t="str">
        <f t="shared" si="373"/>
        <v>Adidas</v>
      </c>
      <c r="B3402" s="5" t="str">
        <f t="shared" si="375"/>
        <v>NMD S1</v>
      </c>
      <c r="C3402" s="3">
        <f t="shared" si="374"/>
        <v>45884</v>
      </c>
      <c r="D3402" s="4">
        <f t="shared" ca="1" si="376"/>
        <v>45</v>
      </c>
      <c r="E3402" s="2">
        <f t="shared" ca="1" si="377"/>
        <v>7749</v>
      </c>
      <c r="F3402" s="2">
        <f t="shared" ca="1" si="378"/>
        <v>26710</v>
      </c>
      <c r="G3402" s="2">
        <f t="shared" ca="1" si="379"/>
        <v>1017</v>
      </c>
    </row>
    <row r="3403" spans="1:7" x14ac:dyDescent="0.3">
      <c r="A3403" s="5" t="str">
        <f t="shared" si="373"/>
        <v>Puma</v>
      </c>
      <c r="B3403" s="5" t="str">
        <f t="shared" si="375"/>
        <v>Suede Classic</v>
      </c>
      <c r="C3403" s="3">
        <f t="shared" si="374"/>
        <v>45884</v>
      </c>
      <c r="D3403" s="4">
        <f t="shared" ca="1" si="376"/>
        <v>235</v>
      </c>
      <c r="E3403" s="2">
        <f t="shared" ca="1" si="377"/>
        <v>6766</v>
      </c>
      <c r="F3403" s="2">
        <f t="shared" ca="1" si="378"/>
        <v>22628</v>
      </c>
      <c r="G3403" s="2">
        <f t="shared" ca="1" si="379"/>
        <v>1071</v>
      </c>
    </row>
    <row r="3404" spans="1:7" x14ac:dyDescent="0.3">
      <c r="A3404" s="5" t="str">
        <f t="shared" si="373"/>
        <v>New Balance</v>
      </c>
      <c r="B3404" s="5" t="str">
        <f t="shared" si="375"/>
        <v>990v6</v>
      </c>
      <c r="C3404" s="3">
        <f t="shared" si="374"/>
        <v>45884</v>
      </c>
      <c r="D3404" s="4">
        <f t="shared" ca="1" si="376"/>
        <v>199</v>
      </c>
      <c r="E3404" s="2">
        <f t="shared" ca="1" si="377"/>
        <v>1904</v>
      </c>
      <c r="F3404" s="2">
        <f t="shared" ca="1" si="378"/>
        <v>14572</v>
      </c>
      <c r="G3404" s="2">
        <f t="shared" ca="1" si="379"/>
        <v>735</v>
      </c>
    </row>
    <row r="3405" spans="1:7" x14ac:dyDescent="0.3">
      <c r="A3405" s="5" t="str">
        <f t="shared" si="373"/>
        <v>Reebok</v>
      </c>
      <c r="B3405" s="5" t="str">
        <f t="shared" si="375"/>
        <v>Nano X3</v>
      </c>
      <c r="C3405" s="3">
        <f t="shared" si="374"/>
        <v>45884</v>
      </c>
      <c r="D3405" s="4">
        <f t="shared" ca="1" si="376"/>
        <v>32</v>
      </c>
      <c r="E3405" s="2">
        <f t="shared" ca="1" si="377"/>
        <v>8370</v>
      </c>
      <c r="F3405" s="2">
        <f t="shared" ca="1" si="378"/>
        <v>13153</v>
      </c>
      <c r="G3405" s="2">
        <f t="shared" ca="1" si="379"/>
        <v>270</v>
      </c>
    </row>
    <row r="3406" spans="1:7" x14ac:dyDescent="0.3">
      <c r="A3406" s="5" t="str">
        <f t="shared" si="373"/>
        <v>Nike</v>
      </c>
      <c r="B3406" s="5" t="str">
        <f t="shared" si="375"/>
        <v>Vaporfly 3</v>
      </c>
      <c r="C3406" s="3">
        <f t="shared" si="374"/>
        <v>45884</v>
      </c>
      <c r="D3406" s="4">
        <f t="shared" ca="1" si="376"/>
        <v>151</v>
      </c>
      <c r="E3406" s="2">
        <f t="shared" ca="1" si="377"/>
        <v>10458</v>
      </c>
      <c r="F3406" s="2">
        <f t="shared" ca="1" si="378"/>
        <v>10731</v>
      </c>
      <c r="G3406" s="2">
        <f t="shared" ca="1" si="379"/>
        <v>436</v>
      </c>
    </row>
    <row r="3407" spans="1:7" x14ac:dyDescent="0.3">
      <c r="A3407" s="5" t="str">
        <f t="shared" si="373"/>
        <v>Adidas</v>
      </c>
      <c r="B3407" s="5" t="str">
        <f t="shared" si="375"/>
        <v>Samba</v>
      </c>
      <c r="C3407" s="3">
        <f t="shared" si="374"/>
        <v>45885</v>
      </c>
      <c r="D3407" s="4">
        <f t="shared" ca="1" si="376"/>
        <v>197</v>
      </c>
      <c r="E3407" s="2">
        <f t="shared" ca="1" si="377"/>
        <v>6916</v>
      </c>
      <c r="F3407" s="2">
        <f t="shared" ca="1" si="378"/>
        <v>17292</v>
      </c>
      <c r="G3407" s="2">
        <f t="shared" ca="1" si="379"/>
        <v>400</v>
      </c>
    </row>
    <row r="3408" spans="1:7" x14ac:dyDescent="0.3">
      <c r="A3408" s="5" t="str">
        <f t="shared" si="373"/>
        <v>Puma</v>
      </c>
      <c r="B3408" s="5" t="str">
        <f t="shared" si="375"/>
        <v>Mayze</v>
      </c>
      <c r="C3408" s="3">
        <f t="shared" si="374"/>
        <v>45885</v>
      </c>
      <c r="D3408" s="4">
        <f t="shared" ca="1" si="376"/>
        <v>136</v>
      </c>
      <c r="E3408" s="2">
        <f t="shared" ca="1" si="377"/>
        <v>9869</v>
      </c>
      <c r="F3408" s="2">
        <f t="shared" ca="1" si="378"/>
        <v>18314</v>
      </c>
      <c r="G3408" s="2">
        <f t="shared" ca="1" si="379"/>
        <v>482</v>
      </c>
    </row>
    <row r="3409" spans="1:7" x14ac:dyDescent="0.3">
      <c r="A3409" s="5" t="str">
        <f t="shared" si="373"/>
        <v>New Balance</v>
      </c>
      <c r="B3409" s="5" t="str">
        <f t="shared" si="375"/>
        <v>574 Core</v>
      </c>
      <c r="C3409" s="3">
        <f t="shared" si="374"/>
        <v>45885</v>
      </c>
      <c r="D3409" s="4">
        <f t="shared" ca="1" si="376"/>
        <v>199</v>
      </c>
      <c r="E3409" s="2">
        <f t="shared" ca="1" si="377"/>
        <v>9210</v>
      </c>
      <c r="F3409" s="2">
        <f t="shared" ca="1" si="378"/>
        <v>32639</v>
      </c>
      <c r="G3409" s="2">
        <f t="shared" ca="1" si="379"/>
        <v>1859</v>
      </c>
    </row>
    <row r="3410" spans="1:7" x14ac:dyDescent="0.3">
      <c r="A3410" s="5" t="str">
        <f t="shared" si="373"/>
        <v>Reebok</v>
      </c>
      <c r="B3410" s="5" t="str">
        <f t="shared" si="375"/>
        <v>Club C 85</v>
      </c>
      <c r="C3410" s="3">
        <f t="shared" si="374"/>
        <v>45885</v>
      </c>
      <c r="D3410" s="4">
        <f t="shared" ca="1" si="376"/>
        <v>244</v>
      </c>
      <c r="E3410" s="2">
        <f t="shared" ca="1" si="377"/>
        <v>1484</v>
      </c>
      <c r="F3410" s="2">
        <f t="shared" ca="1" si="378"/>
        <v>10298</v>
      </c>
      <c r="G3410" s="2">
        <f t="shared" ca="1" si="379"/>
        <v>367</v>
      </c>
    </row>
    <row r="3411" spans="1:7" x14ac:dyDescent="0.3">
      <c r="A3411" s="5" t="str">
        <f t="shared" si="373"/>
        <v>Nike</v>
      </c>
      <c r="B3411" s="5" t="str">
        <f t="shared" si="375"/>
        <v>Pegasus 40</v>
      </c>
      <c r="C3411" s="3">
        <f t="shared" si="374"/>
        <v>45885</v>
      </c>
      <c r="D3411" s="4">
        <f t="shared" ca="1" si="376"/>
        <v>221</v>
      </c>
      <c r="E3411" s="2">
        <f t="shared" ca="1" si="377"/>
        <v>3766</v>
      </c>
      <c r="F3411" s="2">
        <f t="shared" ca="1" si="378"/>
        <v>12010</v>
      </c>
      <c r="G3411" s="2">
        <f t="shared" ca="1" si="379"/>
        <v>765</v>
      </c>
    </row>
    <row r="3412" spans="1:7" x14ac:dyDescent="0.3">
      <c r="A3412" s="5" t="str">
        <f t="shared" si="373"/>
        <v>Adidas</v>
      </c>
      <c r="B3412" s="5" t="str">
        <f t="shared" si="375"/>
        <v>Gazelle</v>
      </c>
      <c r="C3412" s="3">
        <f t="shared" si="374"/>
        <v>45885</v>
      </c>
      <c r="D3412" s="4">
        <f t="shared" ca="1" si="376"/>
        <v>89</v>
      </c>
      <c r="E3412" s="2">
        <f t="shared" ca="1" si="377"/>
        <v>4533</v>
      </c>
      <c r="F3412" s="2">
        <f t="shared" ca="1" si="378"/>
        <v>13831</v>
      </c>
      <c r="G3412" s="2">
        <f t="shared" ca="1" si="379"/>
        <v>411</v>
      </c>
    </row>
    <row r="3413" spans="1:7" x14ac:dyDescent="0.3">
      <c r="A3413" s="5" t="str">
        <f t="shared" si="373"/>
        <v>Puma</v>
      </c>
      <c r="B3413" s="5" t="str">
        <f t="shared" si="375"/>
        <v>Slipstream</v>
      </c>
      <c r="C3413" s="3">
        <f t="shared" si="374"/>
        <v>45885</v>
      </c>
      <c r="D3413" s="4">
        <f t="shared" ca="1" si="376"/>
        <v>129</v>
      </c>
      <c r="E3413" s="2">
        <f t="shared" ca="1" si="377"/>
        <v>8093</v>
      </c>
      <c r="F3413" s="2">
        <f t="shared" ca="1" si="378"/>
        <v>33201</v>
      </c>
      <c r="G3413" s="2">
        <f t="shared" ca="1" si="379"/>
        <v>748</v>
      </c>
    </row>
    <row r="3414" spans="1:7" x14ac:dyDescent="0.3">
      <c r="A3414" s="5" t="str">
        <f t="shared" si="373"/>
        <v>New Balance</v>
      </c>
      <c r="B3414" s="5" t="str">
        <f t="shared" si="375"/>
        <v>550</v>
      </c>
      <c r="C3414" s="3">
        <f t="shared" si="374"/>
        <v>45885</v>
      </c>
      <c r="D3414" s="4">
        <f t="shared" ca="1" si="376"/>
        <v>56</v>
      </c>
      <c r="E3414" s="2">
        <f t="shared" ca="1" si="377"/>
        <v>1964</v>
      </c>
      <c r="F3414" s="2">
        <f t="shared" ca="1" si="378"/>
        <v>15452</v>
      </c>
      <c r="G3414" s="2">
        <f t="shared" ca="1" si="379"/>
        <v>783</v>
      </c>
    </row>
    <row r="3415" spans="1:7" x14ac:dyDescent="0.3">
      <c r="A3415" s="5" t="str">
        <f t="shared" si="373"/>
        <v>Reebok</v>
      </c>
      <c r="B3415" s="5" t="str">
        <f t="shared" si="375"/>
        <v>Classic Leather</v>
      </c>
      <c r="C3415" s="3">
        <f t="shared" si="374"/>
        <v>45885</v>
      </c>
      <c r="D3415" s="4">
        <f t="shared" ca="1" si="376"/>
        <v>242</v>
      </c>
      <c r="E3415" s="2">
        <f t="shared" ca="1" si="377"/>
        <v>11435</v>
      </c>
      <c r="F3415" s="2">
        <f t="shared" ca="1" si="378"/>
        <v>20131</v>
      </c>
      <c r="G3415" s="2">
        <f t="shared" ca="1" si="379"/>
        <v>663</v>
      </c>
    </row>
    <row r="3416" spans="1:7" x14ac:dyDescent="0.3">
      <c r="A3416" s="5" t="str">
        <f t="shared" si="373"/>
        <v>Nike</v>
      </c>
      <c r="B3416" s="5" t="str">
        <f t="shared" si="375"/>
        <v>Air Force 1</v>
      </c>
      <c r="C3416" s="3">
        <f t="shared" si="374"/>
        <v>45885</v>
      </c>
      <c r="D3416" s="4">
        <f t="shared" ca="1" si="376"/>
        <v>39</v>
      </c>
      <c r="E3416" s="2">
        <f t="shared" ca="1" si="377"/>
        <v>7402</v>
      </c>
      <c r="F3416" s="2">
        <f t="shared" ca="1" si="378"/>
        <v>15708</v>
      </c>
      <c r="G3416" s="2">
        <f t="shared" ca="1" si="379"/>
        <v>1119</v>
      </c>
    </row>
    <row r="3417" spans="1:7" x14ac:dyDescent="0.3">
      <c r="A3417" s="5" t="str">
        <f t="shared" si="373"/>
        <v>Adidas</v>
      </c>
      <c r="B3417" s="5" t="str">
        <f t="shared" si="375"/>
        <v>Superstar</v>
      </c>
      <c r="C3417" s="3">
        <f t="shared" si="374"/>
        <v>45885</v>
      </c>
      <c r="D3417" s="4">
        <f t="shared" ca="1" si="376"/>
        <v>245</v>
      </c>
      <c r="E3417" s="2">
        <f t="shared" ca="1" si="377"/>
        <v>12034</v>
      </c>
      <c r="F3417" s="2">
        <f t="shared" ca="1" si="378"/>
        <v>18106</v>
      </c>
      <c r="G3417" s="2">
        <f t="shared" ca="1" si="379"/>
        <v>1319</v>
      </c>
    </row>
    <row r="3418" spans="1:7" x14ac:dyDescent="0.3">
      <c r="A3418" s="5" t="str">
        <f t="shared" si="373"/>
        <v>Puma</v>
      </c>
      <c r="B3418" s="5" t="str">
        <f t="shared" si="375"/>
        <v>Rider Vintage</v>
      </c>
      <c r="C3418" s="3">
        <f t="shared" si="374"/>
        <v>45885</v>
      </c>
      <c r="D3418" s="4">
        <f t="shared" ca="1" si="376"/>
        <v>157</v>
      </c>
      <c r="E3418" s="2">
        <f t="shared" ca="1" si="377"/>
        <v>11020</v>
      </c>
      <c r="F3418" s="2">
        <f t="shared" ca="1" si="378"/>
        <v>30637</v>
      </c>
      <c r="G3418" s="2">
        <f t="shared" ca="1" si="379"/>
        <v>1721</v>
      </c>
    </row>
    <row r="3419" spans="1:7" x14ac:dyDescent="0.3">
      <c r="A3419" s="5" t="str">
        <f t="shared" si="373"/>
        <v>New Balance</v>
      </c>
      <c r="B3419" s="5" t="str">
        <f t="shared" si="375"/>
        <v>327</v>
      </c>
      <c r="C3419" s="3">
        <f t="shared" si="374"/>
        <v>45885</v>
      </c>
      <c r="D3419" s="4">
        <f t="shared" ca="1" si="376"/>
        <v>100</v>
      </c>
      <c r="E3419" s="2">
        <f t="shared" ca="1" si="377"/>
        <v>1779</v>
      </c>
      <c r="F3419" s="2">
        <f t="shared" ca="1" si="378"/>
        <v>12394</v>
      </c>
      <c r="G3419" s="2">
        <f t="shared" ca="1" si="379"/>
        <v>747</v>
      </c>
    </row>
    <row r="3420" spans="1:7" x14ac:dyDescent="0.3">
      <c r="A3420" s="5" t="str">
        <f t="shared" si="373"/>
        <v>Reebok</v>
      </c>
      <c r="B3420" s="5" t="str">
        <f t="shared" si="375"/>
        <v>Question Mid</v>
      </c>
      <c r="C3420" s="3">
        <f t="shared" si="374"/>
        <v>45885</v>
      </c>
      <c r="D3420" s="4">
        <f t="shared" ca="1" si="376"/>
        <v>163</v>
      </c>
      <c r="E3420" s="2">
        <f t="shared" ca="1" si="377"/>
        <v>7081</v>
      </c>
      <c r="F3420" s="2">
        <f t="shared" ca="1" si="378"/>
        <v>17059</v>
      </c>
      <c r="G3420" s="2">
        <f t="shared" ca="1" si="379"/>
        <v>1235</v>
      </c>
    </row>
    <row r="3421" spans="1:7" x14ac:dyDescent="0.3">
      <c r="A3421" s="5" t="str">
        <f t="shared" si="373"/>
        <v>Nike</v>
      </c>
      <c r="B3421" s="5" t="str">
        <f t="shared" si="375"/>
        <v>Air Max 270</v>
      </c>
      <c r="C3421" s="3">
        <f t="shared" si="374"/>
        <v>45885</v>
      </c>
      <c r="D3421" s="4">
        <f t="shared" ca="1" si="376"/>
        <v>98</v>
      </c>
      <c r="E3421" s="2">
        <f t="shared" ca="1" si="377"/>
        <v>11208</v>
      </c>
      <c r="F3421" s="2">
        <f t="shared" ca="1" si="378"/>
        <v>25910</v>
      </c>
      <c r="G3421" s="2">
        <f t="shared" ca="1" si="379"/>
        <v>1946</v>
      </c>
    </row>
    <row r="3422" spans="1:7" x14ac:dyDescent="0.3">
      <c r="A3422" s="5" t="str">
        <f t="shared" si="373"/>
        <v>Adidas</v>
      </c>
      <c r="B3422" s="5" t="str">
        <f t="shared" si="375"/>
        <v>Stan Smith</v>
      </c>
      <c r="C3422" s="3">
        <f t="shared" si="374"/>
        <v>45886</v>
      </c>
      <c r="D3422" s="4">
        <f t="shared" ca="1" si="376"/>
        <v>128</v>
      </c>
      <c r="E3422" s="2">
        <f t="shared" ca="1" si="377"/>
        <v>11503</v>
      </c>
      <c r="F3422" s="2">
        <f t="shared" ca="1" si="378"/>
        <v>21629</v>
      </c>
      <c r="G3422" s="2">
        <f t="shared" ca="1" si="379"/>
        <v>680</v>
      </c>
    </row>
    <row r="3423" spans="1:7" x14ac:dyDescent="0.3">
      <c r="A3423" s="5" t="str">
        <f t="shared" si="373"/>
        <v>Puma</v>
      </c>
      <c r="B3423" s="5" t="str">
        <f t="shared" si="375"/>
        <v>Cali Dream</v>
      </c>
      <c r="C3423" s="3">
        <f t="shared" si="374"/>
        <v>45886</v>
      </c>
      <c r="D3423" s="4">
        <f t="shared" ca="1" si="376"/>
        <v>219</v>
      </c>
      <c r="E3423" s="2">
        <f t="shared" ca="1" si="377"/>
        <v>3451</v>
      </c>
      <c r="F3423" s="2">
        <f t="shared" ca="1" si="378"/>
        <v>18754</v>
      </c>
      <c r="G3423" s="2">
        <f t="shared" ca="1" si="379"/>
        <v>762</v>
      </c>
    </row>
    <row r="3424" spans="1:7" x14ac:dyDescent="0.3">
      <c r="A3424" s="5" t="str">
        <f t="shared" si="373"/>
        <v>New Balance</v>
      </c>
      <c r="B3424" s="5" t="str">
        <f t="shared" si="375"/>
        <v>9060</v>
      </c>
      <c r="C3424" s="3">
        <f t="shared" si="374"/>
        <v>45886</v>
      </c>
      <c r="D3424" s="4">
        <f t="shared" ca="1" si="376"/>
        <v>98</v>
      </c>
      <c r="E3424" s="2">
        <f t="shared" ca="1" si="377"/>
        <v>2206</v>
      </c>
      <c r="F3424" s="2">
        <f t="shared" ca="1" si="378"/>
        <v>5888</v>
      </c>
      <c r="G3424" s="2">
        <f t="shared" ca="1" si="379"/>
        <v>453</v>
      </c>
    </row>
    <row r="3425" spans="1:7" x14ac:dyDescent="0.3">
      <c r="A3425" s="5" t="str">
        <f t="shared" si="373"/>
        <v>Reebok</v>
      </c>
      <c r="B3425" s="5" t="str">
        <f t="shared" si="375"/>
        <v>Zig Kinetica</v>
      </c>
      <c r="C3425" s="3">
        <f t="shared" si="374"/>
        <v>45886</v>
      </c>
      <c r="D3425" s="4">
        <f t="shared" ca="1" si="376"/>
        <v>89</v>
      </c>
      <c r="E3425" s="2">
        <f t="shared" ca="1" si="377"/>
        <v>9154</v>
      </c>
      <c r="F3425" s="2">
        <f t="shared" ca="1" si="378"/>
        <v>25724</v>
      </c>
      <c r="G3425" s="2">
        <f t="shared" ca="1" si="379"/>
        <v>1278</v>
      </c>
    </row>
    <row r="3426" spans="1:7" x14ac:dyDescent="0.3">
      <c r="A3426" s="5" t="str">
        <f t="shared" si="373"/>
        <v>Nike</v>
      </c>
      <c r="B3426" s="5" t="str">
        <f t="shared" si="375"/>
        <v>Jordan 1</v>
      </c>
      <c r="C3426" s="3">
        <f t="shared" si="374"/>
        <v>45886</v>
      </c>
      <c r="D3426" s="4">
        <f t="shared" ca="1" si="376"/>
        <v>151</v>
      </c>
      <c r="E3426" s="2">
        <f t="shared" ca="1" si="377"/>
        <v>10994</v>
      </c>
      <c r="F3426" s="2">
        <f t="shared" ca="1" si="378"/>
        <v>25948</v>
      </c>
      <c r="G3426" s="2">
        <f t="shared" ca="1" si="379"/>
        <v>1337</v>
      </c>
    </row>
    <row r="3427" spans="1:7" x14ac:dyDescent="0.3">
      <c r="A3427" s="5" t="str">
        <f t="shared" si="373"/>
        <v>Adidas</v>
      </c>
      <c r="B3427" s="5" t="str">
        <f t="shared" si="375"/>
        <v>Ultraboost 23</v>
      </c>
      <c r="C3427" s="3">
        <f t="shared" si="374"/>
        <v>45886</v>
      </c>
      <c r="D3427" s="4">
        <f t="shared" ca="1" si="376"/>
        <v>48</v>
      </c>
      <c r="E3427" s="2">
        <f t="shared" ca="1" si="377"/>
        <v>11788</v>
      </c>
      <c r="F3427" s="2">
        <f t="shared" ca="1" si="378"/>
        <v>17200</v>
      </c>
      <c r="G3427" s="2">
        <f t="shared" ca="1" si="379"/>
        <v>1069</v>
      </c>
    </row>
    <row r="3428" spans="1:7" x14ac:dyDescent="0.3">
      <c r="A3428" s="5" t="str">
        <f t="shared" si="373"/>
        <v>Puma</v>
      </c>
      <c r="B3428" s="5" t="str">
        <f t="shared" si="375"/>
        <v>RS-X</v>
      </c>
      <c r="C3428" s="3">
        <f t="shared" si="374"/>
        <v>45886</v>
      </c>
      <c r="D3428" s="4">
        <f t="shared" ca="1" si="376"/>
        <v>200</v>
      </c>
      <c r="E3428" s="2">
        <f t="shared" ca="1" si="377"/>
        <v>5568</v>
      </c>
      <c r="F3428" s="2">
        <f t="shared" ca="1" si="378"/>
        <v>30151</v>
      </c>
      <c r="G3428" s="2">
        <f t="shared" ca="1" si="379"/>
        <v>1909</v>
      </c>
    </row>
    <row r="3429" spans="1:7" x14ac:dyDescent="0.3">
      <c r="A3429" s="5" t="str">
        <f t="shared" si="373"/>
        <v>New Balance</v>
      </c>
      <c r="B3429" s="5" t="str">
        <f t="shared" si="375"/>
        <v>2002R</v>
      </c>
      <c r="C3429" s="3">
        <f t="shared" si="374"/>
        <v>45886</v>
      </c>
      <c r="D3429" s="4">
        <f t="shared" ca="1" si="376"/>
        <v>96</v>
      </c>
      <c r="E3429" s="2">
        <f t="shared" ca="1" si="377"/>
        <v>2808</v>
      </c>
      <c r="F3429" s="2">
        <f t="shared" ca="1" si="378"/>
        <v>31257</v>
      </c>
      <c r="G3429" s="2">
        <f t="shared" ca="1" si="379"/>
        <v>980</v>
      </c>
    </row>
    <row r="3430" spans="1:7" x14ac:dyDescent="0.3">
      <c r="A3430" s="5" t="str">
        <f t="shared" si="373"/>
        <v>Reebok</v>
      </c>
      <c r="B3430" s="5" t="str">
        <f t="shared" si="375"/>
        <v>Instapump Fury</v>
      </c>
      <c r="C3430" s="3">
        <f t="shared" si="374"/>
        <v>45886</v>
      </c>
      <c r="D3430" s="4">
        <f t="shared" ca="1" si="376"/>
        <v>219</v>
      </c>
      <c r="E3430" s="2">
        <f t="shared" ca="1" si="377"/>
        <v>4643</v>
      </c>
      <c r="F3430" s="2">
        <f t="shared" ca="1" si="378"/>
        <v>31023</v>
      </c>
      <c r="G3430" s="2">
        <f t="shared" ca="1" si="379"/>
        <v>1450</v>
      </c>
    </row>
    <row r="3431" spans="1:7" x14ac:dyDescent="0.3">
      <c r="A3431" s="5" t="str">
        <f t="shared" si="373"/>
        <v>Nike</v>
      </c>
      <c r="B3431" s="5" t="str">
        <f t="shared" si="375"/>
        <v>Cortez</v>
      </c>
      <c r="C3431" s="3">
        <f t="shared" si="374"/>
        <v>45886</v>
      </c>
      <c r="D3431" s="4">
        <f t="shared" ca="1" si="376"/>
        <v>221</v>
      </c>
      <c r="E3431" s="2">
        <f t="shared" ca="1" si="377"/>
        <v>7239</v>
      </c>
      <c r="F3431" s="2">
        <f t="shared" ca="1" si="378"/>
        <v>29718</v>
      </c>
      <c r="G3431" s="2">
        <f t="shared" ca="1" si="379"/>
        <v>1951</v>
      </c>
    </row>
    <row r="3432" spans="1:7" x14ac:dyDescent="0.3">
      <c r="A3432" s="5" t="str">
        <f t="shared" si="373"/>
        <v>Adidas</v>
      </c>
      <c r="B3432" s="5" t="str">
        <f t="shared" si="375"/>
        <v>NMD S1</v>
      </c>
      <c r="C3432" s="3">
        <f t="shared" si="374"/>
        <v>45886</v>
      </c>
      <c r="D3432" s="4">
        <f t="shared" ca="1" si="376"/>
        <v>158</v>
      </c>
      <c r="E3432" s="2">
        <f t="shared" ca="1" si="377"/>
        <v>11799</v>
      </c>
      <c r="F3432" s="2">
        <f t="shared" ca="1" si="378"/>
        <v>25526</v>
      </c>
      <c r="G3432" s="2">
        <f t="shared" ca="1" si="379"/>
        <v>513</v>
      </c>
    </row>
    <row r="3433" spans="1:7" x14ac:dyDescent="0.3">
      <c r="A3433" s="5" t="str">
        <f t="shared" si="373"/>
        <v>Puma</v>
      </c>
      <c r="B3433" s="5" t="str">
        <f t="shared" si="375"/>
        <v>Suede Classic</v>
      </c>
      <c r="C3433" s="3">
        <f t="shared" si="374"/>
        <v>45886</v>
      </c>
      <c r="D3433" s="4">
        <f t="shared" ca="1" si="376"/>
        <v>31</v>
      </c>
      <c r="E3433" s="2">
        <f t="shared" ca="1" si="377"/>
        <v>2589</v>
      </c>
      <c r="F3433" s="2">
        <f t="shared" ca="1" si="378"/>
        <v>13281</v>
      </c>
      <c r="G3433" s="2">
        <f t="shared" ca="1" si="379"/>
        <v>1035</v>
      </c>
    </row>
    <row r="3434" spans="1:7" x14ac:dyDescent="0.3">
      <c r="A3434" s="5" t="str">
        <f t="shared" si="373"/>
        <v>New Balance</v>
      </c>
      <c r="B3434" s="5" t="str">
        <f t="shared" si="375"/>
        <v>990v6</v>
      </c>
      <c r="C3434" s="3">
        <f t="shared" si="374"/>
        <v>45886</v>
      </c>
      <c r="D3434" s="4">
        <f t="shared" ca="1" si="376"/>
        <v>159</v>
      </c>
      <c r="E3434" s="2">
        <f t="shared" ca="1" si="377"/>
        <v>8033</v>
      </c>
      <c r="F3434" s="2">
        <f t="shared" ca="1" si="378"/>
        <v>32405</v>
      </c>
      <c r="G3434" s="2">
        <f t="shared" ca="1" si="379"/>
        <v>1272</v>
      </c>
    </row>
    <row r="3435" spans="1:7" x14ac:dyDescent="0.3">
      <c r="A3435" s="5" t="str">
        <f t="shared" ref="A3435:A3498" si="380">CHOOSE(MOD(ROW(A3434),5)+1,"Nike","Adidas","Puma","New Balance","Reebok")</f>
        <v>Reebok</v>
      </c>
      <c r="B3435" s="5" t="str">
        <f t="shared" si="375"/>
        <v>Nano X3</v>
      </c>
      <c r="C3435" s="3">
        <f t="shared" ref="C3435:C3498" si="381">DATE(2025,1,1)+INT((ROW(A3435)-2)/15)</f>
        <v>45886</v>
      </c>
      <c r="D3435" s="4">
        <f t="shared" ca="1" si="376"/>
        <v>222</v>
      </c>
      <c r="E3435" s="2">
        <f t="shared" ca="1" si="377"/>
        <v>1474</v>
      </c>
      <c r="F3435" s="2">
        <f t="shared" ca="1" si="378"/>
        <v>13480</v>
      </c>
      <c r="G3435" s="2">
        <f t="shared" ca="1" si="379"/>
        <v>317</v>
      </c>
    </row>
    <row r="3436" spans="1:7" x14ac:dyDescent="0.3">
      <c r="A3436" s="5" t="str">
        <f t="shared" si="380"/>
        <v>Nike</v>
      </c>
      <c r="B3436" s="5" t="str">
        <f t="shared" si="375"/>
        <v>Vaporfly 3</v>
      </c>
      <c r="C3436" s="3">
        <f t="shared" si="381"/>
        <v>45886</v>
      </c>
      <c r="D3436" s="4">
        <f t="shared" ca="1" si="376"/>
        <v>67</v>
      </c>
      <c r="E3436" s="2">
        <f t="shared" ca="1" si="377"/>
        <v>3111</v>
      </c>
      <c r="F3436" s="2">
        <f t="shared" ca="1" si="378"/>
        <v>24217</v>
      </c>
      <c r="G3436" s="2">
        <f t="shared" ca="1" si="379"/>
        <v>1287</v>
      </c>
    </row>
    <row r="3437" spans="1:7" x14ac:dyDescent="0.3">
      <c r="A3437" s="5" t="str">
        <f t="shared" si="380"/>
        <v>Adidas</v>
      </c>
      <c r="B3437" s="5" t="str">
        <f t="shared" si="375"/>
        <v>Samba</v>
      </c>
      <c r="C3437" s="3">
        <f t="shared" si="381"/>
        <v>45887</v>
      </c>
      <c r="D3437" s="4">
        <f t="shared" ca="1" si="376"/>
        <v>48</v>
      </c>
      <c r="E3437" s="2">
        <f t="shared" ca="1" si="377"/>
        <v>6587</v>
      </c>
      <c r="F3437" s="2">
        <f t="shared" ca="1" si="378"/>
        <v>5352</v>
      </c>
      <c r="G3437" s="2">
        <f t="shared" ca="1" si="379"/>
        <v>187</v>
      </c>
    </row>
    <row r="3438" spans="1:7" x14ac:dyDescent="0.3">
      <c r="A3438" s="5" t="str">
        <f t="shared" si="380"/>
        <v>Puma</v>
      </c>
      <c r="B3438" s="5" t="str">
        <f t="shared" si="375"/>
        <v>Mayze</v>
      </c>
      <c r="C3438" s="3">
        <f t="shared" si="381"/>
        <v>45887</v>
      </c>
      <c r="D3438" s="4">
        <f t="shared" ca="1" si="376"/>
        <v>96</v>
      </c>
      <c r="E3438" s="2">
        <f t="shared" ca="1" si="377"/>
        <v>4512</v>
      </c>
      <c r="F3438" s="2">
        <f t="shared" ca="1" si="378"/>
        <v>27098</v>
      </c>
      <c r="G3438" s="2">
        <f t="shared" ca="1" si="379"/>
        <v>1200</v>
      </c>
    </row>
    <row r="3439" spans="1:7" x14ac:dyDescent="0.3">
      <c r="A3439" s="5" t="str">
        <f t="shared" si="380"/>
        <v>New Balance</v>
      </c>
      <c r="B3439" s="5" t="str">
        <f t="shared" si="375"/>
        <v>574 Core</v>
      </c>
      <c r="C3439" s="3">
        <f t="shared" si="381"/>
        <v>45887</v>
      </c>
      <c r="D3439" s="4">
        <f t="shared" ca="1" si="376"/>
        <v>113</v>
      </c>
      <c r="E3439" s="2">
        <f t="shared" ca="1" si="377"/>
        <v>8292</v>
      </c>
      <c r="F3439" s="2">
        <f t="shared" ca="1" si="378"/>
        <v>13551</v>
      </c>
      <c r="G3439" s="2">
        <f t="shared" ca="1" si="379"/>
        <v>499</v>
      </c>
    </row>
    <row r="3440" spans="1:7" x14ac:dyDescent="0.3">
      <c r="A3440" s="5" t="str">
        <f t="shared" si="380"/>
        <v>Reebok</v>
      </c>
      <c r="B3440" s="5" t="str">
        <f t="shared" si="375"/>
        <v>Club C 85</v>
      </c>
      <c r="C3440" s="3">
        <f t="shared" si="381"/>
        <v>45887</v>
      </c>
      <c r="D3440" s="4">
        <f t="shared" ca="1" si="376"/>
        <v>70</v>
      </c>
      <c r="E3440" s="2">
        <f t="shared" ca="1" si="377"/>
        <v>11359</v>
      </c>
      <c r="F3440" s="2">
        <f t="shared" ca="1" si="378"/>
        <v>12574</v>
      </c>
      <c r="G3440" s="2">
        <f t="shared" ca="1" si="379"/>
        <v>665</v>
      </c>
    </row>
    <row r="3441" spans="1:7" x14ac:dyDescent="0.3">
      <c r="A3441" s="5" t="str">
        <f t="shared" si="380"/>
        <v>Nike</v>
      </c>
      <c r="B3441" s="5" t="str">
        <f t="shared" si="375"/>
        <v>Pegasus 40</v>
      </c>
      <c r="C3441" s="3">
        <f t="shared" si="381"/>
        <v>45887</v>
      </c>
      <c r="D3441" s="4">
        <f t="shared" ca="1" si="376"/>
        <v>173</v>
      </c>
      <c r="E3441" s="2">
        <f t="shared" ca="1" si="377"/>
        <v>1601</v>
      </c>
      <c r="F3441" s="2">
        <f t="shared" ca="1" si="378"/>
        <v>14157</v>
      </c>
      <c r="G3441" s="2">
        <f t="shared" ca="1" si="379"/>
        <v>1034</v>
      </c>
    </row>
    <row r="3442" spans="1:7" x14ac:dyDescent="0.3">
      <c r="A3442" s="5" t="str">
        <f t="shared" si="380"/>
        <v>Adidas</v>
      </c>
      <c r="B3442" s="5" t="str">
        <f t="shared" si="375"/>
        <v>Gazelle</v>
      </c>
      <c r="C3442" s="3">
        <f t="shared" si="381"/>
        <v>45887</v>
      </c>
      <c r="D3442" s="4">
        <f t="shared" ca="1" si="376"/>
        <v>148</v>
      </c>
      <c r="E3442" s="2">
        <f t="shared" ca="1" si="377"/>
        <v>4155</v>
      </c>
      <c r="F3442" s="2">
        <f t="shared" ca="1" si="378"/>
        <v>20289</v>
      </c>
      <c r="G3442" s="2">
        <f t="shared" ca="1" si="379"/>
        <v>484</v>
      </c>
    </row>
    <row r="3443" spans="1:7" x14ac:dyDescent="0.3">
      <c r="A3443" s="5" t="str">
        <f t="shared" si="380"/>
        <v>Puma</v>
      </c>
      <c r="B3443" s="5" t="str">
        <f t="shared" si="375"/>
        <v>Slipstream</v>
      </c>
      <c r="C3443" s="3">
        <f t="shared" si="381"/>
        <v>45887</v>
      </c>
      <c r="D3443" s="4">
        <f t="shared" ca="1" si="376"/>
        <v>166</v>
      </c>
      <c r="E3443" s="2">
        <f t="shared" ca="1" si="377"/>
        <v>11678</v>
      </c>
      <c r="F3443" s="2">
        <f t="shared" ca="1" si="378"/>
        <v>21200</v>
      </c>
      <c r="G3443" s="2">
        <f t="shared" ca="1" si="379"/>
        <v>1273</v>
      </c>
    </row>
    <row r="3444" spans="1:7" x14ac:dyDescent="0.3">
      <c r="A3444" s="5" t="str">
        <f t="shared" si="380"/>
        <v>New Balance</v>
      </c>
      <c r="B3444" s="5" t="str">
        <f t="shared" si="375"/>
        <v>550</v>
      </c>
      <c r="C3444" s="3">
        <f t="shared" si="381"/>
        <v>45887</v>
      </c>
      <c r="D3444" s="4">
        <f t="shared" ca="1" si="376"/>
        <v>240</v>
      </c>
      <c r="E3444" s="2">
        <f t="shared" ca="1" si="377"/>
        <v>10516</v>
      </c>
      <c r="F3444" s="2">
        <f t="shared" ca="1" si="378"/>
        <v>24821</v>
      </c>
      <c r="G3444" s="2">
        <f t="shared" ca="1" si="379"/>
        <v>747</v>
      </c>
    </row>
    <row r="3445" spans="1:7" x14ac:dyDescent="0.3">
      <c r="A3445" s="5" t="str">
        <f t="shared" si="380"/>
        <v>Reebok</v>
      </c>
      <c r="B3445" s="5" t="str">
        <f t="shared" si="375"/>
        <v>Classic Leather</v>
      </c>
      <c r="C3445" s="3">
        <f t="shared" si="381"/>
        <v>45887</v>
      </c>
      <c r="D3445" s="4">
        <f t="shared" ca="1" si="376"/>
        <v>114</v>
      </c>
      <c r="E3445" s="2">
        <f t="shared" ca="1" si="377"/>
        <v>4123</v>
      </c>
      <c r="F3445" s="2">
        <f t="shared" ca="1" si="378"/>
        <v>5392</v>
      </c>
      <c r="G3445" s="2">
        <f t="shared" ca="1" si="379"/>
        <v>406</v>
      </c>
    </row>
    <row r="3446" spans="1:7" x14ac:dyDescent="0.3">
      <c r="A3446" s="5" t="str">
        <f t="shared" si="380"/>
        <v>Nike</v>
      </c>
      <c r="B3446" s="5" t="str">
        <f t="shared" si="375"/>
        <v>Air Force 1</v>
      </c>
      <c r="C3446" s="3">
        <f t="shared" si="381"/>
        <v>45887</v>
      </c>
      <c r="D3446" s="4">
        <f t="shared" ca="1" si="376"/>
        <v>184</v>
      </c>
      <c r="E3446" s="2">
        <f t="shared" ca="1" si="377"/>
        <v>11210</v>
      </c>
      <c r="F3446" s="2">
        <f t="shared" ca="1" si="378"/>
        <v>22710</v>
      </c>
      <c r="G3446" s="2">
        <f t="shared" ca="1" si="379"/>
        <v>1386</v>
      </c>
    </row>
    <row r="3447" spans="1:7" x14ac:dyDescent="0.3">
      <c r="A3447" s="5" t="str">
        <f t="shared" si="380"/>
        <v>Adidas</v>
      </c>
      <c r="B3447" s="5" t="str">
        <f t="shared" si="375"/>
        <v>Superstar</v>
      </c>
      <c r="C3447" s="3">
        <f t="shared" si="381"/>
        <v>45887</v>
      </c>
      <c r="D3447" s="4">
        <f t="shared" ca="1" si="376"/>
        <v>26</v>
      </c>
      <c r="E3447" s="2">
        <f t="shared" ca="1" si="377"/>
        <v>9669</v>
      </c>
      <c r="F3447" s="2">
        <f t="shared" ca="1" si="378"/>
        <v>33225</v>
      </c>
      <c r="G3447" s="2">
        <f t="shared" ca="1" si="379"/>
        <v>1330</v>
      </c>
    </row>
    <row r="3448" spans="1:7" x14ac:dyDescent="0.3">
      <c r="A3448" s="5" t="str">
        <f t="shared" si="380"/>
        <v>Puma</v>
      </c>
      <c r="B3448" s="5" t="str">
        <f t="shared" si="375"/>
        <v>Rider Vintage</v>
      </c>
      <c r="C3448" s="3">
        <f t="shared" si="381"/>
        <v>45887</v>
      </c>
      <c r="D3448" s="4">
        <f t="shared" ca="1" si="376"/>
        <v>177</v>
      </c>
      <c r="E3448" s="2">
        <f t="shared" ca="1" si="377"/>
        <v>3203</v>
      </c>
      <c r="F3448" s="2">
        <f t="shared" ca="1" si="378"/>
        <v>27608</v>
      </c>
      <c r="G3448" s="2">
        <f t="shared" ca="1" si="379"/>
        <v>1396</v>
      </c>
    </row>
    <row r="3449" spans="1:7" x14ac:dyDescent="0.3">
      <c r="A3449" s="5" t="str">
        <f t="shared" si="380"/>
        <v>New Balance</v>
      </c>
      <c r="B3449" s="5" t="str">
        <f t="shared" si="375"/>
        <v>327</v>
      </c>
      <c r="C3449" s="3">
        <f t="shared" si="381"/>
        <v>45887</v>
      </c>
      <c r="D3449" s="4">
        <f t="shared" ca="1" si="376"/>
        <v>23</v>
      </c>
      <c r="E3449" s="2">
        <f t="shared" ca="1" si="377"/>
        <v>1472</v>
      </c>
      <c r="F3449" s="2">
        <f t="shared" ca="1" si="378"/>
        <v>11904</v>
      </c>
      <c r="G3449" s="2">
        <f t="shared" ca="1" si="379"/>
        <v>272</v>
      </c>
    </row>
    <row r="3450" spans="1:7" x14ac:dyDescent="0.3">
      <c r="A3450" s="5" t="str">
        <f t="shared" si="380"/>
        <v>Reebok</v>
      </c>
      <c r="B3450" s="5" t="str">
        <f t="shared" si="375"/>
        <v>Question Mid</v>
      </c>
      <c r="C3450" s="3">
        <f t="shared" si="381"/>
        <v>45887</v>
      </c>
      <c r="D3450" s="4">
        <f t="shared" ca="1" si="376"/>
        <v>71</v>
      </c>
      <c r="E3450" s="2">
        <f t="shared" ca="1" si="377"/>
        <v>9685</v>
      </c>
      <c r="F3450" s="2">
        <f t="shared" ca="1" si="378"/>
        <v>34730</v>
      </c>
      <c r="G3450" s="2">
        <f t="shared" ca="1" si="379"/>
        <v>792</v>
      </c>
    </row>
    <row r="3451" spans="1:7" x14ac:dyDescent="0.3">
      <c r="A3451" s="5" t="str">
        <f t="shared" si="380"/>
        <v>Nike</v>
      </c>
      <c r="B3451" s="5" t="str">
        <f t="shared" si="375"/>
        <v>Air Max 270</v>
      </c>
      <c r="C3451" s="3">
        <f t="shared" si="381"/>
        <v>45887</v>
      </c>
      <c r="D3451" s="4">
        <f t="shared" ca="1" si="376"/>
        <v>204</v>
      </c>
      <c r="E3451" s="2">
        <f t="shared" ca="1" si="377"/>
        <v>5677</v>
      </c>
      <c r="F3451" s="2">
        <f t="shared" ca="1" si="378"/>
        <v>12253</v>
      </c>
      <c r="G3451" s="2">
        <f t="shared" ca="1" si="379"/>
        <v>745</v>
      </c>
    </row>
    <row r="3452" spans="1:7" x14ac:dyDescent="0.3">
      <c r="A3452" s="5" t="str">
        <f t="shared" si="380"/>
        <v>Adidas</v>
      </c>
      <c r="B3452" s="5" t="str">
        <f t="shared" si="375"/>
        <v>Stan Smith</v>
      </c>
      <c r="C3452" s="3">
        <f t="shared" si="381"/>
        <v>45888</v>
      </c>
      <c r="D3452" s="4">
        <f t="shared" ca="1" si="376"/>
        <v>100</v>
      </c>
      <c r="E3452" s="2">
        <f t="shared" ca="1" si="377"/>
        <v>7691</v>
      </c>
      <c r="F3452" s="2">
        <f t="shared" ca="1" si="378"/>
        <v>31308</v>
      </c>
      <c r="G3452" s="2">
        <f t="shared" ca="1" si="379"/>
        <v>2314</v>
      </c>
    </row>
    <row r="3453" spans="1:7" x14ac:dyDescent="0.3">
      <c r="A3453" s="5" t="str">
        <f t="shared" si="380"/>
        <v>Puma</v>
      </c>
      <c r="B3453" s="5" t="str">
        <f t="shared" si="375"/>
        <v>Cali Dream</v>
      </c>
      <c r="C3453" s="3">
        <f t="shared" si="381"/>
        <v>45888</v>
      </c>
      <c r="D3453" s="4">
        <f t="shared" ca="1" si="376"/>
        <v>153</v>
      </c>
      <c r="E3453" s="2">
        <f t="shared" ca="1" si="377"/>
        <v>8454</v>
      </c>
      <c r="F3453" s="2">
        <f t="shared" ca="1" si="378"/>
        <v>33277</v>
      </c>
      <c r="G3453" s="2">
        <f t="shared" ca="1" si="379"/>
        <v>1832</v>
      </c>
    </row>
    <row r="3454" spans="1:7" x14ac:dyDescent="0.3">
      <c r="A3454" s="5" t="str">
        <f t="shared" si="380"/>
        <v>New Balance</v>
      </c>
      <c r="B3454" s="5" t="str">
        <f t="shared" si="375"/>
        <v>9060</v>
      </c>
      <c r="C3454" s="3">
        <f t="shared" si="381"/>
        <v>45888</v>
      </c>
      <c r="D3454" s="4">
        <f t="shared" ca="1" si="376"/>
        <v>45</v>
      </c>
      <c r="E3454" s="2">
        <f t="shared" ca="1" si="377"/>
        <v>6345</v>
      </c>
      <c r="F3454" s="2">
        <f t="shared" ca="1" si="378"/>
        <v>24308</v>
      </c>
      <c r="G3454" s="2">
        <f t="shared" ca="1" si="379"/>
        <v>1778</v>
      </c>
    </row>
    <row r="3455" spans="1:7" x14ac:dyDescent="0.3">
      <c r="A3455" s="5" t="str">
        <f t="shared" si="380"/>
        <v>Reebok</v>
      </c>
      <c r="B3455" s="5" t="str">
        <f t="shared" si="375"/>
        <v>Zig Kinetica</v>
      </c>
      <c r="C3455" s="3">
        <f t="shared" si="381"/>
        <v>45888</v>
      </c>
      <c r="D3455" s="4">
        <f t="shared" ca="1" si="376"/>
        <v>39</v>
      </c>
      <c r="E3455" s="2">
        <f t="shared" ca="1" si="377"/>
        <v>5643</v>
      </c>
      <c r="F3455" s="2">
        <f t="shared" ca="1" si="378"/>
        <v>6703</v>
      </c>
      <c r="G3455" s="2">
        <f t="shared" ca="1" si="379"/>
        <v>188</v>
      </c>
    </row>
    <row r="3456" spans="1:7" x14ac:dyDescent="0.3">
      <c r="A3456" s="5" t="str">
        <f t="shared" si="380"/>
        <v>Nike</v>
      </c>
      <c r="B3456" s="5" t="str">
        <f t="shared" si="375"/>
        <v>Jordan 1</v>
      </c>
      <c r="C3456" s="3">
        <f t="shared" si="381"/>
        <v>45888</v>
      </c>
      <c r="D3456" s="4">
        <f t="shared" ca="1" si="376"/>
        <v>59</v>
      </c>
      <c r="E3456" s="2">
        <f t="shared" ca="1" si="377"/>
        <v>10924</v>
      </c>
      <c r="F3456" s="2">
        <f t="shared" ca="1" si="378"/>
        <v>12515</v>
      </c>
      <c r="G3456" s="2">
        <f t="shared" ca="1" si="379"/>
        <v>903</v>
      </c>
    </row>
    <row r="3457" spans="1:7" x14ac:dyDescent="0.3">
      <c r="A3457" s="5" t="str">
        <f t="shared" si="380"/>
        <v>Adidas</v>
      </c>
      <c r="B3457" s="5" t="str">
        <f t="shared" si="375"/>
        <v>Ultraboost 23</v>
      </c>
      <c r="C3457" s="3">
        <f t="shared" si="381"/>
        <v>45888</v>
      </c>
      <c r="D3457" s="4">
        <f t="shared" ca="1" si="376"/>
        <v>47</v>
      </c>
      <c r="E3457" s="2">
        <f t="shared" ca="1" si="377"/>
        <v>1639</v>
      </c>
      <c r="F3457" s="2">
        <f t="shared" ca="1" si="378"/>
        <v>12954</v>
      </c>
      <c r="G3457" s="2">
        <f t="shared" ca="1" si="379"/>
        <v>747</v>
      </c>
    </row>
    <row r="3458" spans="1:7" x14ac:dyDescent="0.3">
      <c r="A3458" s="5" t="str">
        <f t="shared" si="380"/>
        <v>Puma</v>
      </c>
      <c r="B3458" s="5" t="str">
        <f t="shared" si="375"/>
        <v>RS-X</v>
      </c>
      <c r="C3458" s="3">
        <f t="shared" si="381"/>
        <v>45888</v>
      </c>
      <c r="D3458" s="4">
        <f t="shared" ca="1" si="376"/>
        <v>153</v>
      </c>
      <c r="E3458" s="2">
        <f t="shared" ca="1" si="377"/>
        <v>4380</v>
      </c>
      <c r="F3458" s="2">
        <f t="shared" ca="1" si="378"/>
        <v>14963</v>
      </c>
      <c r="G3458" s="2">
        <f t="shared" ca="1" si="379"/>
        <v>871</v>
      </c>
    </row>
    <row r="3459" spans="1:7" x14ac:dyDescent="0.3">
      <c r="A3459" s="5" t="str">
        <f t="shared" si="380"/>
        <v>New Balance</v>
      </c>
      <c r="B3459" s="5" t="str">
        <f t="shared" ref="B3459:B3522" si="382">IF(A3459="Nike",CHOOSE(MOD(ROW(A3458),6)+1,"Air Max 270","Air Force 1","Pegasus 40","Vaporfly 3","Cortez","Jordan 1"),
 IF(A3459="Adidas",CHOOSE(MOD(ROW(A3458),6)+1,"Ultraboost 23","Stan Smith","Superstar","Gazelle","Samba","NMD S1"),
 IF(A3459="Puma",CHOOSE(MOD(ROW(A3458),6)+1,"Suede Classic","RS-X","Cali Dream","Rider Vintage","Slipstream","Mayze"),
 IF(A3459="New Balance",CHOOSE(MOD(ROW(A3458),6)+1,"574 Core","990v6","2002R","9060","327","550"),
 IF(A3459="Reebok",CHOOSE(MOD(ROW(A3458),6)+1,"Classic Leather","Club C 85","Nano X3","Instapump Fury","Zig Kinetica","Question Mid"),"")))))</f>
        <v>2002R</v>
      </c>
      <c r="C3459" s="3">
        <f t="shared" si="381"/>
        <v>45888</v>
      </c>
      <c r="D3459" s="4">
        <f t="shared" ref="D3459:D3522" ca="1" si="383">RANDBETWEEN(20,250)</f>
        <v>165</v>
      </c>
      <c r="E3459" s="2">
        <f t="shared" ref="E3459:E3522" ca="1" si="384">ROUND(RANDBETWEEN(1500,12000)+(RANDBETWEEN(-200,200)),2)</f>
        <v>5249</v>
      </c>
      <c r="F3459" s="2">
        <f t="shared" ref="F3459:F3522" ca="1" si="385">RANDBETWEEN(5000,35000)</f>
        <v>14442</v>
      </c>
      <c r="G3459" s="2">
        <f t="shared" ref="G3459:G3522" ca="1" si="386">RANDBETWEEN(ROUND(F3459*0.02,0),ROUND(F3459*0.08,0))</f>
        <v>436</v>
      </c>
    </row>
    <row r="3460" spans="1:7" x14ac:dyDescent="0.3">
      <c r="A3460" s="5" t="str">
        <f t="shared" si="380"/>
        <v>Reebok</v>
      </c>
      <c r="B3460" s="5" t="str">
        <f t="shared" si="382"/>
        <v>Instapump Fury</v>
      </c>
      <c r="C3460" s="3">
        <f t="shared" si="381"/>
        <v>45888</v>
      </c>
      <c r="D3460" s="4">
        <f t="shared" ca="1" si="383"/>
        <v>164</v>
      </c>
      <c r="E3460" s="2">
        <f t="shared" ca="1" si="384"/>
        <v>5118</v>
      </c>
      <c r="F3460" s="2">
        <f t="shared" ca="1" si="385"/>
        <v>33863</v>
      </c>
      <c r="G3460" s="2">
        <f t="shared" ca="1" si="386"/>
        <v>2225</v>
      </c>
    </row>
    <row r="3461" spans="1:7" x14ac:dyDescent="0.3">
      <c r="A3461" s="5" t="str">
        <f t="shared" si="380"/>
        <v>Nike</v>
      </c>
      <c r="B3461" s="5" t="str">
        <f t="shared" si="382"/>
        <v>Cortez</v>
      </c>
      <c r="C3461" s="3">
        <f t="shared" si="381"/>
        <v>45888</v>
      </c>
      <c r="D3461" s="4">
        <f t="shared" ca="1" si="383"/>
        <v>218</v>
      </c>
      <c r="E3461" s="2">
        <f t="shared" ca="1" si="384"/>
        <v>2562</v>
      </c>
      <c r="F3461" s="2">
        <f t="shared" ca="1" si="385"/>
        <v>12411</v>
      </c>
      <c r="G3461" s="2">
        <f t="shared" ca="1" si="386"/>
        <v>388</v>
      </c>
    </row>
    <row r="3462" spans="1:7" x14ac:dyDescent="0.3">
      <c r="A3462" s="5" t="str">
        <f t="shared" si="380"/>
        <v>Adidas</v>
      </c>
      <c r="B3462" s="5" t="str">
        <f t="shared" si="382"/>
        <v>NMD S1</v>
      </c>
      <c r="C3462" s="3">
        <f t="shared" si="381"/>
        <v>45888</v>
      </c>
      <c r="D3462" s="4">
        <f t="shared" ca="1" si="383"/>
        <v>220</v>
      </c>
      <c r="E3462" s="2">
        <f t="shared" ca="1" si="384"/>
        <v>8575</v>
      </c>
      <c r="F3462" s="2">
        <f t="shared" ca="1" si="385"/>
        <v>23695</v>
      </c>
      <c r="G3462" s="2">
        <f t="shared" ca="1" si="386"/>
        <v>1633</v>
      </c>
    </row>
    <row r="3463" spans="1:7" x14ac:dyDescent="0.3">
      <c r="A3463" s="5" t="str">
        <f t="shared" si="380"/>
        <v>Puma</v>
      </c>
      <c r="B3463" s="5" t="str">
        <f t="shared" si="382"/>
        <v>Suede Classic</v>
      </c>
      <c r="C3463" s="3">
        <f t="shared" si="381"/>
        <v>45888</v>
      </c>
      <c r="D3463" s="4">
        <f t="shared" ca="1" si="383"/>
        <v>39</v>
      </c>
      <c r="E3463" s="2">
        <f t="shared" ca="1" si="384"/>
        <v>4427</v>
      </c>
      <c r="F3463" s="2">
        <f t="shared" ca="1" si="385"/>
        <v>31209</v>
      </c>
      <c r="G3463" s="2">
        <f t="shared" ca="1" si="386"/>
        <v>939</v>
      </c>
    </row>
    <row r="3464" spans="1:7" x14ac:dyDescent="0.3">
      <c r="A3464" s="5" t="str">
        <f t="shared" si="380"/>
        <v>New Balance</v>
      </c>
      <c r="B3464" s="5" t="str">
        <f t="shared" si="382"/>
        <v>990v6</v>
      </c>
      <c r="C3464" s="3">
        <f t="shared" si="381"/>
        <v>45888</v>
      </c>
      <c r="D3464" s="4">
        <f t="shared" ca="1" si="383"/>
        <v>34</v>
      </c>
      <c r="E3464" s="2">
        <f t="shared" ca="1" si="384"/>
        <v>9793</v>
      </c>
      <c r="F3464" s="2">
        <f t="shared" ca="1" si="385"/>
        <v>30119</v>
      </c>
      <c r="G3464" s="2">
        <f t="shared" ca="1" si="386"/>
        <v>1708</v>
      </c>
    </row>
    <row r="3465" spans="1:7" x14ac:dyDescent="0.3">
      <c r="A3465" s="5" t="str">
        <f t="shared" si="380"/>
        <v>Reebok</v>
      </c>
      <c r="B3465" s="5" t="str">
        <f t="shared" si="382"/>
        <v>Nano X3</v>
      </c>
      <c r="C3465" s="3">
        <f t="shared" si="381"/>
        <v>45888</v>
      </c>
      <c r="D3465" s="4">
        <f t="shared" ca="1" si="383"/>
        <v>204</v>
      </c>
      <c r="E3465" s="2">
        <f t="shared" ca="1" si="384"/>
        <v>3027</v>
      </c>
      <c r="F3465" s="2">
        <f t="shared" ca="1" si="385"/>
        <v>9406</v>
      </c>
      <c r="G3465" s="2">
        <f t="shared" ca="1" si="386"/>
        <v>266</v>
      </c>
    </row>
    <row r="3466" spans="1:7" x14ac:dyDescent="0.3">
      <c r="A3466" s="5" t="str">
        <f t="shared" si="380"/>
        <v>Nike</v>
      </c>
      <c r="B3466" s="5" t="str">
        <f t="shared" si="382"/>
        <v>Vaporfly 3</v>
      </c>
      <c r="C3466" s="3">
        <f t="shared" si="381"/>
        <v>45888</v>
      </c>
      <c r="D3466" s="4">
        <f t="shared" ca="1" si="383"/>
        <v>69</v>
      </c>
      <c r="E3466" s="2">
        <f t="shared" ca="1" si="384"/>
        <v>6200</v>
      </c>
      <c r="F3466" s="2">
        <f t="shared" ca="1" si="385"/>
        <v>14556</v>
      </c>
      <c r="G3466" s="2">
        <f t="shared" ca="1" si="386"/>
        <v>371</v>
      </c>
    </row>
    <row r="3467" spans="1:7" x14ac:dyDescent="0.3">
      <c r="A3467" s="5" t="str">
        <f t="shared" si="380"/>
        <v>Adidas</v>
      </c>
      <c r="B3467" s="5" t="str">
        <f t="shared" si="382"/>
        <v>Samba</v>
      </c>
      <c r="C3467" s="3">
        <f t="shared" si="381"/>
        <v>45889</v>
      </c>
      <c r="D3467" s="4">
        <f t="shared" ca="1" si="383"/>
        <v>220</v>
      </c>
      <c r="E3467" s="2">
        <f t="shared" ca="1" si="384"/>
        <v>8558</v>
      </c>
      <c r="F3467" s="2">
        <f t="shared" ca="1" si="385"/>
        <v>5120</v>
      </c>
      <c r="G3467" s="2">
        <f t="shared" ca="1" si="386"/>
        <v>366</v>
      </c>
    </row>
    <row r="3468" spans="1:7" x14ac:dyDescent="0.3">
      <c r="A3468" s="5" t="str">
        <f t="shared" si="380"/>
        <v>Puma</v>
      </c>
      <c r="B3468" s="5" t="str">
        <f t="shared" si="382"/>
        <v>Mayze</v>
      </c>
      <c r="C3468" s="3">
        <f t="shared" si="381"/>
        <v>45889</v>
      </c>
      <c r="D3468" s="4">
        <f t="shared" ca="1" si="383"/>
        <v>142</v>
      </c>
      <c r="E3468" s="2">
        <f t="shared" ca="1" si="384"/>
        <v>1916</v>
      </c>
      <c r="F3468" s="2">
        <f t="shared" ca="1" si="385"/>
        <v>13029</v>
      </c>
      <c r="G3468" s="2">
        <f t="shared" ca="1" si="386"/>
        <v>549</v>
      </c>
    </row>
    <row r="3469" spans="1:7" x14ac:dyDescent="0.3">
      <c r="A3469" s="5" t="str">
        <f t="shared" si="380"/>
        <v>New Balance</v>
      </c>
      <c r="B3469" s="5" t="str">
        <f t="shared" si="382"/>
        <v>574 Core</v>
      </c>
      <c r="C3469" s="3">
        <f t="shared" si="381"/>
        <v>45889</v>
      </c>
      <c r="D3469" s="4">
        <f t="shared" ca="1" si="383"/>
        <v>45</v>
      </c>
      <c r="E3469" s="2">
        <f t="shared" ca="1" si="384"/>
        <v>5988</v>
      </c>
      <c r="F3469" s="2">
        <f t="shared" ca="1" si="385"/>
        <v>13405</v>
      </c>
      <c r="G3469" s="2">
        <f t="shared" ca="1" si="386"/>
        <v>990</v>
      </c>
    </row>
    <row r="3470" spans="1:7" x14ac:dyDescent="0.3">
      <c r="A3470" s="5" t="str">
        <f t="shared" si="380"/>
        <v>Reebok</v>
      </c>
      <c r="B3470" s="5" t="str">
        <f t="shared" si="382"/>
        <v>Club C 85</v>
      </c>
      <c r="C3470" s="3">
        <f t="shared" si="381"/>
        <v>45889</v>
      </c>
      <c r="D3470" s="4">
        <f t="shared" ca="1" si="383"/>
        <v>180</v>
      </c>
      <c r="E3470" s="2">
        <f t="shared" ca="1" si="384"/>
        <v>2362</v>
      </c>
      <c r="F3470" s="2">
        <f t="shared" ca="1" si="385"/>
        <v>17329</v>
      </c>
      <c r="G3470" s="2">
        <f t="shared" ca="1" si="386"/>
        <v>391</v>
      </c>
    </row>
    <row r="3471" spans="1:7" x14ac:dyDescent="0.3">
      <c r="A3471" s="5" t="str">
        <f t="shared" si="380"/>
        <v>Nike</v>
      </c>
      <c r="B3471" s="5" t="str">
        <f t="shared" si="382"/>
        <v>Pegasus 40</v>
      </c>
      <c r="C3471" s="3">
        <f t="shared" si="381"/>
        <v>45889</v>
      </c>
      <c r="D3471" s="4">
        <f t="shared" ca="1" si="383"/>
        <v>37</v>
      </c>
      <c r="E3471" s="2">
        <f t="shared" ca="1" si="384"/>
        <v>4671</v>
      </c>
      <c r="F3471" s="2">
        <f t="shared" ca="1" si="385"/>
        <v>27948</v>
      </c>
      <c r="G3471" s="2">
        <f t="shared" ca="1" si="386"/>
        <v>1317</v>
      </c>
    </row>
    <row r="3472" spans="1:7" x14ac:dyDescent="0.3">
      <c r="A3472" s="5" t="str">
        <f t="shared" si="380"/>
        <v>Adidas</v>
      </c>
      <c r="B3472" s="5" t="str">
        <f t="shared" si="382"/>
        <v>Gazelle</v>
      </c>
      <c r="C3472" s="3">
        <f t="shared" si="381"/>
        <v>45889</v>
      </c>
      <c r="D3472" s="4">
        <f t="shared" ca="1" si="383"/>
        <v>29</v>
      </c>
      <c r="E3472" s="2">
        <f t="shared" ca="1" si="384"/>
        <v>8012</v>
      </c>
      <c r="F3472" s="2">
        <f t="shared" ca="1" si="385"/>
        <v>30671</v>
      </c>
      <c r="G3472" s="2">
        <f t="shared" ca="1" si="386"/>
        <v>1570</v>
      </c>
    </row>
    <row r="3473" spans="1:7" x14ac:dyDescent="0.3">
      <c r="A3473" s="5" t="str">
        <f t="shared" si="380"/>
        <v>Puma</v>
      </c>
      <c r="B3473" s="5" t="str">
        <f t="shared" si="382"/>
        <v>Slipstream</v>
      </c>
      <c r="C3473" s="3">
        <f t="shared" si="381"/>
        <v>45889</v>
      </c>
      <c r="D3473" s="4">
        <f t="shared" ca="1" si="383"/>
        <v>129</v>
      </c>
      <c r="E3473" s="2">
        <f t="shared" ca="1" si="384"/>
        <v>8460</v>
      </c>
      <c r="F3473" s="2">
        <f t="shared" ca="1" si="385"/>
        <v>12101</v>
      </c>
      <c r="G3473" s="2">
        <f t="shared" ca="1" si="386"/>
        <v>665</v>
      </c>
    </row>
    <row r="3474" spans="1:7" x14ac:dyDescent="0.3">
      <c r="A3474" s="5" t="str">
        <f t="shared" si="380"/>
        <v>New Balance</v>
      </c>
      <c r="B3474" s="5" t="str">
        <f t="shared" si="382"/>
        <v>550</v>
      </c>
      <c r="C3474" s="3">
        <f t="shared" si="381"/>
        <v>45889</v>
      </c>
      <c r="D3474" s="4">
        <f t="shared" ca="1" si="383"/>
        <v>163</v>
      </c>
      <c r="E3474" s="2">
        <f t="shared" ca="1" si="384"/>
        <v>7376</v>
      </c>
      <c r="F3474" s="2">
        <f t="shared" ca="1" si="385"/>
        <v>10884</v>
      </c>
      <c r="G3474" s="2">
        <f t="shared" ca="1" si="386"/>
        <v>849</v>
      </c>
    </row>
    <row r="3475" spans="1:7" x14ac:dyDescent="0.3">
      <c r="A3475" s="5" t="str">
        <f t="shared" si="380"/>
        <v>Reebok</v>
      </c>
      <c r="B3475" s="5" t="str">
        <f t="shared" si="382"/>
        <v>Classic Leather</v>
      </c>
      <c r="C3475" s="3">
        <f t="shared" si="381"/>
        <v>45889</v>
      </c>
      <c r="D3475" s="4">
        <f t="shared" ca="1" si="383"/>
        <v>99</v>
      </c>
      <c r="E3475" s="2">
        <f t="shared" ca="1" si="384"/>
        <v>1621</v>
      </c>
      <c r="F3475" s="2">
        <f t="shared" ca="1" si="385"/>
        <v>34944</v>
      </c>
      <c r="G3475" s="2">
        <f t="shared" ca="1" si="386"/>
        <v>1897</v>
      </c>
    </row>
    <row r="3476" spans="1:7" x14ac:dyDescent="0.3">
      <c r="A3476" s="5" t="str">
        <f t="shared" si="380"/>
        <v>Nike</v>
      </c>
      <c r="B3476" s="5" t="str">
        <f t="shared" si="382"/>
        <v>Air Force 1</v>
      </c>
      <c r="C3476" s="3">
        <f t="shared" si="381"/>
        <v>45889</v>
      </c>
      <c r="D3476" s="4">
        <f t="shared" ca="1" si="383"/>
        <v>225</v>
      </c>
      <c r="E3476" s="2">
        <f t="shared" ca="1" si="384"/>
        <v>2855</v>
      </c>
      <c r="F3476" s="2">
        <f t="shared" ca="1" si="385"/>
        <v>33177</v>
      </c>
      <c r="G3476" s="2">
        <f t="shared" ca="1" si="386"/>
        <v>2178</v>
      </c>
    </row>
    <row r="3477" spans="1:7" x14ac:dyDescent="0.3">
      <c r="A3477" s="5" t="str">
        <f t="shared" si="380"/>
        <v>Adidas</v>
      </c>
      <c r="B3477" s="5" t="str">
        <f t="shared" si="382"/>
        <v>Superstar</v>
      </c>
      <c r="C3477" s="3">
        <f t="shared" si="381"/>
        <v>45889</v>
      </c>
      <c r="D3477" s="4">
        <f t="shared" ca="1" si="383"/>
        <v>28</v>
      </c>
      <c r="E3477" s="2">
        <f t="shared" ca="1" si="384"/>
        <v>4341</v>
      </c>
      <c r="F3477" s="2">
        <f t="shared" ca="1" si="385"/>
        <v>17393</v>
      </c>
      <c r="G3477" s="2">
        <f t="shared" ca="1" si="386"/>
        <v>1050</v>
      </c>
    </row>
    <row r="3478" spans="1:7" x14ac:dyDescent="0.3">
      <c r="A3478" s="5" t="str">
        <f t="shared" si="380"/>
        <v>Puma</v>
      </c>
      <c r="B3478" s="5" t="str">
        <f t="shared" si="382"/>
        <v>Rider Vintage</v>
      </c>
      <c r="C3478" s="3">
        <f t="shared" si="381"/>
        <v>45889</v>
      </c>
      <c r="D3478" s="4">
        <f t="shared" ca="1" si="383"/>
        <v>217</v>
      </c>
      <c r="E3478" s="2">
        <f t="shared" ca="1" si="384"/>
        <v>7028</v>
      </c>
      <c r="F3478" s="2">
        <f t="shared" ca="1" si="385"/>
        <v>23059</v>
      </c>
      <c r="G3478" s="2">
        <f t="shared" ca="1" si="386"/>
        <v>1221</v>
      </c>
    </row>
    <row r="3479" spans="1:7" x14ac:dyDescent="0.3">
      <c r="A3479" s="5" t="str">
        <f t="shared" si="380"/>
        <v>New Balance</v>
      </c>
      <c r="B3479" s="5" t="str">
        <f t="shared" si="382"/>
        <v>327</v>
      </c>
      <c r="C3479" s="3">
        <f t="shared" si="381"/>
        <v>45889</v>
      </c>
      <c r="D3479" s="4">
        <f t="shared" ca="1" si="383"/>
        <v>203</v>
      </c>
      <c r="E3479" s="2">
        <f t="shared" ca="1" si="384"/>
        <v>6847</v>
      </c>
      <c r="F3479" s="2">
        <f t="shared" ca="1" si="385"/>
        <v>8025</v>
      </c>
      <c r="G3479" s="2">
        <f t="shared" ca="1" si="386"/>
        <v>441</v>
      </c>
    </row>
    <row r="3480" spans="1:7" x14ac:dyDescent="0.3">
      <c r="A3480" s="5" t="str">
        <f t="shared" si="380"/>
        <v>Reebok</v>
      </c>
      <c r="B3480" s="5" t="str">
        <f t="shared" si="382"/>
        <v>Question Mid</v>
      </c>
      <c r="C3480" s="3">
        <f t="shared" si="381"/>
        <v>45889</v>
      </c>
      <c r="D3480" s="4">
        <f t="shared" ca="1" si="383"/>
        <v>196</v>
      </c>
      <c r="E3480" s="2">
        <f t="shared" ca="1" si="384"/>
        <v>1902</v>
      </c>
      <c r="F3480" s="2">
        <f t="shared" ca="1" si="385"/>
        <v>12801</v>
      </c>
      <c r="G3480" s="2">
        <f t="shared" ca="1" si="386"/>
        <v>460</v>
      </c>
    </row>
    <row r="3481" spans="1:7" x14ac:dyDescent="0.3">
      <c r="A3481" s="5" t="str">
        <f t="shared" si="380"/>
        <v>Nike</v>
      </c>
      <c r="B3481" s="5" t="str">
        <f t="shared" si="382"/>
        <v>Air Max 270</v>
      </c>
      <c r="C3481" s="3">
        <f t="shared" si="381"/>
        <v>45889</v>
      </c>
      <c r="D3481" s="4">
        <f t="shared" ca="1" si="383"/>
        <v>95</v>
      </c>
      <c r="E3481" s="2">
        <f t="shared" ca="1" si="384"/>
        <v>10376</v>
      </c>
      <c r="F3481" s="2">
        <f t="shared" ca="1" si="385"/>
        <v>27735</v>
      </c>
      <c r="G3481" s="2">
        <f t="shared" ca="1" si="386"/>
        <v>2216</v>
      </c>
    </row>
    <row r="3482" spans="1:7" x14ac:dyDescent="0.3">
      <c r="A3482" s="5" t="str">
        <f t="shared" si="380"/>
        <v>Adidas</v>
      </c>
      <c r="B3482" s="5" t="str">
        <f t="shared" si="382"/>
        <v>Stan Smith</v>
      </c>
      <c r="C3482" s="3">
        <f t="shared" si="381"/>
        <v>45890</v>
      </c>
      <c r="D3482" s="4">
        <f t="shared" ca="1" si="383"/>
        <v>30</v>
      </c>
      <c r="E3482" s="2">
        <f t="shared" ca="1" si="384"/>
        <v>1903</v>
      </c>
      <c r="F3482" s="2">
        <f t="shared" ca="1" si="385"/>
        <v>9317</v>
      </c>
      <c r="G3482" s="2">
        <f t="shared" ca="1" si="386"/>
        <v>343</v>
      </c>
    </row>
    <row r="3483" spans="1:7" x14ac:dyDescent="0.3">
      <c r="A3483" s="5" t="str">
        <f t="shared" si="380"/>
        <v>Puma</v>
      </c>
      <c r="B3483" s="5" t="str">
        <f t="shared" si="382"/>
        <v>Cali Dream</v>
      </c>
      <c r="C3483" s="3">
        <f t="shared" si="381"/>
        <v>45890</v>
      </c>
      <c r="D3483" s="4">
        <f t="shared" ca="1" si="383"/>
        <v>29</v>
      </c>
      <c r="E3483" s="2">
        <f t="shared" ca="1" si="384"/>
        <v>3227</v>
      </c>
      <c r="F3483" s="2">
        <f t="shared" ca="1" si="385"/>
        <v>34143</v>
      </c>
      <c r="G3483" s="2">
        <f t="shared" ca="1" si="386"/>
        <v>1042</v>
      </c>
    </row>
    <row r="3484" spans="1:7" x14ac:dyDescent="0.3">
      <c r="A3484" s="5" t="str">
        <f t="shared" si="380"/>
        <v>New Balance</v>
      </c>
      <c r="B3484" s="5" t="str">
        <f t="shared" si="382"/>
        <v>9060</v>
      </c>
      <c r="C3484" s="3">
        <f t="shared" si="381"/>
        <v>45890</v>
      </c>
      <c r="D3484" s="4">
        <f t="shared" ca="1" si="383"/>
        <v>63</v>
      </c>
      <c r="E3484" s="2">
        <f t="shared" ca="1" si="384"/>
        <v>5756</v>
      </c>
      <c r="F3484" s="2">
        <f t="shared" ca="1" si="385"/>
        <v>33791</v>
      </c>
      <c r="G3484" s="2">
        <f t="shared" ca="1" si="386"/>
        <v>1191</v>
      </c>
    </row>
    <row r="3485" spans="1:7" x14ac:dyDescent="0.3">
      <c r="A3485" s="5" t="str">
        <f t="shared" si="380"/>
        <v>Reebok</v>
      </c>
      <c r="B3485" s="5" t="str">
        <f t="shared" si="382"/>
        <v>Zig Kinetica</v>
      </c>
      <c r="C3485" s="3">
        <f t="shared" si="381"/>
        <v>45890</v>
      </c>
      <c r="D3485" s="4">
        <f t="shared" ca="1" si="383"/>
        <v>144</v>
      </c>
      <c r="E3485" s="2">
        <f t="shared" ca="1" si="384"/>
        <v>5562</v>
      </c>
      <c r="F3485" s="2">
        <f t="shared" ca="1" si="385"/>
        <v>7081</v>
      </c>
      <c r="G3485" s="2">
        <f t="shared" ca="1" si="386"/>
        <v>498</v>
      </c>
    </row>
    <row r="3486" spans="1:7" x14ac:dyDescent="0.3">
      <c r="A3486" s="5" t="str">
        <f t="shared" si="380"/>
        <v>Nike</v>
      </c>
      <c r="B3486" s="5" t="str">
        <f t="shared" si="382"/>
        <v>Jordan 1</v>
      </c>
      <c r="C3486" s="3">
        <f t="shared" si="381"/>
        <v>45890</v>
      </c>
      <c r="D3486" s="4">
        <f t="shared" ca="1" si="383"/>
        <v>113</v>
      </c>
      <c r="E3486" s="2">
        <f t="shared" ca="1" si="384"/>
        <v>4542</v>
      </c>
      <c r="F3486" s="2">
        <f t="shared" ca="1" si="385"/>
        <v>12055</v>
      </c>
      <c r="G3486" s="2">
        <f t="shared" ca="1" si="386"/>
        <v>943</v>
      </c>
    </row>
    <row r="3487" spans="1:7" x14ac:dyDescent="0.3">
      <c r="A3487" s="5" t="str">
        <f t="shared" si="380"/>
        <v>Adidas</v>
      </c>
      <c r="B3487" s="5" t="str">
        <f t="shared" si="382"/>
        <v>Ultraboost 23</v>
      </c>
      <c r="C3487" s="3">
        <f t="shared" si="381"/>
        <v>45890</v>
      </c>
      <c r="D3487" s="4">
        <f t="shared" ca="1" si="383"/>
        <v>120</v>
      </c>
      <c r="E3487" s="2">
        <f t="shared" ca="1" si="384"/>
        <v>5361</v>
      </c>
      <c r="F3487" s="2">
        <f t="shared" ca="1" si="385"/>
        <v>22961</v>
      </c>
      <c r="G3487" s="2">
        <f t="shared" ca="1" si="386"/>
        <v>996</v>
      </c>
    </row>
    <row r="3488" spans="1:7" x14ac:dyDescent="0.3">
      <c r="A3488" s="5" t="str">
        <f t="shared" si="380"/>
        <v>Puma</v>
      </c>
      <c r="B3488" s="5" t="str">
        <f t="shared" si="382"/>
        <v>RS-X</v>
      </c>
      <c r="C3488" s="3">
        <f t="shared" si="381"/>
        <v>45890</v>
      </c>
      <c r="D3488" s="4">
        <f t="shared" ca="1" si="383"/>
        <v>60</v>
      </c>
      <c r="E3488" s="2">
        <f t="shared" ca="1" si="384"/>
        <v>9356</v>
      </c>
      <c r="F3488" s="2">
        <f t="shared" ca="1" si="385"/>
        <v>29771</v>
      </c>
      <c r="G3488" s="2">
        <f t="shared" ca="1" si="386"/>
        <v>1589</v>
      </c>
    </row>
    <row r="3489" spans="1:7" x14ac:dyDescent="0.3">
      <c r="A3489" s="5" t="str">
        <f t="shared" si="380"/>
        <v>New Balance</v>
      </c>
      <c r="B3489" s="5" t="str">
        <f t="shared" si="382"/>
        <v>2002R</v>
      </c>
      <c r="C3489" s="3">
        <f t="shared" si="381"/>
        <v>45890</v>
      </c>
      <c r="D3489" s="4">
        <f t="shared" ca="1" si="383"/>
        <v>91</v>
      </c>
      <c r="E3489" s="2">
        <f t="shared" ca="1" si="384"/>
        <v>3925</v>
      </c>
      <c r="F3489" s="2">
        <f t="shared" ca="1" si="385"/>
        <v>29389</v>
      </c>
      <c r="G3489" s="2">
        <f t="shared" ca="1" si="386"/>
        <v>1524</v>
      </c>
    </row>
    <row r="3490" spans="1:7" x14ac:dyDescent="0.3">
      <c r="A3490" s="5" t="str">
        <f t="shared" si="380"/>
        <v>Reebok</v>
      </c>
      <c r="B3490" s="5" t="str">
        <f t="shared" si="382"/>
        <v>Instapump Fury</v>
      </c>
      <c r="C3490" s="3">
        <f t="shared" si="381"/>
        <v>45890</v>
      </c>
      <c r="D3490" s="4">
        <f t="shared" ca="1" si="383"/>
        <v>43</v>
      </c>
      <c r="E3490" s="2">
        <f t="shared" ca="1" si="384"/>
        <v>12022</v>
      </c>
      <c r="F3490" s="2">
        <f t="shared" ca="1" si="385"/>
        <v>19005</v>
      </c>
      <c r="G3490" s="2">
        <f t="shared" ca="1" si="386"/>
        <v>1361</v>
      </c>
    </row>
    <row r="3491" spans="1:7" x14ac:dyDescent="0.3">
      <c r="A3491" s="5" t="str">
        <f t="shared" si="380"/>
        <v>Nike</v>
      </c>
      <c r="B3491" s="5" t="str">
        <f t="shared" si="382"/>
        <v>Cortez</v>
      </c>
      <c r="C3491" s="3">
        <f t="shared" si="381"/>
        <v>45890</v>
      </c>
      <c r="D3491" s="4">
        <f t="shared" ca="1" si="383"/>
        <v>190</v>
      </c>
      <c r="E3491" s="2">
        <f t="shared" ca="1" si="384"/>
        <v>7586</v>
      </c>
      <c r="F3491" s="2">
        <f t="shared" ca="1" si="385"/>
        <v>20707</v>
      </c>
      <c r="G3491" s="2">
        <f t="shared" ca="1" si="386"/>
        <v>797</v>
      </c>
    </row>
    <row r="3492" spans="1:7" x14ac:dyDescent="0.3">
      <c r="A3492" s="5" t="str">
        <f t="shared" si="380"/>
        <v>Adidas</v>
      </c>
      <c r="B3492" s="5" t="str">
        <f t="shared" si="382"/>
        <v>NMD S1</v>
      </c>
      <c r="C3492" s="3">
        <f t="shared" si="381"/>
        <v>45890</v>
      </c>
      <c r="D3492" s="4">
        <f t="shared" ca="1" si="383"/>
        <v>197</v>
      </c>
      <c r="E3492" s="2">
        <f t="shared" ca="1" si="384"/>
        <v>4007</v>
      </c>
      <c r="F3492" s="2">
        <f t="shared" ca="1" si="385"/>
        <v>30420</v>
      </c>
      <c r="G3492" s="2">
        <f t="shared" ca="1" si="386"/>
        <v>1251</v>
      </c>
    </row>
    <row r="3493" spans="1:7" x14ac:dyDescent="0.3">
      <c r="A3493" s="5" t="str">
        <f t="shared" si="380"/>
        <v>Puma</v>
      </c>
      <c r="B3493" s="5" t="str">
        <f t="shared" si="382"/>
        <v>Suede Classic</v>
      </c>
      <c r="C3493" s="3">
        <f t="shared" si="381"/>
        <v>45890</v>
      </c>
      <c r="D3493" s="4">
        <f t="shared" ca="1" si="383"/>
        <v>204</v>
      </c>
      <c r="E3493" s="2">
        <f t="shared" ca="1" si="384"/>
        <v>8734</v>
      </c>
      <c r="F3493" s="2">
        <f t="shared" ca="1" si="385"/>
        <v>10051</v>
      </c>
      <c r="G3493" s="2">
        <f t="shared" ca="1" si="386"/>
        <v>366</v>
      </c>
    </row>
    <row r="3494" spans="1:7" x14ac:dyDescent="0.3">
      <c r="A3494" s="5" t="str">
        <f t="shared" si="380"/>
        <v>New Balance</v>
      </c>
      <c r="B3494" s="5" t="str">
        <f t="shared" si="382"/>
        <v>990v6</v>
      </c>
      <c r="C3494" s="3">
        <f t="shared" si="381"/>
        <v>45890</v>
      </c>
      <c r="D3494" s="4">
        <f t="shared" ca="1" si="383"/>
        <v>210</v>
      </c>
      <c r="E3494" s="2">
        <f t="shared" ca="1" si="384"/>
        <v>7542</v>
      </c>
      <c r="F3494" s="2">
        <f t="shared" ca="1" si="385"/>
        <v>13836</v>
      </c>
      <c r="G3494" s="2">
        <f t="shared" ca="1" si="386"/>
        <v>407</v>
      </c>
    </row>
    <row r="3495" spans="1:7" x14ac:dyDescent="0.3">
      <c r="A3495" s="5" t="str">
        <f t="shared" si="380"/>
        <v>Reebok</v>
      </c>
      <c r="B3495" s="5" t="str">
        <f t="shared" si="382"/>
        <v>Nano X3</v>
      </c>
      <c r="C3495" s="3">
        <f t="shared" si="381"/>
        <v>45890</v>
      </c>
      <c r="D3495" s="4">
        <f t="shared" ca="1" si="383"/>
        <v>224</v>
      </c>
      <c r="E3495" s="2">
        <f t="shared" ca="1" si="384"/>
        <v>5557</v>
      </c>
      <c r="F3495" s="2">
        <f t="shared" ca="1" si="385"/>
        <v>31532</v>
      </c>
      <c r="G3495" s="2">
        <f t="shared" ca="1" si="386"/>
        <v>2281</v>
      </c>
    </row>
    <row r="3496" spans="1:7" x14ac:dyDescent="0.3">
      <c r="A3496" s="5" t="str">
        <f t="shared" si="380"/>
        <v>Nike</v>
      </c>
      <c r="B3496" s="5" t="str">
        <f t="shared" si="382"/>
        <v>Vaporfly 3</v>
      </c>
      <c r="C3496" s="3">
        <f t="shared" si="381"/>
        <v>45890</v>
      </c>
      <c r="D3496" s="4">
        <f t="shared" ca="1" si="383"/>
        <v>231</v>
      </c>
      <c r="E3496" s="2">
        <f t="shared" ca="1" si="384"/>
        <v>7570</v>
      </c>
      <c r="F3496" s="2">
        <f t="shared" ca="1" si="385"/>
        <v>31792</v>
      </c>
      <c r="G3496" s="2">
        <f t="shared" ca="1" si="386"/>
        <v>1983</v>
      </c>
    </row>
    <row r="3497" spans="1:7" x14ac:dyDescent="0.3">
      <c r="A3497" s="5" t="str">
        <f t="shared" si="380"/>
        <v>Adidas</v>
      </c>
      <c r="B3497" s="5" t="str">
        <f t="shared" si="382"/>
        <v>Samba</v>
      </c>
      <c r="C3497" s="3">
        <f t="shared" si="381"/>
        <v>45891</v>
      </c>
      <c r="D3497" s="4">
        <f t="shared" ca="1" si="383"/>
        <v>187</v>
      </c>
      <c r="E3497" s="2">
        <f t="shared" ca="1" si="384"/>
        <v>3238</v>
      </c>
      <c r="F3497" s="2">
        <f t="shared" ca="1" si="385"/>
        <v>29879</v>
      </c>
      <c r="G3497" s="2">
        <f t="shared" ca="1" si="386"/>
        <v>1029</v>
      </c>
    </row>
    <row r="3498" spans="1:7" x14ac:dyDescent="0.3">
      <c r="A3498" s="5" t="str">
        <f t="shared" si="380"/>
        <v>Puma</v>
      </c>
      <c r="B3498" s="5" t="str">
        <f t="shared" si="382"/>
        <v>Mayze</v>
      </c>
      <c r="C3498" s="3">
        <f t="shared" si="381"/>
        <v>45891</v>
      </c>
      <c r="D3498" s="4">
        <f t="shared" ca="1" si="383"/>
        <v>186</v>
      </c>
      <c r="E3498" s="2">
        <f t="shared" ca="1" si="384"/>
        <v>7652</v>
      </c>
      <c r="F3498" s="2">
        <f t="shared" ca="1" si="385"/>
        <v>28199</v>
      </c>
      <c r="G3498" s="2">
        <f t="shared" ca="1" si="386"/>
        <v>1518</v>
      </c>
    </row>
    <row r="3499" spans="1:7" x14ac:dyDescent="0.3">
      <c r="A3499" s="5" t="str">
        <f t="shared" ref="A3499:A3562" si="387">CHOOSE(MOD(ROW(A3498),5)+1,"Nike","Adidas","Puma","New Balance","Reebok")</f>
        <v>New Balance</v>
      </c>
      <c r="B3499" s="5" t="str">
        <f t="shared" si="382"/>
        <v>574 Core</v>
      </c>
      <c r="C3499" s="3">
        <f t="shared" ref="C3499:C3562" si="388">DATE(2025,1,1)+INT((ROW(A3499)-2)/15)</f>
        <v>45891</v>
      </c>
      <c r="D3499" s="4">
        <f t="shared" ca="1" si="383"/>
        <v>31</v>
      </c>
      <c r="E3499" s="2">
        <f t="shared" ca="1" si="384"/>
        <v>2651</v>
      </c>
      <c r="F3499" s="2">
        <f t="shared" ca="1" si="385"/>
        <v>11730</v>
      </c>
      <c r="G3499" s="2">
        <f t="shared" ca="1" si="386"/>
        <v>266</v>
      </c>
    </row>
    <row r="3500" spans="1:7" x14ac:dyDescent="0.3">
      <c r="A3500" s="5" t="str">
        <f t="shared" si="387"/>
        <v>Reebok</v>
      </c>
      <c r="B3500" s="5" t="str">
        <f t="shared" si="382"/>
        <v>Club C 85</v>
      </c>
      <c r="C3500" s="3">
        <f t="shared" si="388"/>
        <v>45891</v>
      </c>
      <c r="D3500" s="4">
        <f t="shared" ca="1" si="383"/>
        <v>145</v>
      </c>
      <c r="E3500" s="2">
        <f t="shared" ca="1" si="384"/>
        <v>10921</v>
      </c>
      <c r="F3500" s="2">
        <f t="shared" ca="1" si="385"/>
        <v>25064</v>
      </c>
      <c r="G3500" s="2">
        <f t="shared" ca="1" si="386"/>
        <v>1823</v>
      </c>
    </row>
    <row r="3501" spans="1:7" x14ac:dyDescent="0.3">
      <c r="A3501" s="5" t="str">
        <f t="shared" si="387"/>
        <v>Nike</v>
      </c>
      <c r="B3501" s="5" t="str">
        <f t="shared" si="382"/>
        <v>Pegasus 40</v>
      </c>
      <c r="C3501" s="3">
        <f t="shared" si="388"/>
        <v>45891</v>
      </c>
      <c r="D3501" s="4">
        <f t="shared" ca="1" si="383"/>
        <v>224</v>
      </c>
      <c r="E3501" s="2">
        <f t="shared" ca="1" si="384"/>
        <v>4107</v>
      </c>
      <c r="F3501" s="2">
        <f t="shared" ca="1" si="385"/>
        <v>22512</v>
      </c>
      <c r="G3501" s="2">
        <f t="shared" ca="1" si="386"/>
        <v>1714</v>
      </c>
    </row>
    <row r="3502" spans="1:7" x14ac:dyDescent="0.3">
      <c r="A3502" s="5" t="str">
        <f t="shared" si="387"/>
        <v>Adidas</v>
      </c>
      <c r="B3502" s="5" t="str">
        <f t="shared" si="382"/>
        <v>Gazelle</v>
      </c>
      <c r="C3502" s="3">
        <f t="shared" si="388"/>
        <v>45891</v>
      </c>
      <c r="D3502" s="4">
        <f t="shared" ca="1" si="383"/>
        <v>174</v>
      </c>
      <c r="E3502" s="2">
        <f t="shared" ca="1" si="384"/>
        <v>1859</v>
      </c>
      <c r="F3502" s="2">
        <f t="shared" ca="1" si="385"/>
        <v>32923</v>
      </c>
      <c r="G3502" s="2">
        <f t="shared" ca="1" si="386"/>
        <v>718</v>
      </c>
    </row>
    <row r="3503" spans="1:7" x14ac:dyDescent="0.3">
      <c r="A3503" s="5" t="str">
        <f t="shared" si="387"/>
        <v>Puma</v>
      </c>
      <c r="B3503" s="5" t="str">
        <f t="shared" si="382"/>
        <v>Slipstream</v>
      </c>
      <c r="C3503" s="3">
        <f t="shared" si="388"/>
        <v>45891</v>
      </c>
      <c r="D3503" s="4">
        <f t="shared" ca="1" si="383"/>
        <v>199</v>
      </c>
      <c r="E3503" s="2">
        <f t="shared" ca="1" si="384"/>
        <v>4440</v>
      </c>
      <c r="F3503" s="2">
        <f t="shared" ca="1" si="385"/>
        <v>29988</v>
      </c>
      <c r="G3503" s="2">
        <f t="shared" ca="1" si="386"/>
        <v>2391</v>
      </c>
    </row>
    <row r="3504" spans="1:7" x14ac:dyDescent="0.3">
      <c r="A3504" s="5" t="str">
        <f t="shared" si="387"/>
        <v>New Balance</v>
      </c>
      <c r="B3504" s="5" t="str">
        <f t="shared" si="382"/>
        <v>550</v>
      </c>
      <c r="C3504" s="3">
        <f t="shared" si="388"/>
        <v>45891</v>
      </c>
      <c r="D3504" s="4">
        <f t="shared" ca="1" si="383"/>
        <v>45</v>
      </c>
      <c r="E3504" s="2">
        <f t="shared" ca="1" si="384"/>
        <v>5481</v>
      </c>
      <c r="F3504" s="2">
        <f t="shared" ca="1" si="385"/>
        <v>16212</v>
      </c>
      <c r="G3504" s="2">
        <f t="shared" ca="1" si="386"/>
        <v>851</v>
      </c>
    </row>
    <row r="3505" spans="1:7" x14ac:dyDescent="0.3">
      <c r="A3505" s="5" t="str">
        <f t="shared" si="387"/>
        <v>Reebok</v>
      </c>
      <c r="B3505" s="5" t="str">
        <f t="shared" si="382"/>
        <v>Classic Leather</v>
      </c>
      <c r="C3505" s="3">
        <f t="shared" si="388"/>
        <v>45891</v>
      </c>
      <c r="D3505" s="4">
        <f t="shared" ca="1" si="383"/>
        <v>225</v>
      </c>
      <c r="E3505" s="2">
        <f t="shared" ca="1" si="384"/>
        <v>3574</v>
      </c>
      <c r="F3505" s="2">
        <f t="shared" ca="1" si="385"/>
        <v>19866</v>
      </c>
      <c r="G3505" s="2">
        <f t="shared" ca="1" si="386"/>
        <v>1202</v>
      </c>
    </row>
    <row r="3506" spans="1:7" x14ac:dyDescent="0.3">
      <c r="A3506" s="5" t="str">
        <f t="shared" si="387"/>
        <v>Nike</v>
      </c>
      <c r="B3506" s="5" t="str">
        <f t="shared" si="382"/>
        <v>Air Force 1</v>
      </c>
      <c r="C3506" s="3">
        <f t="shared" si="388"/>
        <v>45891</v>
      </c>
      <c r="D3506" s="4">
        <f t="shared" ca="1" si="383"/>
        <v>182</v>
      </c>
      <c r="E3506" s="2">
        <f t="shared" ca="1" si="384"/>
        <v>11777</v>
      </c>
      <c r="F3506" s="2">
        <f t="shared" ca="1" si="385"/>
        <v>30775</v>
      </c>
      <c r="G3506" s="2">
        <f t="shared" ca="1" si="386"/>
        <v>771</v>
      </c>
    </row>
    <row r="3507" spans="1:7" x14ac:dyDescent="0.3">
      <c r="A3507" s="5" t="str">
        <f t="shared" si="387"/>
        <v>Adidas</v>
      </c>
      <c r="B3507" s="5" t="str">
        <f t="shared" si="382"/>
        <v>Superstar</v>
      </c>
      <c r="C3507" s="3">
        <f t="shared" si="388"/>
        <v>45891</v>
      </c>
      <c r="D3507" s="4">
        <f t="shared" ca="1" si="383"/>
        <v>42</v>
      </c>
      <c r="E3507" s="2">
        <f t="shared" ca="1" si="384"/>
        <v>8656</v>
      </c>
      <c r="F3507" s="2">
        <f t="shared" ca="1" si="385"/>
        <v>7550</v>
      </c>
      <c r="G3507" s="2">
        <f t="shared" ca="1" si="386"/>
        <v>375</v>
      </c>
    </row>
    <row r="3508" spans="1:7" x14ac:dyDescent="0.3">
      <c r="A3508" s="5" t="str">
        <f t="shared" si="387"/>
        <v>Puma</v>
      </c>
      <c r="B3508" s="5" t="str">
        <f t="shared" si="382"/>
        <v>Rider Vintage</v>
      </c>
      <c r="C3508" s="3">
        <f t="shared" si="388"/>
        <v>45891</v>
      </c>
      <c r="D3508" s="4">
        <f t="shared" ca="1" si="383"/>
        <v>84</v>
      </c>
      <c r="E3508" s="2">
        <f t="shared" ca="1" si="384"/>
        <v>9812</v>
      </c>
      <c r="F3508" s="2">
        <f t="shared" ca="1" si="385"/>
        <v>21352</v>
      </c>
      <c r="G3508" s="2">
        <f t="shared" ca="1" si="386"/>
        <v>503</v>
      </c>
    </row>
    <row r="3509" spans="1:7" x14ac:dyDescent="0.3">
      <c r="A3509" s="5" t="str">
        <f t="shared" si="387"/>
        <v>New Balance</v>
      </c>
      <c r="B3509" s="5" t="str">
        <f t="shared" si="382"/>
        <v>327</v>
      </c>
      <c r="C3509" s="3">
        <f t="shared" si="388"/>
        <v>45891</v>
      </c>
      <c r="D3509" s="4">
        <f t="shared" ca="1" si="383"/>
        <v>239</v>
      </c>
      <c r="E3509" s="2">
        <f t="shared" ca="1" si="384"/>
        <v>4433</v>
      </c>
      <c r="F3509" s="2">
        <f t="shared" ca="1" si="385"/>
        <v>23430</v>
      </c>
      <c r="G3509" s="2">
        <f t="shared" ca="1" si="386"/>
        <v>1445</v>
      </c>
    </row>
    <row r="3510" spans="1:7" x14ac:dyDescent="0.3">
      <c r="A3510" s="5" t="str">
        <f t="shared" si="387"/>
        <v>Reebok</v>
      </c>
      <c r="B3510" s="5" t="str">
        <f t="shared" si="382"/>
        <v>Question Mid</v>
      </c>
      <c r="C3510" s="3">
        <f t="shared" si="388"/>
        <v>45891</v>
      </c>
      <c r="D3510" s="4">
        <f t="shared" ca="1" si="383"/>
        <v>139</v>
      </c>
      <c r="E3510" s="2">
        <f t="shared" ca="1" si="384"/>
        <v>2448</v>
      </c>
      <c r="F3510" s="2">
        <f t="shared" ca="1" si="385"/>
        <v>32825</v>
      </c>
      <c r="G3510" s="2">
        <f t="shared" ca="1" si="386"/>
        <v>2201</v>
      </c>
    </row>
    <row r="3511" spans="1:7" x14ac:dyDescent="0.3">
      <c r="A3511" s="5" t="str">
        <f t="shared" si="387"/>
        <v>Nike</v>
      </c>
      <c r="B3511" s="5" t="str">
        <f t="shared" si="382"/>
        <v>Air Max 270</v>
      </c>
      <c r="C3511" s="3">
        <f t="shared" si="388"/>
        <v>45891</v>
      </c>
      <c r="D3511" s="4">
        <f t="shared" ca="1" si="383"/>
        <v>172</v>
      </c>
      <c r="E3511" s="2">
        <f t="shared" ca="1" si="384"/>
        <v>8290</v>
      </c>
      <c r="F3511" s="2">
        <f t="shared" ca="1" si="385"/>
        <v>17312</v>
      </c>
      <c r="G3511" s="2">
        <f t="shared" ca="1" si="386"/>
        <v>1032</v>
      </c>
    </row>
    <row r="3512" spans="1:7" x14ac:dyDescent="0.3">
      <c r="A3512" s="5" t="str">
        <f t="shared" si="387"/>
        <v>Adidas</v>
      </c>
      <c r="B3512" s="5" t="str">
        <f t="shared" si="382"/>
        <v>Stan Smith</v>
      </c>
      <c r="C3512" s="3">
        <f t="shared" si="388"/>
        <v>45892</v>
      </c>
      <c r="D3512" s="4">
        <f t="shared" ca="1" si="383"/>
        <v>128</v>
      </c>
      <c r="E3512" s="2">
        <f t="shared" ca="1" si="384"/>
        <v>10798</v>
      </c>
      <c r="F3512" s="2">
        <f t="shared" ca="1" si="385"/>
        <v>16498</v>
      </c>
      <c r="G3512" s="2">
        <f t="shared" ca="1" si="386"/>
        <v>619</v>
      </c>
    </row>
    <row r="3513" spans="1:7" x14ac:dyDescent="0.3">
      <c r="A3513" s="5" t="str">
        <f t="shared" si="387"/>
        <v>Puma</v>
      </c>
      <c r="B3513" s="5" t="str">
        <f t="shared" si="382"/>
        <v>Cali Dream</v>
      </c>
      <c r="C3513" s="3">
        <f t="shared" si="388"/>
        <v>45892</v>
      </c>
      <c r="D3513" s="4">
        <f t="shared" ca="1" si="383"/>
        <v>167</v>
      </c>
      <c r="E3513" s="2">
        <f t="shared" ca="1" si="384"/>
        <v>7532</v>
      </c>
      <c r="F3513" s="2">
        <f t="shared" ca="1" si="385"/>
        <v>18961</v>
      </c>
      <c r="G3513" s="2">
        <f t="shared" ca="1" si="386"/>
        <v>553</v>
      </c>
    </row>
    <row r="3514" spans="1:7" x14ac:dyDescent="0.3">
      <c r="A3514" s="5" t="str">
        <f t="shared" si="387"/>
        <v>New Balance</v>
      </c>
      <c r="B3514" s="5" t="str">
        <f t="shared" si="382"/>
        <v>9060</v>
      </c>
      <c r="C3514" s="3">
        <f t="shared" si="388"/>
        <v>45892</v>
      </c>
      <c r="D3514" s="4">
        <f t="shared" ca="1" si="383"/>
        <v>68</v>
      </c>
      <c r="E3514" s="2">
        <f t="shared" ca="1" si="384"/>
        <v>5555</v>
      </c>
      <c r="F3514" s="2">
        <f t="shared" ca="1" si="385"/>
        <v>8775</v>
      </c>
      <c r="G3514" s="2">
        <f t="shared" ca="1" si="386"/>
        <v>241</v>
      </c>
    </row>
    <row r="3515" spans="1:7" x14ac:dyDescent="0.3">
      <c r="A3515" s="5" t="str">
        <f t="shared" si="387"/>
        <v>Reebok</v>
      </c>
      <c r="B3515" s="5" t="str">
        <f t="shared" si="382"/>
        <v>Zig Kinetica</v>
      </c>
      <c r="C3515" s="3">
        <f t="shared" si="388"/>
        <v>45892</v>
      </c>
      <c r="D3515" s="4">
        <f t="shared" ca="1" si="383"/>
        <v>247</v>
      </c>
      <c r="E3515" s="2">
        <f t="shared" ca="1" si="384"/>
        <v>11338</v>
      </c>
      <c r="F3515" s="2">
        <f t="shared" ca="1" si="385"/>
        <v>17232</v>
      </c>
      <c r="G3515" s="2">
        <f t="shared" ca="1" si="386"/>
        <v>837</v>
      </c>
    </row>
    <row r="3516" spans="1:7" x14ac:dyDescent="0.3">
      <c r="A3516" s="5" t="str">
        <f t="shared" si="387"/>
        <v>Nike</v>
      </c>
      <c r="B3516" s="5" t="str">
        <f t="shared" si="382"/>
        <v>Jordan 1</v>
      </c>
      <c r="C3516" s="3">
        <f t="shared" si="388"/>
        <v>45892</v>
      </c>
      <c r="D3516" s="4">
        <f t="shared" ca="1" si="383"/>
        <v>81</v>
      </c>
      <c r="E3516" s="2">
        <f t="shared" ca="1" si="384"/>
        <v>5385</v>
      </c>
      <c r="F3516" s="2">
        <f t="shared" ca="1" si="385"/>
        <v>32570</v>
      </c>
      <c r="G3516" s="2">
        <f t="shared" ca="1" si="386"/>
        <v>2539</v>
      </c>
    </row>
    <row r="3517" spans="1:7" x14ac:dyDescent="0.3">
      <c r="A3517" s="5" t="str">
        <f t="shared" si="387"/>
        <v>Adidas</v>
      </c>
      <c r="B3517" s="5" t="str">
        <f t="shared" si="382"/>
        <v>Ultraboost 23</v>
      </c>
      <c r="C3517" s="3">
        <f t="shared" si="388"/>
        <v>45892</v>
      </c>
      <c r="D3517" s="4">
        <f t="shared" ca="1" si="383"/>
        <v>213</v>
      </c>
      <c r="E3517" s="2">
        <f t="shared" ca="1" si="384"/>
        <v>1800</v>
      </c>
      <c r="F3517" s="2">
        <f t="shared" ca="1" si="385"/>
        <v>8371</v>
      </c>
      <c r="G3517" s="2">
        <f t="shared" ca="1" si="386"/>
        <v>548</v>
      </c>
    </row>
    <row r="3518" spans="1:7" x14ac:dyDescent="0.3">
      <c r="A3518" s="5" t="str">
        <f t="shared" si="387"/>
        <v>Puma</v>
      </c>
      <c r="B3518" s="5" t="str">
        <f t="shared" si="382"/>
        <v>RS-X</v>
      </c>
      <c r="C3518" s="3">
        <f t="shared" si="388"/>
        <v>45892</v>
      </c>
      <c r="D3518" s="4">
        <f t="shared" ca="1" si="383"/>
        <v>82</v>
      </c>
      <c r="E3518" s="2">
        <f t="shared" ca="1" si="384"/>
        <v>1963</v>
      </c>
      <c r="F3518" s="2">
        <f t="shared" ca="1" si="385"/>
        <v>32586</v>
      </c>
      <c r="G3518" s="2">
        <f t="shared" ca="1" si="386"/>
        <v>2096</v>
      </c>
    </row>
    <row r="3519" spans="1:7" x14ac:dyDescent="0.3">
      <c r="A3519" s="5" t="str">
        <f t="shared" si="387"/>
        <v>New Balance</v>
      </c>
      <c r="B3519" s="5" t="str">
        <f t="shared" si="382"/>
        <v>2002R</v>
      </c>
      <c r="C3519" s="3">
        <f t="shared" si="388"/>
        <v>45892</v>
      </c>
      <c r="D3519" s="4">
        <f t="shared" ca="1" si="383"/>
        <v>37</v>
      </c>
      <c r="E3519" s="2">
        <f t="shared" ca="1" si="384"/>
        <v>7048</v>
      </c>
      <c r="F3519" s="2">
        <f t="shared" ca="1" si="385"/>
        <v>11431</v>
      </c>
      <c r="G3519" s="2">
        <f t="shared" ca="1" si="386"/>
        <v>793</v>
      </c>
    </row>
    <row r="3520" spans="1:7" x14ac:dyDescent="0.3">
      <c r="A3520" s="5" t="str">
        <f t="shared" si="387"/>
        <v>Reebok</v>
      </c>
      <c r="B3520" s="5" t="str">
        <f t="shared" si="382"/>
        <v>Instapump Fury</v>
      </c>
      <c r="C3520" s="3">
        <f t="shared" si="388"/>
        <v>45892</v>
      </c>
      <c r="D3520" s="4">
        <f t="shared" ca="1" si="383"/>
        <v>93</v>
      </c>
      <c r="E3520" s="2">
        <f t="shared" ca="1" si="384"/>
        <v>2287</v>
      </c>
      <c r="F3520" s="2">
        <f t="shared" ca="1" si="385"/>
        <v>18391</v>
      </c>
      <c r="G3520" s="2">
        <f t="shared" ca="1" si="386"/>
        <v>1129</v>
      </c>
    </row>
    <row r="3521" spans="1:7" x14ac:dyDescent="0.3">
      <c r="A3521" s="5" t="str">
        <f t="shared" si="387"/>
        <v>Nike</v>
      </c>
      <c r="B3521" s="5" t="str">
        <f t="shared" si="382"/>
        <v>Cortez</v>
      </c>
      <c r="C3521" s="3">
        <f t="shared" si="388"/>
        <v>45892</v>
      </c>
      <c r="D3521" s="4">
        <f t="shared" ca="1" si="383"/>
        <v>192</v>
      </c>
      <c r="E3521" s="2">
        <f t="shared" ca="1" si="384"/>
        <v>11124</v>
      </c>
      <c r="F3521" s="2">
        <f t="shared" ca="1" si="385"/>
        <v>12387</v>
      </c>
      <c r="G3521" s="2">
        <f t="shared" ca="1" si="386"/>
        <v>821</v>
      </c>
    </row>
    <row r="3522" spans="1:7" x14ac:dyDescent="0.3">
      <c r="A3522" s="5" t="str">
        <f t="shared" si="387"/>
        <v>Adidas</v>
      </c>
      <c r="B3522" s="5" t="str">
        <f t="shared" si="382"/>
        <v>NMD S1</v>
      </c>
      <c r="C3522" s="3">
        <f t="shared" si="388"/>
        <v>45892</v>
      </c>
      <c r="D3522" s="4">
        <f t="shared" ca="1" si="383"/>
        <v>120</v>
      </c>
      <c r="E3522" s="2">
        <f t="shared" ca="1" si="384"/>
        <v>3635</v>
      </c>
      <c r="F3522" s="2">
        <f t="shared" ca="1" si="385"/>
        <v>32057</v>
      </c>
      <c r="G3522" s="2">
        <f t="shared" ca="1" si="386"/>
        <v>814</v>
      </c>
    </row>
    <row r="3523" spans="1:7" x14ac:dyDescent="0.3">
      <c r="A3523" s="5" t="str">
        <f t="shared" si="387"/>
        <v>Puma</v>
      </c>
      <c r="B3523" s="5" t="str">
        <f t="shared" ref="B3523:B3586" si="389">IF(A3523="Nike",CHOOSE(MOD(ROW(A3522),6)+1,"Air Max 270","Air Force 1","Pegasus 40","Vaporfly 3","Cortez","Jordan 1"),
 IF(A3523="Adidas",CHOOSE(MOD(ROW(A3522),6)+1,"Ultraboost 23","Stan Smith","Superstar","Gazelle","Samba","NMD S1"),
 IF(A3523="Puma",CHOOSE(MOD(ROW(A3522),6)+1,"Suede Classic","RS-X","Cali Dream","Rider Vintage","Slipstream","Mayze"),
 IF(A3523="New Balance",CHOOSE(MOD(ROW(A3522),6)+1,"574 Core","990v6","2002R","9060","327","550"),
 IF(A3523="Reebok",CHOOSE(MOD(ROW(A3522),6)+1,"Classic Leather","Club C 85","Nano X3","Instapump Fury","Zig Kinetica","Question Mid"),"")))))</f>
        <v>Suede Classic</v>
      </c>
      <c r="C3523" s="3">
        <f t="shared" si="388"/>
        <v>45892</v>
      </c>
      <c r="D3523" s="4">
        <f t="shared" ref="D3523:D3586" ca="1" si="390">RANDBETWEEN(20,250)</f>
        <v>60</v>
      </c>
      <c r="E3523" s="2">
        <f t="shared" ref="E3523:E3586" ca="1" si="391">ROUND(RANDBETWEEN(1500,12000)+(RANDBETWEEN(-200,200)),2)</f>
        <v>3793</v>
      </c>
      <c r="F3523" s="2">
        <f t="shared" ref="F3523:F3586" ca="1" si="392">RANDBETWEEN(5000,35000)</f>
        <v>18772</v>
      </c>
      <c r="G3523" s="2">
        <f t="shared" ref="G3523:G3586" ca="1" si="393">RANDBETWEEN(ROUND(F3523*0.02,0),ROUND(F3523*0.08,0))</f>
        <v>407</v>
      </c>
    </row>
    <row r="3524" spans="1:7" x14ac:dyDescent="0.3">
      <c r="A3524" s="5" t="str">
        <f t="shared" si="387"/>
        <v>New Balance</v>
      </c>
      <c r="B3524" s="5" t="str">
        <f t="shared" si="389"/>
        <v>990v6</v>
      </c>
      <c r="C3524" s="3">
        <f t="shared" si="388"/>
        <v>45892</v>
      </c>
      <c r="D3524" s="4">
        <f t="shared" ca="1" si="390"/>
        <v>143</v>
      </c>
      <c r="E3524" s="2">
        <f t="shared" ca="1" si="391"/>
        <v>9296</v>
      </c>
      <c r="F3524" s="2">
        <f t="shared" ca="1" si="392"/>
        <v>17744</v>
      </c>
      <c r="G3524" s="2">
        <f t="shared" ca="1" si="393"/>
        <v>583</v>
      </c>
    </row>
    <row r="3525" spans="1:7" x14ac:dyDescent="0.3">
      <c r="A3525" s="5" t="str">
        <f t="shared" si="387"/>
        <v>Reebok</v>
      </c>
      <c r="B3525" s="5" t="str">
        <f t="shared" si="389"/>
        <v>Nano X3</v>
      </c>
      <c r="C3525" s="3">
        <f t="shared" si="388"/>
        <v>45892</v>
      </c>
      <c r="D3525" s="4">
        <f t="shared" ca="1" si="390"/>
        <v>56</v>
      </c>
      <c r="E3525" s="2">
        <f t="shared" ca="1" si="391"/>
        <v>3248</v>
      </c>
      <c r="F3525" s="2">
        <f t="shared" ca="1" si="392"/>
        <v>24144</v>
      </c>
      <c r="G3525" s="2">
        <f t="shared" ca="1" si="393"/>
        <v>1433</v>
      </c>
    </row>
    <row r="3526" spans="1:7" x14ac:dyDescent="0.3">
      <c r="A3526" s="5" t="str">
        <f t="shared" si="387"/>
        <v>Nike</v>
      </c>
      <c r="B3526" s="5" t="str">
        <f t="shared" si="389"/>
        <v>Vaporfly 3</v>
      </c>
      <c r="C3526" s="3">
        <f t="shared" si="388"/>
        <v>45892</v>
      </c>
      <c r="D3526" s="4">
        <f t="shared" ca="1" si="390"/>
        <v>43</v>
      </c>
      <c r="E3526" s="2">
        <f t="shared" ca="1" si="391"/>
        <v>4800</v>
      </c>
      <c r="F3526" s="2">
        <f t="shared" ca="1" si="392"/>
        <v>7823</v>
      </c>
      <c r="G3526" s="2">
        <f t="shared" ca="1" si="393"/>
        <v>283</v>
      </c>
    </row>
    <row r="3527" spans="1:7" x14ac:dyDescent="0.3">
      <c r="A3527" s="5" t="str">
        <f t="shared" si="387"/>
        <v>Adidas</v>
      </c>
      <c r="B3527" s="5" t="str">
        <f t="shared" si="389"/>
        <v>Samba</v>
      </c>
      <c r="C3527" s="3">
        <f t="shared" si="388"/>
        <v>45893</v>
      </c>
      <c r="D3527" s="4">
        <f t="shared" ca="1" si="390"/>
        <v>227</v>
      </c>
      <c r="E3527" s="2">
        <f t="shared" ca="1" si="391"/>
        <v>3379</v>
      </c>
      <c r="F3527" s="2">
        <f t="shared" ca="1" si="392"/>
        <v>12686</v>
      </c>
      <c r="G3527" s="2">
        <f t="shared" ca="1" si="393"/>
        <v>784</v>
      </c>
    </row>
    <row r="3528" spans="1:7" x14ac:dyDescent="0.3">
      <c r="A3528" s="5" t="str">
        <f t="shared" si="387"/>
        <v>Puma</v>
      </c>
      <c r="B3528" s="5" t="str">
        <f t="shared" si="389"/>
        <v>Mayze</v>
      </c>
      <c r="C3528" s="3">
        <f t="shared" si="388"/>
        <v>45893</v>
      </c>
      <c r="D3528" s="4">
        <f t="shared" ca="1" si="390"/>
        <v>232</v>
      </c>
      <c r="E3528" s="2">
        <f t="shared" ca="1" si="391"/>
        <v>2808</v>
      </c>
      <c r="F3528" s="2">
        <f t="shared" ca="1" si="392"/>
        <v>28455</v>
      </c>
      <c r="G3528" s="2">
        <f t="shared" ca="1" si="393"/>
        <v>572</v>
      </c>
    </row>
    <row r="3529" spans="1:7" x14ac:dyDescent="0.3">
      <c r="A3529" s="5" t="str">
        <f t="shared" si="387"/>
        <v>New Balance</v>
      </c>
      <c r="B3529" s="5" t="str">
        <f t="shared" si="389"/>
        <v>574 Core</v>
      </c>
      <c r="C3529" s="3">
        <f t="shared" si="388"/>
        <v>45893</v>
      </c>
      <c r="D3529" s="4">
        <f t="shared" ca="1" si="390"/>
        <v>70</v>
      </c>
      <c r="E3529" s="2">
        <f t="shared" ca="1" si="391"/>
        <v>5327</v>
      </c>
      <c r="F3529" s="2">
        <f t="shared" ca="1" si="392"/>
        <v>25568</v>
      </c>
      <c r="G3529" s="2">
        <f t="shared" ca="1" si="393"/>
        <v>640</v>
      </c>
    </row>
    <row r="3530" spans="1:7" x14ac:dyDescent="0.3">
      <c r="A3530" s="5" t="str">
        <f t="shared" si="387"/>
        <v>Reebok</v>
      </c>
      <c r="B3530" s="5" t="str">
        <f t="shared" si="389"/>
        <v>Club C 85</v>
      </c>
      <c r="C3530" s="3">
        <f t="shared" si="388"/>
        <v>45893</v>
      </c>
      <c r="D3530" s="4">
        <f t="shared" ca="1" si="390"/>
        <v>83</v>
      </c>
      <c r="E3530" s="2">
        <f t="shared" ca="1" si="391"/>
        <v>5919</v>
      </c>
      <c r="F3530" s="2">
        <f t="shared" ca="1" si="392"/>
        <v>9961</v>
      </c>
      <c r="G3530" s="2">
        <f t="shared" ca="1" si="393"/>
        <v>369</v>
      </c>
    </row>
    <row r="3531" spans="1:7" x14ac:dyDescent="0.3">
      <c r="A3531" s="5" t="str">
        <f t="shared" si="387"/>
        <v>Nike</v>
      </c>
      <c r="B3531" s="5" t="str">
        <f t="shared" si="389"/>
        <v>Pegasus 40</v>
      </c>
      <c r="C3531" s="3">
        <f t="shared" si="388"/>
        <v>45893</v>
      </c>
      <c r="D3531" s="4">
        <f t="shared" ca="1" si="390"/>
        <v>65</v>
      </c>
      <c r="E3531" s="2">
        <f t="shared" ca="1" si="391"/>
        <v>10286</v>
      </c>
      <c r="F3531" s="2">
        <f t="shared" ca="1" si="392"/>
        <v>17900</v>
      </c>
      <c r="G3531" s="2">
        <f t="shared" ca="1" si="393"/>
        <v>1105</v>
      </c>
    </row>
    <row r="3532" spans="1:7" x14ac:dyDescent="0.3">
      <c r="A3532" s="5" t="str">
        <f t="shared" si="387"/>
        <v>Adidas</v>
      </c>
      <c r="B3532" s="5" t="str">
        <f t="shared" si="389"/>
        <v>Gazelle</v>
      </c>
      <c r="C3532" s="3">
        <f t="shared" si="388"/>
        <v>45893</v>
      </c>
      <c r="D3532" s="4">
        <f t="shared" ca="1" si="390"/>
        <v>125</v>
      </c>
      <c r="E3532" s="2">
        <f t="shared" ca="1" si="391"/>
        <v>8622</v>
      </c>
      <c r="F3532" s="2">
        <f t="shared" ca="1" si="392"/>
        <v>12049</v>
      </c>
      <c r="G3532" s="2">
        <f t="shared" ca="1" si="393"/>
        <v>653</v>
      </c>
    </row>
    <row r="3533" spans="1:7" x14ac:dyDescent="0.3">
      <c r="A3533" s="5" t="str">
        <f t="shared" si="387"/>
        <v>Puma</v>
      </c>
      <c r="B3533" s="5" t="str">
        <f t="shared" si="389"/>
        <v>Slipstream</v>
      </c>
      <c r="C3533" s="3">
        <f t="shared" si="388"/>
        <v>45893</v>
      </c>
      <c r="D3533" s="4">
        <f t="shared" ca="1" si="390"/>
        <v>156</v>
      </c>
      <c r="E3533" s="2">
        <f t="shared" ca="1" si="391"/>
        <v>1888</v>
      </c>
      <c r="F3533" s="2">
        <f t="shared" ca="1" si="392"/>
        <v>24758</v>
      </c>
      <c r="G3533" s="2">
        <f t="shared" ca="1" si="393"/>
        <v>815</v>
      </c>
    </row>
    <row r="3534" spans="1:7" x14ac:dyDescent="0.3">
      <c r="A3534" s="5" t="str">
        <f t="shared" si="387"/>
        <v>New Balance</v>
      </c>
      <c r="B3534" s="5" t="str">
        <f t="shared" si="389"/>
        <v>550</v>
      </c>
      <c r="C3534" s="3">
        <f t="shared" si="388"/>
        <v>45893</v>
      </c>
      <c r="D3534" s="4">
        <f t="shared" ca="1" si="390"/>
        <v>124</v>
      </c>
      <c r="E3534" s="2">
        <f t="shared" ca="1" si="391"/>
        <v>8479</v>
      </c>
      <c r="F3534" s="2">
        <f t="shared" ca="1" si="392"/>
        <v>8153</v>
      </c>
      <c r="G3534" s="2">
        <f t="shared" ca="1" si="393"/>
        <v>598</v>
      </c>
    </row>
    <row r="3535" spans="1:7" x14ac:dyDescent="0.3">
      <c r="A3535" s="5" t="str">
        <f t="shared" si="387"/>
        <v>Reebok</v>
      </c>
      <c r="B3535" s="5" t="str">
        <f t="shared" si="389"/>
        <v>Classic Leather</v>
      </c>
      <c r="C3535" s="3">
        <f t="shared" si="388"/>
        <v>45893</v>
      </c>
      <c r="D3535" s="4">
        <f t="shared" ca="1" si="390"/>
        <v>35</v>
      </c>
      <c r="E3535" s="2">
        <f t="shared" ca="1" si="391"/>
        <v>10239</v>
      </c>
      <c r="F3535" s="2">
        <f t="shared" ca="1" si="392"/>
        <v>33153</v>
      </c>
      <c r="G3535" s="2">
        <f t="shared" ca="1" si="393"/>
        <v>2204</v>
      </c>
    </row>
    <row r="3536" spans="1:7" x14ac:dyDescent="0.3">
      <c r="A3536" s="5" t="str">
        <f t="shared" si="387"/>
        <v>Nike</v>
      </c>
      <c r="B3536" s="5" t="str">
        <f t="shared" si="389"/>
        <v>Air Force 1</v>
      </c>
      <c r="C3536" s="3">
        <f t="shared" si="388"/>
        <v>45893</v>
      </c>
      <c r="D3536" s="4">
        <f t="shared" ca="1" si="390"/>
        <v>109</v>
      </c>
      <c r="E3536" s="2">
        <f t="shared" ca="1" si="391"/>
        <v>10677</v>
      </c>
      <c r="F3536" s="2">
        <f t="shared" ca="1" si="392"/>
        <v>9610</v>
      </c>
      <c r="G3536" s="2">
        <f t="shared" ca="1" si="393"/>
        <v>743</v>
      </c>
    </row>
    <row r="3537" spans="1:7" x14ac:dyDescent="0.3">
      <c r="A3537" s="5" t="str">
        <f t="shared" si="387"/>
        <v>Adidas</v>
      </c>
      <c r="B3537" s="5" t="str">
        <f t="shared" si="389"/>
        <v>Superstar</v>
      </c>
      <c r="C3537" s="3">
        <f t="shared" si="388"/>
        <v>45893</v>
      </c>
      <c r="D3537" s="4">
        <f t="shared" ca="1" si="390"/>
        <v>70</v>
      </c>
      <c r="E3537" s="2">
        <f t="shared" ca="1" si="391"/>
        <v>6071</v>
      </c>
      <c r="F3537" s="2">
        <f t="shared" ca="1" si="392"/>
        <v>6041</v>
      </c>
      <c r="G3537" s="2">
        <f t="shared" ca="1" si="393"/>
        <v>201</v>
      </c>
    </row>
    <row r="3538" spans="1:7" x14ac:dyDescent="0.3">
      <c r="A3538" s="5" t="str">
        <f t="shared" si="387"/>
        <v>Puma</v>
      </c>
      <c r="B3538" s="5" t="str">
        <f t="shared" si="389"/>
        <v>Rider Vintage</v>
      </c>
      <c r="C3538" s="3">
        <f t="shared" si="388"/>
        <v>45893</v>
      </c>
      <c r="D3538" s="4">
        <f t="shared" ca="1" si="390"/>
        <v>172</v>
      </c>
      <c r="E3538" s="2">
        <f t="shared" ca="1" si="391"/>
        <v>7784</v>
      </c>
      <c r="F3538" s="2">
        <f t="shared" ca="1" si="392"/>
        <v>23932</v>
      </c>
      <c r="G3538" s="2">
        <f t="shared" ca="1" si="393"/>
        <v>909</v>
      </c>
    </row>
    <row r="3539" spans="1:7" x14ac:dyDescent="0.3">
      <c r="A3539" s="5" t="str">
        <f t="shared" si="387"/>
        <v>New Balance</v>
      </c>
      <c r="B3539" s="5" t="str">
        <f t="shared" si="389"/>
        <v>327</v>
      </c>
      <c r="C3539" s="3">
        <f t="shared" si="388"/>
        <v>45893</v>
      </c>
      <c r="D3539" s="4">
        <f t="shared" ca="1" si="390"/>
        <v>172</v>
      </c>
      <c r="E3539" s="2">
        <f t="shared" ca="1" si="391"/>
        <v>8239</v>
      </c>
      <c r="F3539" s="2">
        <f t="shared" ca="1" si="392"/>
        <v>8669</v>
      </c>
      <c r="G3539" s="2">
        <f t="shared" ca="1" si="393"/>
        <v>451</v>
      </c>
    </row>
    <row r="3540" spans="1:7" x14ac:dyDescent="0.3">
      <c r="A3540" s="5" t="str">
        <f t="shared" si="387"/>
        <v>Reebok</v>
      </c>
      <c r="B3540" s="5" t="str">
        <f t="shared" si="389"/>
        <v>Question Mid</v>
      </c>
      <c r="C3540" s="3">
        <f t="shared" si="388"/>
        <v>45893</v>
      </c>
      <c r="D3540" s="4">
        <f t="shared" ca="1" si="390"/>
        <v>178</v>
      </c>
      <c r="E3540" s="2">
        <f t="shared" ca="1" si="391"/>
        <v>5746</v>
      </c>
      <c r="F3540" s="2">
        <f t="shared" ca="1" si="392"/>
        <v>18910</v>
      </c>
      <c r="G3540" s="2">
        <f t="shared" ca="1" si="393"/>
        <v>1150</v>
      </c>
    </row>
    <row r="3541" spans="1:7" x14ac:dyDescent="0.3">
      <c r="A3541" s="5" t="str">
        <f t="shared" si="387"/>
        <v>Nike</v>
      </c>
      <c r="B3541" s="5" t="str">
        <f t="shared" si="389"/>
        <v>Air Max 270</v>
      </c>
      <c r="C3541" s="3">
        <f t="shared" si="388"/>
        <v>45893</v>
      </c>
      <c r="D3541" s="4">
        <f t="shared" ca="1" si="390"/>
        <v>90</v>
      </c>
      <c r="E3541" s="2">
        <f t="shared" ca="1" si="391"/>
        <v>3908</v>
      </c>
      <c r="F3541" s="2">
        <f t="shared" ca="1" si="392"/>
        <v>31425</v>
      </c>
      <c r="G3541" s="2">
        <f t="shared" ca="1" si="393"/>
        <v>720</v>
      </c>
    </row>
    <row r="3542" spans="1:7" x14ac:dyDescent="0.3">
      <c r="A3542" s="5" t="str">
        <f t="shared" si="387"/>
        <v>Adidas</v>
      </c>
      <c r="B3542" s="5" t="str">
        <f t="shared" si="389"/>
        <v>Stan Smith</v>
      </c>
      <c r="C3542" s="3">
        <f t="shared" si="388"/>
        <v>45894</v>
      </c>
      <c r="D3542" s="4">
        <f t="shared" ca="1" si="390"/>
        <v>129</v>
      </c>
      <c r="E3542" s="2">
        <f t="shared" ca="1" si="391"/>
        <v>2912</v>
      </c>
      <c r="F3542" s="2">
        <f t="shared" ca="1" si="392"/>
        <v>30344</v>
      </c>
      <c r="G3542" s="2">
        <f t="shared" ca="1" si="393"/>
        <v>811</v>
      </c>
    </row>
    <row r="3543" spans="1:7" x14ac:dyDescent="0.3">
      <c r="A3543" s="5" t="str">
        <f t="shared" si="387"/>
        <v>Puma</v>
      </c>
      <c r="B3543" s="5" t="str">
        <f t="shared" si="389"/>
        <v>Cali Dream</v>
      </c>
      <c r="C3543" s="3">
        <f t="shared" si="388"/>
        <v>45894</v>
      </c>
      <c r="D3543" s="4">
        <f t="shared" ca="1" si="390"/>
        <v>81</v>
      </c>
      <c r="E3543" s="2">
        <f t="shared" ca="1" si="391"/>
        <v>11580</v>
      </c>
      <c r="F3543" s="2">
        <f t="shared" ca="1" si="392"/>
        <v>31904</v>
      </c>
      <c r="G3543" s="2">
        <f t="shared" ca="1" si="393"/>
        <v>1724</v>
      </c>
    </row>
    <row r="3544" spans="1:7" x14ac:dyDescent="0.3">
      <c r="A3544" s="5" t="str">
        <f t="shared" si="387"/>
        <v>New Balance</v>
      </c>
      <c r="B3544" s="5" t="str">
        <f t="shared" si="389"/>
        <v>9060</v>
      </c>
      <c r="C3544" s="3">
        <f t="shared" si="388"/>
        <v>45894</v>
      </c>
      <c r="D3544" s="4">
        <f t="shared" ca="1" si="390"/>
        <v>241</v>
      </c>
      <c r="E3544" s="2">
        <f t="shared" ca="1" si="391"/>
        <v>6566</v>
      </c>
      <c r="F3544" s="2">
        <f t="shared" ca="1" si="392"/>
        <v>8340</v>
      </c>
      <c r="G3544" s="2">
        <f t="shared" ca="1" si="393"/>
        <v>287</v>
      </c>
    </row>
    <row r="3545" spans="1:7" x14ac:dyDescent="0.3">
      <c r="A3545" s="5" t="str">
        <f t="shared" si="387"/>
        <v>Reebok</v>
      </c>
      <c r="B3545" s="5" t="str">
        <f t="shared" si="389"/>
        <v>Zig Kinetica</v>
      </c>
      <c r="C3545" s="3">
        <f t="shared" si="388"/>
        <v>45894</v>
      </c>
      <c r="D3545" s="4">
        <f t="shared" ca="1" si="390"/>
        <v>229</v>
      </c>
      <c r="E3545" s="2">
        <f t="shared" ca="1" si="391"/>
        <v>11703</v>
      </c>
      <c r="F3545" s="2">
        <f t="shared" ca="1" si="392"/>
        <v>5100</v>
      </c>
      <c r="G3545" s="2">
        <f t="shared" ca="1" si="393"/>
        <v>223</v>
      </c>
    </row>
    <row r="3546" spans="1:7" x14ac:dyDescent="0.3">
      <c r="A3546" s="5" t="str">
        <f t="shared" si="387"/>
        <v>Nike</v>
      </c>
      <c r="B3546" s="5" t="str">
        <f t="shared" si="389"/>
        <v>Jordan 1</v>
      </c>
      <c r="C3546" s="3">
        <f t="shared" si="388"/>
        <v>45894</v>
      </c>
      <c r="D3546" s="4">
        <f t="shared" ca="1" si="390"/>
        <v>128</v>
      </c>
      <c r="E3546" s="2">
        <f t="shared" ca="1" si="391"/>
        <v>5075</v>
      </c>
      <c r="F3546" s="2">
        <f t="shared" ca="1" si="392"/>
        <v>31635</v>
      </c>
      <c r="G3546" s="2">
        <f t="shared" ca="1" si="393"/>
        <v>2173</v>
      </c>
    </row>
    <row r="3547" spans="1:7" x14ac:dyDescent="0.3">
      <c r="A3547" s="5" t="str">
        <f t="shared" si="387"/>
        <v>Adidas</v>
      </c>
      <c r="B3547" s="5" t="str">
        <f t="shared" si="389"/>
        <v>Ultraboost 23</v>
      </c>
      <c r="C3547" s="3">
        <f t="shared" si="388"/>
        <v>45894</v>
      </c>
      <c r="D3547" s="4">
        <f t="shared" ca="1" si="390"/>
        <v>115</v>
      </c>
      <c r="E3547" s="2">
        <f t="shared" ca="1" si="391"/>
        <v>5949</v>
      </c>
      <c r="F3547" s="2">
        <f t="shared" ca="1" si="392"/>
        <v>20229</v>
      </c>
      <c r="G3547" s="2">
        <f t="shared" ca="1" si="393"/>
        <v>1106</v>
      </c>
    </row>
    <row r="3548" spans="1:7" x14ac:dyDescent="0.3">
      <c r="A3548" s="5" t="str">
        <f t="shared" si="387"/>
        <v>Puma</v>
      </c>
      <c r="B3548" s="5" t="str">
        <f t="shared" si="389"/>
        <v>RS-X</v>
      </c>
      <c r="C3548" s="3">
        <f t="shared" si="388"/>
        <v>45894</v>
      </c>
      <c r="D3548" s="4">
        <f t="shared" ca="1" si="390"/>
        <v>227</v>
      </c>
      <c r="E3548" s="2">
        <f t="shared" ca="1" si="391"/>
        <v>6405</v>
      </c>
      <c r="F3548" s="2">
        <f t="shared" ca="1" si="392"/>
        <v>20426</v>
      </c>
      <c r="G3548" s="2">
        <f t="shared" ca="1" si="393"/>
        <v>948</v>
      </c>
    </row>
    <row r="3549" spans="1:7" x14ac:dyDescent="0.3">
      <c r="A3549" s="5" t="str">
        <f t="shared" si="387"/>
        <v>New Balance</v>
      </c>
      <c r="B3549" s="5" t="str">
        <f t="shared" si="389"/>
        <v>2002R</v>
      </c>
      <c r="C3549" s="3">
        <f t="shared" si="388"/>
        <v>45894</v>
      </c>
      <c r="D3549" s="4">
        <f t="shared" ca="1" si="390"/>
        <v>104</v>
      </c>
      <c r="E3549" s="2">
        <f t="shared" ca="1" si="391"/>
        <v>3279</v>
      </c>
      <c r="F3549" s="2">
        <f t="shared" ca="1" si="392"/>
        <v>6883</v>
      </c>
      <c r="G3549" s="2">
        <f t="shared" ca="1" si="393"/>
        <v>164</v>
      </c>
    </row>
    <row r="3550" spans="1:7" x14ac:dyDescent="0.3">
      <c r="A3550" s="5" t="str">
        <f t="shared" si="387"/>
        <v>Reebok</v>
      </c>
      <c r="B3550" s="5" t="str">
        <f t="shared" si="389"/>
        <v>Instapump Fury</v>
      </c>
      <c r="C3550" s="3">
        <f t="shared" si="388"/>
        <v>45894</v>
      </c>
      <c r="D3550" s="4">
        <f t="shared" ca="1" si="390"/>
        <v>221</v>
      </c>
      <c r="E3550" s="2">
        <f t="shared" ca="1" si="391"/>
        <v>4738</v>
      </c>
      <c r="F3550" s="2">
        <f t="shared" ca="1" si="392"/>
        <v>16886</v>
      </c>
      <c r="G3550" s="2">
        <f t="shared" ca="1" si="393"/>
        <v>1130</v>
      </c>
    </row>
    <row r="3551" spans="1:7" x14ac:dyDescent="0.3">
      <c r="A3551" s="5" t="str">
        <f t="shared" si="387"/>
        <v>Nike</v>
      </c>
      <c r="B3551" s="5" t="str">
        <f t="shared" si="389"/>
        <v>Cortez</v>
      </c>
      <c r="C3551" s="3">
        <f t="shared" si="388"/>
        <v>45894</v>
      </c>
      <c r="D3551" s="4">
        <f t="shared" ca="1" si="390"/>
        <v>80</v>
      </c>
      <c r="E3551" s="2">
        <f t="shared" ca="1" si="391"/>
        <v>3191</v>
      </c>
      <c r="F3551" s="2">
        <f t="shared" ca="1" si="392"/>
        <v>11738</v>
      </c>
      <c r="G3551" s="2">
        <f t="shared" ca="1" si="393"/>
        <v>292</v>
      </c>
    </row>
    <row r="3552" spans="1:7" x14ac:dyDescent="0.3">
      <c r="A3552" s="5" t="str">
        <f t="shared" si="387"/>
        <v>Adidas</v>
      </c>
      <c r="B3552" s="5" t="str">
        <f t="shared" si="389"/>
        <v>NMD S1</v>
      </c>
      <c r="C3552" s="3">
        <f t="shared" si="388"/>
        <v>45894</v>
      </c>
      <c r="D3552" s="4">
        <f t="shared" ca="1" si="390"/>
        <v>39</v>
      </c>
      <c r="E3552" s="2">
        <f t="shared" ca="1" si="391"/>
        <v>2796</v>
      </c>
      <c r="F3552" s="2">
        <f t="shared" ca="1" si="392"/>
        <v>29893</v>
      </c>
      <c r="G3552" s="2">
        <f t="shared" ca="1" si="393"/>
        <v>1754</v>
      </c>
    </row>
    <row r="3553" spans="1:7" x14ac:dyDescent="0.3">
      <c r="A3553" s="5" t="str">
        <f t="shared" si="387"/>
        <v>Puma</v>
      </c>
      <c r="B3553" s="5" t="str">
        <f t="shared" si="389"/>
        <v>Suede Classic</v>
      </c>
      <c r="C3553" s="3">
        <f t="shared" si="388"/>
        <v>45894</v>
      </c>
      <c r="D3553" s="4">
        <f t="shared" ca="1" si="390"/>
        <v>248</v>
      </c>
      <c r="E3553" s="2">
        <f t="shared" ca="1" si="391"/>
        <v>8924</v>
      </c>
      <c r="F3553" s="2">
        <f t="shared" ca="1" si="392"/>
        <v>22107</v>
      </c>
      <c r="G3553" s="2">
        <f t="shared" ca="1" si="393"/>
        <v>504</v>
      </c>
    </row>
    <row r="3554" spans="1:7" x14ac:dyDescent="0.3">
      <c r="A3554" s="5" t="str">
        <f t="shared" si="387"/>
        <v>New Balance</v>
      </c>
      <c r="B3554" s="5" t="str">
        <f t="shared" si="389"/>
        <v>990v6</v>
      </c>
      <c r="C3554" s="3">
        <f t="shared" si="388"/>
        <v>45894</v>
      </c>
      <c r="D3554" s="4">
        <f t="shared" ca="1" si="390"/>
        <v>206</v>
      </c>
      <c r="E3554" s="2">
        <f t="shared" ca="1" si="391"/>
        <v>11379</v>
      </c>
      <c r="F3554" s="2">
        <f t="shared" ca="1" si="392"/>
        <v>24407</v>
      </c>
      <c r="G3554" s="2">
        <f t="shared" ca="1" si="393"/>
        <v>806</v>
      </c>
    </row>
    <row r="3555" spans="1:7" x14ac:dyDescent="0.3">
      <c r="A3555" s="5" t="str">
        <f t="shared" si="387"/>
        <v>Reebok</v>
      </c>
      <c r="B3555" s="5" t="str">
        <f t="shared" si="389"/>
        <v>Nano X3</v>
      </c>
      <c r="C3555" s="3">
        <f t="shared" si="388"/>
        <v>45894</v>
      </c>
      <c r="D3555" s="4">
        <f t="shared" ca="1" si="390"/>
        <v>51</v>
      </c>
      <c r="E3555" s="2">
        <f t="shared" ca="1" si="391"/>
        <v>9275</v>
      </c>
      <c r="F3555" s="2">
        <f t="shared" ca="1" si="392"/>
        <v>33260</v>
      </c>
      <c r="G3555" s="2">
        <f t="shared" ca="1" si="393"/>
        <v>1632</v>
      </c>
    </row>
    <row r="3556" spans="1:7" x14ac:dyDescent="0.3">
      <c r="A3556" s="5" t="str">
        <f t="shared" si="387"/>
        <v>Nike</v>
      </c>
      <c r="B3556" s="5" t="str">
        <f t="shared" si="389"/>
        <v>Vaporfly 3</v>
      </c>
      <c r="C3556" s="3">
        <f t="shared" si="388"/>
        <v>45894</v>
      </c>
      <c r="D3556" s="4">
        <f t="shared" ca="1" si="390"/>
        <v>228</v>
      </c>
      <c r="E3556" s="2">
        <f t="shared" ca="1" si="391"/>
        <v>3165</v>
      </c>
      <c r="F3556" s="2">
        <f t="shared" ca="1" si="392"/>
        <v>31824</v>
      </c>
      <c r="G3556" s="2">
        <f t="shared" ca="1" si="393"/>
        <v>2089</v>
      </c>
    </row>
    <row r="3557" spans="1:7" x14ac:dyDescent="0.3">
      <c r="A3557" s="5" t="str">
        <f t="shared" si="387"/>
        <v>Adidas</v>
      </c>
      <c r="B3557" s="5" t="str">
        <f t="shared" si="389"/>
        <v>Samba</v>
      </c>
      <c r="C3557" s="3">
        <f t="shared" si="388"/>
        <v>45895</v>
      </c>
      <c r="D3557" s="4">
        <f t="shared" ca="1" si="390"/>
        <v>72</v>
      </c>
      <c r="E3557" s="2">
        <f t="shared" ca="1" si="391"/>
        <v>9440</v>
      </c>
      <c r="F3557" s="2">
        <f t="shared" ca="1" si="392"/>
        <v>6293</v>
      </c>
      <c r="G3557" s="2">
        <f t="shared" ca="1" si="393"/>
        <v>442</v>
      </c>
    </row>
    <row r="3558" spans="1:7" x14ac:dyDescent="0.3">
      <c r="A3558" s="5" t="str">
        <f t="shared" si="387"/>
        <v>Puma</v>
      </c>
      <c r="B3558" s="5" t="str">
        <f t="shared" si="389"/>
        <v>Mayze</v>
      </c>
      <c r="C3558" s="3">
        <f t="shared" si="388"/>
        <v>45895</v>
      </c>
      <c r="D3558" s="4">
        <f t="shared" ca="1" si="390"/>
        <v>146</v>
      </c>
      <c r="E3558" s="2">
        <f t="shared" ca="1" si="391"/>
        <v>11318</v>
      </c>
      <c r="F3558" s="2">
        <f t="shared" ca="1" si="392"/>
        <v>31637</v>
      </c>
      <c r="G3558" s="2">
        <f t="shared" ca="1" si="393"/>
        <v>2013</v>
      </c>
    </row>
    <row r="3559" spans="1:7" x14ac:dyDescent="0.3">
      <c r="A3559" s="5" t="str">
        <f t="shared" si="387"/>
        <v>New Balance</v>
      </c>
      <c r="B3559" s="5" t="str">
        <f t="shared" si="389"/>
        <v>574 Core</v>
      </c>
      <c r="C3559" s="3">
        <f t="shared" si="388"/>
        <v>45895</v>
      </c>
      <c r="D3559" s="4">
        <f t="shared" ca="1" si="390"/>
        <v>57</v>
      </c>
      <c r="E3559" s="2">
        <f t="shared" ca="1" si="391"/>
        <v>10294</v>
      </c>
      <c r="F3559" s="2">
        <f t="shared" ca="1" si="392"/>
        <v>17910</v>
      </c>
      <c r="G3559" s="2">
        <f t="shared" ca="1" si="393"/>
        <v>493</v>
      </c>
    </row>
    <row r="3560" spans="1:7" x14ac:dyDescent="0.3">
      <c r="A3560" s="5" t="str">
        <f t="shared" si="387"/>
        <v>Reebok</v>
      </c>
      <c r="B3560" s="5" t="str">
        <f t="shared" si="389"/>
        <v>Club C 85</v>
      </c>
      <c r="C3560" s="3">
        <f t="shared" si="388"/>
        <v>45895</v>
      </c>
      <c r="D3560" s="4">
        <f t="shared" ca="1" si="390"/>
        <v>156</v>
      </c>
      <c r="E3560" s="2">
        <f t="shared" ca="1" si="391"/>
        <v>8086</v>
      </c>
      <c r="F3560" s="2">
        <f t="shared" ca="1" si="392"/>
        <v>33282</v>
      </c>
      <c r="G3560" s="2">
        <f t="shared" ca="1" si="393"/>
        <v>2137</v>
      </c>
    </row>
    <row r="3561" spans="1:7" x14ac:dyDescent="0.3">
      <c r="A3561" s="5" t="str">
        <f t="shared" si="387"/>
        <v>Nike</v>
      </c>
      <c r="B3561" s="5" t="str">
        <f t="shared" si="389"/>
        <v>Pegasus 40</v>
      </c>
      <c r="C3561" s="3">
        <f t="shared" si="388"/>
        <v>45895</v>
      </c>
      <c r="D3561" s="4">
        <f t="shared" ca="1" si="390"/>
        <v>46</v>
      </c>
      <c r="E3561" s="2">
        <f t="shared" ca="1" si="391"/>
        <v>2508</v>
      </c>
      <c r="F3561" s="2">
        <f t="shared" ca="1" si="392"/>
        <v>22120</v>
      </c>
      <c r="G3561" s="2">
        <f t="shared" ca="1" si="393"/>
        <v>699</v>
      </c>
    </row>
    <row r="3562" spans="1:7" x14ac:dyDescent="0.3">
      <c r="A3562" s="5" t="str">
        <f t="shared" si="387"/>
        <v>Adidas</v>
      </c>
      <c r="B3562" s="5" t="str">
        <f t="shared" si="389"/>
        <v>Gazelle</v>
      </c>
      <c r="C3562" s="3">
        <f t="shared" si="388"/>
        <v>45895</v>
      </c>
      <c r="D3562" s="4">
        <f t="shared" ca="1" si="390"/>
        <v>143</v>
      </c>
      <c r="E3562" s="2">
        <f t="shared" ca="1" si="391"/>
        <v>5918</v>
      </c>
      <c r="F3562" s="2">
        <f t="shared" ca="1" si="392"/>
        <v>9850</v>
      </c>
      <c r="G3562" s="2">
        <f t="shared" ca="1" si="393"/>
        <v>234</v>
      </c>
    </row>
    <row r="3563" spans="1:7" x14ac:dyDescent="0.3">
      <c r="A3563" s="5" t="str">
        <f t="shared" ref="A3563:A3626" si="394">CHOOSE(MOD(ROW(A3562),5)+1,"Nike","Adidas","Puma","New Balance","Reebok")</f>
        <v>Puma</v>
      </c>
      <c r="B3563" s="5" t="str">
        <f t="shared" si="389"/>
        <v>Slipstream</v>
      </c>
      <c r="C3563" s="3">
        <f t="shared" ref="C3563:C3626" si="395">DATE(2025,1,1)+INT((ROW(A3563)-2)/15)</f>
        <v>45895</v>
      </c>
      <c r="D3563" s="4">
        <f t="shared" ca="1" si="390"/>
        <v>72</v>
      </c>
      <c r="E3563" s="2">
        <f t="shared" ca="1" si="391"/>
        <v>6651</v>
      </c>
      <c r="F3563" s="2">
        <f t="shared" ca="1" si="392"/>
        <v>23393</v>
      </c>
      <c r="G3563" s="2">
        <f t="shared" ca="1" si="393"/>
        <v>963</v>
      </c>
    </row>
    <row r="3564" spans="1:7" x14ac:dyDescent="0.3">
      <c r="A3564" s="5" t="str">
        <f t="shared" si="394"/>
        <v>New Balance</v>
      </c>
      <c r="B3564" s="5" t="str">
        <f t="shared" si="389"/>
        <v>550</v>
      </c>
      <c r="C3564" s="3">
        <f t="shared" si="395"/>
        <v>45895</v>
      </c>
      <c r="D3564" s="4">
        <f t="shared" ca="1" si="390"/>
        <v>220</v>
      </c>
      <c r="E3564" s="2">
        <f t="shared" ca="1" si="391"/>
        <v>9297</v>
      </c>
      <c r="F3564" s="2">
        <f t="shared" ca="1" si="392"/>
        <v>7574</v>
      </c>
      <c r="G3564" s="2">
        <f t="shared" ca="1" si="393"/>
        <v>289</v>
      </c>
    </row>
    <row r="3565" spans="1:7" x14ac:dyDescent="0.3">
      <c r="A3565" s="5" t="str">
        <f t="shared" si="394"/>
        <v>Reebok</v>
      </c>
      <c r="B3565" s="5" t="str">
        <f t="shared" si="389"/>
        <v>Classic Leather</v>
      </c>
      <c r="C3565" s="3">
        <f t="shared" si="395"/>
        <v>45895</v>
      </c>
      <c r="D3565" s="4">
        <f t="shared" ca="1" si="390"/>
        <v>78</v>
      </c>
      <c r="E3565" s="2">
        <f t="shared" ca="1" si="391"/>
        <v>4205</v>
      </c>
      <c r="F3565" s="2">
        <f t="shared" ca="1" si="392"/>
        <v>5743</v>
      </c>
      <c r="G3565" s="2">
        <f t="shared" ca="1" si="393"/>
        <v>256</v>
      </c>
    </row>
    <row r="3566" spans="1:7" x14ac:dyDescent="0.3">
      <c r="A3566" s="5" t="str">
        <f t="shared" si="394"/>
        <v>Nike</v>
      </c>
      <c r="B3566" s="5" t="str">
        <f t="shared" si="389"/>
        <v>Air Force 1</v>
      </c>
      <c r="C3566" s="3">
        <f t="shared" si="395"/>
        <v>45895</v>
      </c>
      <c r="D3566" s="4">
        <f t="shared" ca="1" si="390"/>
        <v>139</v>
      </c>
      <c r="E3566" s="2">
        <f t="shared" ca="1" si="391"/>
        <v>10900</v>
      </c>
      <c r="F3566" s="2">
        <f t="shared" ca="1" si="392"/>
        <v>17331</v>
      </c>
      <c r="G3566" s="2">
        <f t="shared" ca="1" si="393"/>
        <v>878</v>
      </c>
    </row>
    <row r="3567" spans="1:7" x14ac:dyDescent="0.3">
      <c r="A3567" s="5" t="str">
        <f t="shared" si="394"/>
        <v>Adidas</v>
      </c>
      <c r="B3567" s="5" t="str">
        <f t="shared" si="389"/>
        <v>Superstar</v>
      </c>
      <c r="C3567" s="3">
        <f t="shared" si="395"/>
        <v>45895</v>
      </c>
      <c r="D3567" s="4">
        <f t="shared" ca="1" si="390"/>
        <v>35</v>
      </c>
      <c r="E3567" s="2">
        <f t="shared" ca="1" si="391"/>
        <v>1769</v>
      </c>
      <c r="F3567" s="2">
        <f t="shared" ca="1" si="392"/>
        <v>26752</v>
      </c>
      <c r="G3567" s="2">
        <f t="shared" ca="1" si="393"/>
        <v>1479</v>
      </c>
    </row>
    <row r="3568" spans="1:7" x14ac:dyDescent="0.3">
      <c r="A3568" s="5" t="str">
        <f t="shared" si="394"/>
        <v>Puma</v>
      </c>
      <c r="B3568" s="5" t="str">
        <f t="shared" si="389"/>
        <v>Rider Vintage</v>
      </c>
      <c r="C3568" s="3">
        <f t="shared" si="395"/>
        <v>45895</v>
      </c>
      <c r="D3568" s="4">
        <f t="shared" ca="1" si="390"/>
        <v>147</v>
      </c>
      <c r="E3568" s="2">
        <f t="shared" ca="1" si="391"/>
        <v>9547</v>
      </c>
      <c r="F3568" s="2">
        <f t="shared" ca="1" si="392"/>
        <v>32787</v>
      </c>
      <c r="G3568" s="2">
        <f t="shared" ca="1" si="393"/>
        <v>2259</v>
      </c>
    </row>
    <row r="3569" spans="1:7" x14ac:dyDescent="0.3">
      <c r="A3569" s="5" t="str">
        <f t="shared" si="394"/>
        <v>New Balance</v>
      </c>
      <c r="B3569" s="5" t="str">
        <f t="shared" si="389"/>
        <v>327</v>
      </c>
      <c r="C3569" s="3">
        <f t="shared" si="395"/>
        <v>45895</v>
      </c>
      <c r="D3569" s="4">
        <f t="shared" ca="1" si="390"/>
        <v>239</v>
      </c>
      <c r="E3569" s="2">
        <f t="shared" ca="1" si="391"/>
        <v>7966</v>
      </c>
      <c r="F3569" s="2">
        <f t="shared" ca="1" si="392"/>
        <v>23237</v>
      </c>
      <c r="G3569" s="2">
        <f t="shared" ca="1" si="393"/>
        <v>622</v>
      </c>
    </row>
    <row r="3570" spans="1:7" x14ac:dyDescent="0.3">
      <c r="A3570" s="5" t="str">
        <f t="shared" si="394"/>
        <v>Reebok</v>
      </c>
      <c r="B3570" s="5" t="str">
        <f t="shared" si="389"/>
        <v>Question Mid</v>
      </c>
      <c r="C3570" s="3">
        <f t="shared" si="395"/>
        <v>45895</v>
      </c>
      <c r="D3570" s="4">
        <f t="shared" ca="1" si="390"/>
        <v>51</v>
      </c>
      <c r="E3570" s="2">
        <f t="shared" ca="1" si="391"/>
        <v>10904</v>
      </c>
      <c r="F3570" s="2">
        <f t="shared" ca="1" si="392"/>
        <v>13534</v>
      </c>
      <c r="G3570" s="2">
        <f t="shared" ca="1" si="393"/>
        <v>923</v>
      </c>
    </row>
    <row r="3571" spans="1:7" x14ac:dyDescent="0.3">
      <c r="A3571" s="5" t="str">
        <f t="shared" si="394"/>
        <v>Nike</v>
      </c>
      <c r="B3571" s="5" t="str">
        <f t="shared" si="389"/>
        <v>Air Max 270</v>
      </c>
      <c r="C3571" s="3">
        <f t="shared" si="395"/>
        <v>45895</v>
      </c>
      <c r="D3571" s="4">
        <f t="shared" ca="1" si="390"/>
        <v>76</v>
      </c>
      <c r="E3571" s="2">
        <f t="shared" ca="1" si="391"/>
        <v>7781</v>
      </c>
      <c r="F3571" s="2">
        <f t="shared" ca="1" si="392"/>
        <v>17159</v>
      </c>
      <c r="G3571" s="2">
        <f t="shared" ca="1" si="393"/>
        <v>645</v>
      </c>
    </row>
    <row r="3572" spans="1:7" x14ac:dyDescent="0.3">
      <c r="A3572" s="5" t="str">
        <f t="shared" si="394"/>
        <v>Adidas</v>
      </c>
      <c r="B3572" s="5" t="str">
        <f t="shared" si="389"/>
        <v>Stan Smith</v>
      </c>
      <c r="C3572" s="3">
        <f t="shared" si="395"/>
        <v>45896</v>
      </c>
      <c r="D3572" s="4">
        <f t="shared" ca="1" si="390"/>
        <v>155</v>
      </c>
      <c r="E3572" s="2">
        <f t="shared" ca="1" si="391"/>
        <v>5099</v>
      </c>
      <c r="F3572" s="2">
        <f t="shared" ca="1" si="392"/>
        <v>11738</v>
      </c>
      <c r="G3572" s="2">
        <f t="shared" ca="1" si="393"/>
        <v>795</v>
      </c>
    </row>
    <row r="3573" spans="1:7" x14ac:dyDescent="0.3">
      <c r="A3573" s="5" t="str">
        <f t="shared" si="394"/>
        <v>Puma</v>
      </c>
      <c r="B3573" s="5" t="str">
        <f t="shared" si="389"/>
        <v>Cali Dream</v>
      </c>
      <c r="C3573" s="3">
        <f t="shared" si="395"/>
        <v>45896</v>
      </c>
      <c r="D3573" s="4">
        <f t="shared" ca="1" si="390"/>
        <v>181</v>
      </c>
      <c r="E3573" s="2">
        <f t="shared" ca="1" si="391"/>
        <v>8804</v>
      </c>
      <c r="F3573" s="2">
        <f t="shared" ca="1" si="392"/>
        <v>26811</v>
      </c>
      <c r="G3573" s="2">
        <f t="shared" ca="1" si="393"/>
        <v>2003</v>
      </c>
    </row>
    <row r="3574" spans="1:7" x14ac:dyDescent="0.3">
      <c r="A3574" s="5" t="str">
        <f t="shared" si="394"/>
        <v>New Balance</v>
      </c>
      <c r="B3574" s="5" t="str">
        <f t="shared" si="389"/>
        <v>9060</v>
      </c>
      <c r="C3574" s="3">
        <f t="shared" si="395"/>
        <v>45896</v>
      </c>
      <c r="D3574" s="4">
        <f t="shared" ca="1" si="390"/>
        <v>32</v>
      </c>
      <c r="E3574" s="2">
        <f t="shared" ca="1" si="391"/>
        <v>8108</v>
      </c>
      <c r="F3574" s="2">
        <f t="shared" ca="1" si="392"/>
        <v>8654</v>
      </c>
      <c r="G3574" s="2">
        <f t="shared" ca="1" si="393"/>
        <v>191</v>
      </c>
    </row>
    <row r="3575" spans="1:7" x14ac:dyDescent="0.3">
      <c r="A3575" s="5" t="str">
        <f t="shared" si="394"/>
        <v>Reebok</v>
      </c>
      <c r="B3575" s="5" t="str">
        <f t="shared" si="389"/>
        <v>Zig Kinetica</v>
      </c>
      <c r="C3575" s="3">
        <f t="shared" si="395"/>
        <v>45896</v>
      </c>
      <c r="D3575" s="4">
        <f t="shared" ca="1" si="390"/>
        <v>165</v>
      </c>
      <c r="E3575" s="2">
        <f t="shared" ca="1" si="391"/>
        <v>6609</v>
      </c>
      <c r="F3575" s="2">
        <f t="shared" ca="1" si="392"/>
        <v>29642</v>
      </c>
      <c r="G3575" s="2">
        <f t="shared" ca="1" si="393"/>
        <v>618</v>
      </c>
    </row>
    <row r="3576" spans="1:7" x14ac:dyDescent="0.3">
      <c r="A3576" s="5" t="str">
        <f t="shared" si="394"/>
        <v>Nike</v>
      </c>
      <c r="B3576" s="5" t="str">
        <f t="shared" si="389"/>
        <v>Jordan 1</v>
      </c>
      <c r="C3576" s="3">
        <f t="shared" si="395"/>
        <v>45896</v>
      </c>
      <c r="D3576" s="4">
        <f t="shared" ca="1" si="390"/>
        <v>217</v>
      </c>
      <c r="E3576" s="2">
        <f t="shared" ca="1" si="391"/>
        <v>9346</v>
      </c>
      <c r="F3576" s="2">
        <f t="shared" ca="1" si="392"/>
        <v>10390</v>
      </c>
      <c r="G3576" s="2">
        <f t="shared" ca="1" si="393"/>
        <v>721</v>
      </c>
    </row>
    <row r="3577" spans="1:7" x14ac:dyDescent="0.3">
      <c r="A3577" s="5" t="str">
        <f t="shared" si="394"/>
        <v>Adidas</v>
      </c>
      <c r="B3577" s="5" t="str">
        <f t="shared" si="389"/>
        <v>Ultraboost 23</v>
      </c>
      <c r="C3577" s="3">
        <f t="shared" si="395"/>
        <v>45896</v>
      </c>
      <c r="D3577" s="4">
        <f t="shared" ca="1" si="390"/>
        <v>212</v>
      </c>
      <c r="E3577" s="2">
        <f t="shared" ca="1" si="391"/>
        <v>2638</v>
      </c>
      <c r="F3577" s="2">
        <f t="shared" ca="1" si="392"/>
        <v>24806</v>
      </c>
      <c r="G3577" s="2">
        <f t="shared" ca="1" si="393"/>
        <v>965</v>
      </c>
    </row>
    <row r="3578" spans="1:7" x14ac:dyDescent="0.3">
      <c r="A3578" s="5" t="str">
        <f t="shared" si="394"/>
        <v>Puma</v>
      </c>
      <c r="B3578" s="5" t="str">
        <f t="shared" si="389"/>
        <v>RS-X</v>
      </c>
      <c r="C3578" s="3">
        <f t="shared" si="395"/>
        <v>45896</v>
      </c>
      <c r="D3578" s="4">
        <f t="shared" ca="1" si="390"/>
        <v>191</v>
      </c>
      <c r="E3578" s="2">
        <f t="shared" ca="1" si="391"/>
        <v>3114</v>
      </c>
      <c r="F3578" s="2">
        <f t="shared" ca="1" si="392"/>
        <v>16717</v>
      </c>
      <c r="G3578" s="2">
        <f t="shared" ca="1" si="393"/>
        <v>1264</v>
      </c>
    </row>
    <row r="3579" spans="1:7" x14ac:dyDescent="0.3">
      <c r="A3579" s="5" t="str">
        <f t="shared" si="394"/>
        <v>New Balance</v>
      </c>
      <c r="B3579" s="5" t="str">
        <f t="shared" si="389"/>
        <v>2002R</v>
      </c>
      <c r="C3579" s="3">
        <f t="shared" si="395"/>
        <v>45896</v>
      </c>
      <c r="D3579" s="4">
        <f t="shared" ca="1" si="390"/>
        <v>113</v>
      </c>
      <c r="E3579" s="2">
        <f t="shared" ca="1" si="391"/>
        <v>1817</v>
      </c>
      <c r="F3579" s="2">
        <f t="shared" ca="1" si="392"/>
        <v>30023</v>
      </c>
      <c r="G3579" s="2">
        <f t="shared" ca="1" si="393"/>
        <v>1267</v>
      </c>
    </row>
    <row r="3580" spans="1:7" x14ac:dyDescent="0.3">
      <c r="A3580" s="5" t="str">
        <f t="shared" si="394"/>
        <v>Reebok</v>
      </c>
      <c r="B3580" s="5" t="str">
        <f t="shared" si="389"/>
        <v>Instapump Fury</v>
      </c>
      <c r="C3580" s="3">
        <f t="shared" si="395"/>
        <v>45896</v>
      </c>
      <c r="D3580" s="4">
        <f t="shared" ca="1" si="390"/>
        <v>137</v>
      </c>
      <c r="E3580" s="2">
        <f t="shared" ca="1" si="391"/>
        <v>11500</v>
      </c>
      <c r="F3580" s="2">
        <f t="shared" ca="1" si="392"/>
        <v>23337</v>
      </c>
      <c r="G3580" s="2">
        <f t="shared" ca="1" si="393"/>
        <v>501</v>
      </c>
    </row>
    <row r="3581" spans="1:7" x14ac:dyDescent="0.3">
      <c r="A3581" s="5" t="str">
        <f t="shared" si="394"/>
        <v>Nike</v>
      </c>
      <c r="B3581" s="5" t="str">
        <f t="shared" si="389"/>
        <v>Cortez</v>
      </c>
      <c r="C3581" s="3">
        <f t="shared" si="395"/>
        <v>45896</v>
      </c>
      <c r="D3581" s="4">
        <f t="shared" ca="1" si="390"/>
        <v>206</v>
      </c>
      <c r="E3581" s="2">
        <f t="shared" ca="1" si="391"/>
        <v>4190</v>
      </c>
      <c r="F3581" s="2">
        <f t="shared" ca="1" si="392"/>
        <v>25876</v>
      </c>
      <c r="G3581" s="2">
        <f t="shared" ca="1" si="393"/>
        <v>1455</v>
      </c>
    </row>
    <row r="3582" spans="1:7" x14ac:dyDescent="0.3">
      <c r="A3582" s="5" t="str">
        <f t="shared" si="394"/>
        <v>Adidas</v>
      </c>
      <c r="B3582" s="5" t="str">
        <f t="shared" si="389"/>
        <v>NMD S1</v>
      </c>
      <c r="C3582" s="3">
        <f t="shared" si="395"/>
        <v>45896</v>
      </c>
      <c r="D3582" s="4">
        <f t="shared" ca="1" si="390"/>
        <v>113</v>
      </c>
      <c r="E3582" s="2">
        <f t="shared" ca="1" si="391"/>
        <v>4862</v>
      </c>
      <c r="F3582" s="2">
        <f t="shared" ca="1" si="392"/>
        <v>7750</v>
      </c>
      <c r="G3582" s="2">
        <f t="shared" ca="1" si="393"/>
        <v>431</v>
      </c>
    </row>
    <row r="3583" spans="1:7" x14ac:dyDescent="0.3">
      <c r="A3583" s="5" t="str">
        <f t="shared" si="394"/>
        <v>Puma</v>
      </c>
      <c r="B3583" s="5" t="str">
        <f t="shared" si="389"/>
        <v>Suede Classic</v>
      </c>
      <c r="C3583" s="3">
        <f t="shared" si="395"/>
        <v>45896</v>
      </c>
      <c r="D3583" s="4">
        <f t="shared" ca="1" si="390"/>
        <v>120</v>
      </c>
      <c r="E3583" s="2">
        <f t="shared" ca="1" si="391"/>
        <v>7568</v>
      </c>
      <c r="F3583" s="2">
        <f t="shared" ca="1" si="392"/>
        <v>12551</v>
      </c>
      <c r="G3583" s="2">
        <f t="shared" ca="1" si="393"/>
        <v>255</v>
      </c>
    </row>
    <row r="3584" spans="1:7" x14ac:dyDescent="0.3">
      <c r="A3584" s="5" t="str">
        <f t="shared" si="394"/>
        <v>New Balance</v>
      </c>
      <c r="B3584" s="5" t="str">
        <f t="shared" si="389"/>
        <v>990v6</v>
      </c>
      <c r="C3584" s="3">
        <f t="shared" si="395"/>
        <v>45896</v>
      </c>
      <c r="D3584" s="4">
        <f t="shared" ca="1" si="390"/>
        <v>117</v>
      </c>
      <c r="E3584" s="2">
        <f t="shared" ca="1" si="391"/>
        <v>5575</v>
      </c>
      <c r="F3584" s="2">
        <f t="shared" ca="1" si="392"/>
        <v>30669</v>
      </c>
      <c r="G3584" s="2">
        <f t="shared" ca="1" si="393"/>
        <v>2203</v>
      </c>
    </row>
    <row r="3585" spans="1:7" x14ac:dyDescent="0.3">
      <c r="A3585" s="5" t="str">
        <f t="shared" si="394"/>
        <v>Reebok</v>
      </c>
      <c r="B3585" s="5" t="str">
        <f t="shared" si="389"/>
        <v>Nano X3</v>
      </c>
      <c r="C3585" s="3">
        <f t="shared" si="395"/>
        <v>45896</v>
      </c>
      <c r="D3585" s="4">
        <f t="shared" ca="1" si="390"/>
        <v>69</v>
      </c>
      <c r="E3585" s="2">
        <f t="shared" ca="1" si="391"/>
        <v>3711</v>
      </c>
      <c r="F3585" s="2">
        <f t="shared" ca="1" si="392"/>
        <v>25110</v>
      </c>
      <c r="G3585" s="2">
        <f t="shared" ca="1" si="393"/>
        <v>647</v>
      </c>
    </row>
    <row r="3586" spans="1:7" x14ac:dyDescent="0.3">
      <c r="A3586" s="5" t="str">
        <f t="shared" si="394"/>
        <v>Nike</v>
      </c>
      <c r="B3586" s="5" t="str">
        <f t="shared" si="389"/>
        <v>Vaporfly 3</v>
      </c>
      <c r="C3586" s="3">
        <f t="shared" si="395"/>
        <v>45896</v>
      </c>
      <c r="D3586" s="4">
        <f t="shared" ca="1" si="390"/>
        <v>167</v>
      </c>
      <c r="E3586" s="2">
        <f t="shared" ca="1" si="391"/>
        <v>8820</v>
      </c>
      <c r="F3586" s="2">
        <f t="shared" ca="1" si="392"/>
        <v>16659</v>
      </c>
      <c r="G3586" s="2">
        <f t="shared" ca="1" si="393"/>
        <v>1038</v>
      </c>
    </row>
    <row r="3587" spans="1:7" x14ac:dyDescent="0.3">
      <c r="A3587" s="5" t="str">
        <f t="shared" si="394"/>
        <v>Adidas</v>
      </c>
      <c r="B3587" s="5" t="str">
        <f t="shared" ref="B3587:B3650" si="396">IF(A3587="Nike",CHOOSE(MOD(ROW(A3586),6)+1,"Air Max 270","Air Force 1","Pegasus 40","Vaporfly 3","Cortez","Jordan 1"),
 IF(A3587="Adidas",CHOOSE(MOD(ROW(A3586),6)+1,"Ultraboost 23","Stan Smith","Superstar","Gazelle","Samba","NMD S1"),
 IF(A3587="Puma",CHOOSE(MOD(ROW(A3586),6)+1,"Suede Classic","RS-X","Cali Dream","Rider Vintage","Slipstream","Mayze"),
 IF(A3587="New Balance",CHOOSE(MOD(ROW(A3586),6)+1,"574 Core","990v6","2002R","9060","327","550"),
 IF(A3587="Reebok",CHOOSE(MOD(ROW(A3586),6)+1,"Classic Leather","Club C 85","Nano X3","Instapump Fury","Zig Kinetica","Question Mid"),"")))))</f>
        <v>Samba</v>
      </c>
      <c r="C3587" s="3">
        <f t="shared" si="395"/>
        <v>45897</v>
      </c>
      <c r="D3587" s="4">
        <f t="shared" ref="D3587:D3650" ca="1" si="397">RANDBETWEEN(20,250)</f>
        <v>91</v>
      </c>
      <c r="E3587" s="2">
        <f t="shared" ref="E3587:E3650" ca="1" si="398">ROUND(RANDBETWEEN(1500,12000)+(RANDBETWEEN(-200,200)),2)</f>
        <v>9672</v>
      </c>
      <c r="F3587" s="2">
        <f t="shared" ref="F3587:F3650" ca="1" si="399">RANDBETWEEN(5000,35000)</f>
        <v>25237</v>
      </c>
      <c r="G3587" s="2">
        <f t="shared" ref="G3587:G3650" ca="1" si="400">RANDBETWEEN(ROUND(F3587*0.02,0),ROUND(F3587*0.08,0))</f>
        <v>1428</v>
      </c>
    </row>
    <row r="3588" spans="1:7" x14ac:dyDescent="0.3">
      <c r="A3588" s="5" t="str">
        <f t="shared" si="394"/>
        <v>Puma</v>
      </c>
      <c r="B3588" s="5" t="str">
        <f t="shared" si="396"/>
        <v>Mayze</v>
      </c>
      <c r="C3588" s="3">
        <f t="shared" si="395"/>
        <v>45897</v>
      </c>
      <c r="D3588" s="4">
        <f t="shared" ca="1" si="397"/>
        <v>177</v>
      </c>
      <c r="E3588" s="2">
        <f t="shared" ca="1" si="398"/>
        <v>3032</v>
      </c>
      <c r="F3588" s="2">
        <f t="shared" ca="1" si="399"/>
        <v>33852</v>
      </c>
      <c r="G3588" s="2">
        <f t="shared" ca="1" si="400"/>
        <v>1525</v>
      </c>
    </row>
    <row r="3589" spans="1:7" x14ac:dyDescent="0.3">
      <c r="A3589" s="5" t="str">
        <f t="shared" si="394"/>
        <v>New Balance</v>
      </c>
      <c r="B3589" s="5" t="str">
        <f t="shared" si="396"/>
        <v>574 Core</v>
      </c>
      <c r="C3589" s="3">
        <f t="shared" si="395"/>
        <v>45897</v>
      </c>
      <c r="D3589" s="4">
        <f t="shared" ca="1" si="397"/>
        <v>50</v>
      </c>
      <c r="E3589" s="2">
        <f t="shared" ca="1" si="398"/>
        <v>7620</v>
      </c>
      <c r="F3589" s="2">
        <f t="shared" ca="1" si="399"/>
        <v>21555</v>
      </c>
      <c r="G3589" s="2">
        <f t="shared" ca="1" si="400"/>
        <v>1005</v>
      </c>
    </row>
    <row r="3590" spans="1:7" x14ac:dyDescent="0.3">
      <c r="A3590" s="5" t="str">
        <f t="shared" si="394"/>
        <v>Reebok</v>
      </c>
      <c r="B3590" s="5" t="str">
        <f t="shared" si="396"/>
        <v>Club C 85</v>
      </c>
      <c r="C3590" s="3">
        <f t="shared" si="395"/>
        <v>45897</v>
      </c>
      <c r="D3590" s="4">
        <f t="shared" ca="1" si="397"/>
        <v>197</v>
      </c>
      <c r="E3590" s="2">
        <f t="shared" ca="1" si="398"/>
        <v>8068</v>
      </c>
      <c r="F3590" s="2">
        <f t="shared" ca="1" si="399"/>
        <v>18652</v>
      </c>
      <c r="G3590" s="2">
        <f t="shared" ca="1" si="400"/>
        <v>625</v>
      </c>
    </row>
    <row r="3591" spans="1:7" x14ac:dyDescent="0.3">
      <c r="A3591" s="5" t="str">
        <f t="shared" si="394"/>
        <v>Nike</v>
      </c>
      <c r="B3591" s="5" t="str">
        <f t="shared" si="396"/>
        <v>Pegasus 40</v>
      </c>
      <c r="C3591" s="3">
        <f t="shared" si="395"/>
        <v>45897</v>
      </c>
      <c r="D3591" s="4">
        <f t="shared" ca="1" si="397"/>
        <v>116</v>
      </c>
      <c r="E3591" s="2">
        <f t="shared" ca="1" si="398"/>
        <v>1313</v>
      </c>
      <c r="F3591" s="2">
        <f t="shared" ca="1" si="399"/>
        <v>33370</v>
      </c>
      <c r="G3591" s="2">
        <f t="shared" ca="1" si="400"/>
        <v>896</v>
      </c>
    </row>
    <row r="3592" spans="1:7" x14ac:dyDescent="0.3">
      <c r="A3592" s="5" t="str">
        <f t="shared" si="394"/>
        <v>Adidas</v>
      </c>
      <c r="B3592" s="5" t="str">
        <f t="shared" si="396"/>
        <v>Gazelle</v>
      </c>
      <c r="C3592" s="3">
        <f t="shared" si="395"/>
        <v>45897</v>
      </c>
      <c r="D3592" s="4">
        <f t="shared" ca="1" si="397"/>
        <v>203</v>
      </c>
      <c r="E3592" s="2">
        <f t="shared" ca="1" si="398"/>
        <v>8341</v>
      </c>
      <c r="F3592" s="2">
        <f t="shared" ca="1" si="399"/>
        <v>11967</v>
      </c>
      <c r="G3592" s="2">
        <f t="shared" ca="1" si="400"/>
        <v>784</v>
      </c>
    </row>
    <row r="3593" spans="1:7" x14ac:dyDescent="0.3">
      <c r="A3593" s="5" t="str">
        <f t="shared" si="394"/>
        <v>Puma</v>
      </c>
      <c r="B3593" s="5" t="str">
        <f t="shared" si="396"/>
        <v>Slipstream</v>
      </c>
      <c r="C3593" s="3">
        <f t="shared" si="395"/>
        <v>45897</v>
      </c>
      <c r="D3593" s="4">
        <f t="shared" ca="1" si="397"/>
        <v>246</v>
      </c>
      <c r="E3593" s="2">
        <f t="shared" ca="1" si="398"/>
        <v>1818</v>
      </c>
      <c r="F3593" s="2">
        <f t="shared" ca="1" si="399"/>
        <v>24621</v>
      </c>
      <c r="G3593" s="2">
        <f t="shared" ca="1" si="400"/>
        <v>1885</v>
      </c>
    </row>
    <row r="3594" spans="1:7" x14ac:dyDescent="0.3">
      <c r="A3594" s="5" t="str">
        <f t="shared" si="394"/>
        <v>New Balance</v>
      </c>
      <c r="B3594" s="5" t="str">
        <f t="shared" si="396"/>
        <v>550</v>
      </c>
      <c r="C3594" s="3">
        <f t="shared" si="395"/>
        <v>45897</v>
      </c>
      <c r="D3594" s="4">
        <f t="shared" ca="1" si="397"/>
        <v>178</v>
      </c>
      <c r="E3594" s="2">
        <f t="shared" ca="1" si="398"/>
        <v>4941</v>
      </c>
      <c r="F3594" s="2">
        <f t="shared" ca="1" si="399"/>
        <v>23052</v>
      </c>
      <c r="G3594" s="2">
        <f t="shared" ca="1" si="400"/>
        <v>1595</v>
      </c>
    </row>
    <row r="3595" spans="1:7" x14ac:dyDescent="0.3">
      <c r="A3595" s="5" t="str">
        <f t="shared" si="394"/>
        <v>Reebok</v>
      </c>
      <c r="B3595" s="5" t="str">
        <f t="shared" si="396"/>
        <v>Classic Leather</v>
      </c>
      <c r="C3595" s="3">
        <f t="shared" si="395"/>
        <v>45897</v>
      </c>
      <c r="D3595" s="4">
        <f t="shared" ca="1" si="397"/>
        <v>250</v>
      </c>
      <c r="E3595" s="2">
        <f t="shared" ca="1" si="398"/>
        <v>8581</v>
      </c>
      <c r="F3595" s="2">
        <f t="shared" ca="1" si="399"/>
        <v>21823</v>
      </c>
      <c r="G3595" s="2">
        <f t="shared" ca="1" si="400"/>
        <v>1462</v>
      </c>
    </row>
    <row r="3596" spans="1:7" x14ac:dyDescent="0.3">
      <c r="A3596" s="5" t="str">
        <f t="shared" si="394"/>
        <v>Nike</v>
      </c>
      <c r="B3596" s="5" t="str">
        <f t="shared" si="396"/>
        <v>Air Force 1</v>
      </c>
      <c r="C3596" s="3">
        <f t="shared" si="395"/>
        <v>45897</v>
      </c>
      <c r="D3596" s="4">
        <f t="shared" ca="1" si="397"/>
        <v>218</v>
      </c>
      <c r="E3596" s="2">
        <f t="shared" ca="1" si="398"/>
        <v>1868</v>
      </c>
      <c r="F3596" s="2">
        <f t="shared" ca="1" si="399"/>
        <v>16574</v>
      </c>
      <c r="G3596" s="2">
        <f t="shared" ca="1" si="400"/>
        <v>707</v>
      </c>
    </row>
    <row r="3597" spans="1:7" x14ac:dyDescent="0.3">
      <c r="A3597" s="5" t="str">
        <f t="shared" si="394"/>
        <v>Adidas</v>
      </c>
      <c r="B3597" s="5" t="str">
        <f t="shared" si="396"/>
        <v>Superstar</v>
      </c>
      <c r="C3597" s="3">
        <f t="shared" si="395"/>
        <v>45897</v>
      </c>
      <c r="D3597" s="4">
        <f t="shared" ca="1" si="397"/>
        <v>174</v>
      </c>
      <c r="E3597" s="2">
        <f t="shared" ca="1" si="398"/>
        <v>4117</v>
      </c>
      <c r="F3597" s="2">
        <f t="shared" ca="1" si="399"/>
        <v>33538</v>
      </c>
      <c r="G3597" s="2">
        <f t="shared" ca="1" si="400"/>
        <v>1993</v>
      </c>
    </row>
    <row r="3598" spans="1:7" x14ac:dyDescent="0.3">
      <c r="A3598" s="5" t="str">
        <f t="shared" si="394"/>
        <v>Puma</v>
      </c>
      <c r="B3598" s="5" t="str">
        <f t="shared" si="396"/>
        <v>Rider Vintage</v>
      </c>
      <c r="C3598" s="3">
        <f t="shared" si="395"/>
        <v>45897</v>
      </c>
      <c r="D3598" s="4">
        <f t="shared" ca="1" si="397"/>
        <v>135</v>
      </c>
      <c r="E3598" s="2">
        <f t="shared" ca="1" si="398"/>
        <v>10099</v>
      </c>
      <c r="F3598" s="2">
        <f t="shared" ca="1" si="399"/>
        <v>15822</v>
      </c>
      <c r="G3598" s="2">
        <f t="shared" ca="1" si="400"/>
        <v>845</v>
      </c>
    </row>
    <row r="3599" spans="1:7" x14ac:dyDescent="0.3">
      <c r="A3599" s="5" t="str">
        <f t="shared" si="394"/>
        <v>New Balance</v>
      </c>
      <c r="B3599" s="5" t="str">
        <f t="shared" si="396"/>
        <v>327</v>
      </c>
      <c r="C3599" s="3">
        <f t="shared" si="395"/>
        <v>45897</v>
      </c>
      <c r="D3599" s="4">
        <f t="shared" ca="1" si="397"/>
        <v>184</v>
      </c>
      <c r="E3599" s="2">
        <f t="shared" ca="1" si="398"/>
        <v>6287</v>
      </c>
      <c r="F3599" s="2">
        <f t="shared" ca="1" si="399"/>
        <v>22369</v>
      </c>
      <c r="G3599" s="2">
        <f t="shared" ca="1" si="400"/>
        <v>658</v>
      </c>
    </row>
    <row r="3600" spans="1:7" x14ac:dyDescent="0.3">
      <c r="A3600" s="5" t="str">
        <f t="shared" si="394"/>
        <v>Reebok</v>
      </c>
      <c r="B3600" s="5" t="str">
        <f t="shared" si="396"/>
        <v>Question Mid</v>
      </c>
      <c r="C3600" s="3">
        <f t="shared" si="395"/>
        <v>45897</v>
      </c>
      <c r="D3600" s="4">
        <f t="shared" ca="1" si="397"/>
        <v>198</v>
      </c>
      <c r="E3600" s="2">
        <f t="shared" ca="1" si="398"/>
        <v>9302</v>
      </c>
      <c r="F3600" s="2">
        <f t="shared" ca="1" si="399"/>
        <v>31916</v>
      </c>
      <c r="G3600" s="2">
        <f t="shared" ca="1" si="400"/>
        <v>822</v>
      </c>
    </row>
    <row r="3601" spans="1:7" x14ac:dyDescent="0.3">
      <c r="A3601" s="5" t="str">
        <f t="shared" si="394"/>
        <v>Nike</v>
      </c>
      <c r="B3601" s="5" t="str">
        <f t="shared" si="396"/>
        <v>Air Max 270</v>
      </c>
      <c r="C3601" s="3">
        <f t="shared" si="395"/>
        <v>45897</v>
      </c>
      <c r="D3601" s="4">
        <f t="shared" ca="1" si="397"/>
        <v>129</v>
      </c>
      <c r="E3601" s="2">
        <f t="shared" ca="1" si="398"/>
        <v>8866</v>
      </c>
      <c r="F3601" s="2">
        <f t="shared" ca="1" si="399"/>
        <v>28821</v>
      </c>
      <c r="G3601" s="2">
        <f t="shared" ca="1" si="400"/>
        <v>1382</v>
      </c>
    </row>
    <row r="3602" spans="1:7" x14ac:dyDescent="0.3">
      <c r="A3602" s="5" t="str">
        <f t="shared" si="394"/>
        <v>Adidas</v>
      </c>
      <c r="B3602" s="5" t="str">
        <f t="shared" si="396"/>
        <v>Stan Smith</v>
      </c>
      <c r="C3602" s="3">
        <f t="shared" si="395"/>
        <v>45898</v>
      </c>
      <c r="D3602" s="4">
        <f t="shared" ca="1" si="397"/>
        <v>117</v>
      </c>
      <c r="E3602" s="2">
        <f t="shared" ca="1" si="398"/>
        <v>3009</v>
      </c>
      <c r="F3602" s="2">
        <f t="shared" ca="1" si="399"/>
        <v>34130</v>
      </c>
      <c r="G3602" s="2">
        <f t="shared" ca="1" si="400"/>
        <v>1047</v>
      </c>
    </row>
    <row r="3603" spans="1:7" x14ac:dyDescent="0.3">
      <c r="A3603" s="5" t="str">
        <f t="shared" si="394"/>
        <v>Puma</v>
      </c>
      <c r="B3603" s="5" t="str">
        <f t="shared" si="396"/>
        <v>Cali Dream</v>
      </c>
      <c r="C3603" s="3">
        <f t="shared" si="395"/>
        <v>45898</v>
      </c>
      <c r="D3603" s="4">
        <f t="shared" ca="1" si="397"/>
        <v>70</v>
      </c>
      <c r="E3603" s="2">
        <f t="shared" ca="1" si="398"/>
        <v>9832</v>
      </c>
      <c r="F3603" s="2">
        <f t="shared" ca="1" si="399"/>
        <v>7126</v>
      </c>
      <c r="G3603" s="2">
        <f t="shared" ca="1" si="400"/>
        <v>158</v>
      </c>
    </row>
    <row r="3604" spans="1:7" x14ac:dyDescent="0.3">
      <c r="A3604" s="5" t="str">
        <f t="shared" si="394"/>
        <v>New Balance</v>
      </c>
      <c r="B3604" s="5" t="str">
        <f t="shared" si="396"/>
        <v>9060</v>
      </c>
      <c r="C3604" s="3">
        <f t="shared" si="395"/>
        <v>45898</v>
      </c>
      <c r="D3604" s="4">
        <f t="shared" ca="1" si="397"/>
        <v>163</v>
      </c>
      <c r="E3604" s="2">
        <f t="shared" ca="1" si="398"/>
        <v>10432</v>
      </c>
      <c r="F3604" s="2">
        <f t="shared" ca="1" si="399"/>
        <v>22569</v>
      </c>
      <c r="G3604" s="2">
        <f t="shared" ca="1" si="400"/>
        <v>1161</v>
      </c>
    </row>
    <row r="3605" spans="1:7" x14ac:dyDescent="0.3">
      <c r="A3605" s="5" t="str">
        <f t="shared" si="394"/>
        <v>Reebok</v>
      </c>
      <c r="B3605" s="5" t="str">
        <f t="shared" si="396"/>
        <v>Zig Kinetica</v>
      </c>
      <c r="C3605" s="3">
        <f t="shared" si="395"/>
        <v>45898</v>
      </c>
      <c r="D3605" s="4">
        <f t="shared" ca="1" si="397"/>
        <v>198</v>
      </c>
      <c r="E3605" s="2">
        <f t="shared" ca="1" si="398"/>
        <v>7975</v>
      </c>
      <c r="F3605" s="2">
        <f t="shared" ca="1" si="399"/>
        <v>28844</v>
      </c>
      <c r="G3605" s="2">
        <f t="shared" ca="1" si="400"/>
        <v>1960</v>
      </c>
    </row>
    <row r="3606" spans="1:7" x14ac:dyDescent="0.3">
      <c r="A3606" s="5" t="str">
        <f t="shared" si="394"/>
        <v>Nike</v>
      </c>
      <c r="B3606" s="5" t="str">
        <f t="shared" si="396"/>
        <v>Jordan 1</v>
      </c>
      <c r="C3606" s="3">
        <f t="shared" si="395"/>
        <v>45898</v>
      </c>
      <c r="D3606" s="4">
        <f t="shared" ca="1" si="397"/>
        <v>222</v>
      </c>
      <c r="E3606" s="2">
        <f t="shared" ca="1" si="398"/>
        <v>11248</v>
      </c>
      <c r="F3606" s="2">
        <f t="shared" ca="1" si="399"/>
        <v>26676</v>
      </c>
      <c r="G3606" s="2">
        <f t="shared" ca="1" si="400"/>
        <v>1333</v>
      </c>
    </row>
    <row r="3607" spans="1:7" x14ac:dyDescent="0.3">
      <c r="A3607" s="5" t="str">
        <f t="shared" si="394"/>
        <v>Adidas</v>
      </c>
      <c r="B3607" s="5" t="str">
        <f t="shared" si="396"/>
        <v>Ultraboost 23</v>
      </c>
      <c r="C3607" s="3">
        <f t="shared" si="395"/>
        <v>45898</v>
      </c>
      <c r="D3607" s="4">
        <f t="shared" ca="1" si="397"/>
        <v>204</v>
      </c>
      <c r="E3607" s="2">
        <f t="shared" ca="1" si="398"/>
        <v>8919</v>
      </c>
      <c r="F3607" s="2">
        <f t="shared" ca="1" si="399"/>
        <v>6420</v>
      </c>
      <c r="G3607" s="2">
        <f t="shared" ca="1" si="400"/>
        <v>173</v>
      </c>
    </row>
    <row r="3608" spans="1:7" x14ac:dyDescent="0.3">
      <c r="A3608" s="5" t="str">
        <f t="shared" si="394"/>
        <v>Puma</v>
      </c>
      <c r="B3608" s="5" t="str">
        <f t="shared" si="396"/>
        <v>RS-X</v>
      </c>
      <c r="C3608" s="3">
        <f t="shared" si="395"/>
        <v>45898</v>
      </c>
      <c r="D3608" s="4">
        <f t="shared" ca="1" si="397"/>
        <v>197</v>
      </c>
      <c r="E3608" s="2">
        <f t="shared" ca="1" si="398"/>
        <v>2305</v>
      </c>
      <c r="F3608" s="2">
        <f t="shared" ca="1" si="399"/>
        <v>12727</v>
      </c>
      <c r="G3608" s="2">
        <f t="shared" ca="1" si="400"/>
        <v>840</v>
      </c>
    </row>
    <row r="3609" spans="1:7" x14ac:dyDescent="0.3">
      <c r="A3609" s="5" t="str">
        <f t="shared" si="394"/>
        <v>New Balance</v>
      </c>
      <c r="B3609" s="5" t="str">
        <f t="shared" si="396"/>
        <v>2002R</v>
      </c>
      <c r="C3609" s="3">
        <f t="shared" si="395"/>
        <v>45898</v>
      </c>
      <c r="D3609" s="4">
        <f t="shared" ca="1" si="397"/>
        <v>89</v>
      </c>
      <c r="E3609" s="2">
        <f t="shared" ca="1" si="398"/>
        <v>9385</v>
      </c>
      <c r="F3609" s="2">
        <f t="shared" ca="1" si="399"/>
        <v>10400</v>
      </c>
      <c r="G3609" s="2">
        <f t="shared" ca="1" si="400"/>
        <v>436</v>
      </c>
    </row>
    <row r="3610" spans="1:7" x14ac:dyDescent="0.3">
      <c r="A3610" s="5" t="str">
        <f t="shared" si="394"/>
        <v>Reebok</v>
      </c>
      <c r="B3610" s="5" t="str">
        <f t="shared" si="396"/>
        <v>Instapump Fury</v>
      </c>
      <c r="C3610" s="3">
        <f t="shared" si="395"/>
        <v>45898</v>
      </c>
      <c r="D3610" s="4">
        <f t="shared" ca="1" si="397"/>
        <v>198</v>
      </c>
      <c r="E3610" s="2">
        <f t="shared" ca="1" si="398"/>
        <v>6212</v>
      </c>
      <c r="F3610" s="2">
        <f t="shared" ca="1" si="399"/>
        <v>33434</v>
      </c>
      <c r="G3610" s="2">
        <f t="shared" ca="1" si="400"/>
        <v>1256</v>
      </c>
    </row>
    <row r="3611" spans="1:7" x14ac:dyDescent="0.3">
      <c r="A3611" s="5" t="str">
        <f t="shared" si="394"/>
        <v>Nike</v>
      </c>
      <c r="B3611" s="5" t="str">
        <f t="shared" si="396"/>
        <v>Cortez</v>
      </c>
      <c r="C3611" s="3">
        <f t="shared" si="395"/>
        <v>45898</v>
      </c>
      <c r="D3611" s="4">
        <f t="shared" ca="1" si="397"/>
        <v>231</v>
      </c>
      <c r="E3611" s="2">
        <f t="shared" ca="1" si="398"/>
        <v>3650</v>
      </c>
      <c r="F3611" s="2">
        <f t="shared" ca="1" si="399"/>
        <v>24692</v>
      </c>
      <c r="G3611" s="2">
        <f t="shared" ca="1" si="400"/>
        <v>1318</v>
      </c>
    </row>
    <row r="3612" spans="1:7" x14ac:dyDescent="0.3">
      <c r="A3612" s="5" t="str">
        <f t="shared" si="394"/>
        <v>Adidas</v>
      </c>
      <c r="B3612" s="5" t="str">
        <f t="shared" si="396"/>
        <v>NMD S1</v>
      </c>
      <c r="C3612" s="3">
        <f t="shared" si="395"/>
        <v>45898</v>
      </c>
      <c r="D3612" s="4">
        <f t="shared" ca="1" si="397"/>
        <v>77</v>
      </c>
      <c r="E3612" s="2">
        <f t="shared" ca="1" si="398"/>
        <v>5612</v>
      </c>
      <c r="F3612" s="2">
        <f t="shared" ca="1" si="399"/>
        <v>19929</v>
      </c>
      <c r="G3612" s="2">
        <f t="shared" ca="1" si="400"/>
        <v>1473</v>
      </c>
    </row>
    <row r="3613" spans="1:7" x14ac:dyDescent="0.3">
      <c r="A3613" s="5" t="str">
        <f t="shared" si="394"/>
        <v>Puma</v>
      </c>
      <c r="B3613" s="5" t="str">
        <f t="shared" si="396"/>
        <v>Suede Classic</v>
      </c>
      <c r="C3613" s="3">
        <f t="shared" si="395"/>
        <v>45898</v>
      </c>
      <c r="D3613" s="4">
        <f t="shared" ca="1" si="397"/>
        <v>57</v>
      </c>
      <c r="E3613" s="2">
        <f t="shared" ca="1" si="398"/>
        <v>4246</v>
      </c>
      <c r="F3613" s="2">
        <f t="shared" ca="1" si="399"/>
        <v>33511</v>
      </c>
      <c r="G3613" s="2">
        <f t="shared" ca="1" si="400"/>
        <v>940</v>
      </c>
    </row>
    <row r="3614" spans="1:7" x14ac:dyDescent="0.3">
      <c r="A3614" s="5" t="str">
        <f t="shared" si="394"/>
        <v>New Balance</v>
      </c>
      <c r="B3614" s="5" t="str">
        <f t="shared" si="396"/>
        <v>990v6</v>
      </c>
      <c r="C3614" s="3">
        <f t="shared" si="395"/>
        <v>45898</v>
      </c>
      <c r="D3614" s="4">
        <f t="shared" ca="1" si="397"/>
        <v>219</v>
      </c>
      <c r="E3614" s="2">
        <f t="shared" ca="1" si="398"/>
        <v>7197</v>
      </c>
      <c r="F3614" s="2">
        <f t="shared" ca="1" si="399"/>
        <v>10157</v>
      </c>
      <c r="G3614" s="2">
        <f t="shared" ca="1" si="400"/>
        <v>395</v>
      </c>
    </row>
    <row r="3615" spans="1:7" x14ac:dyDescent="0.3">
      <c r="A3615" s="5" t="str">
        <f t="shared" si="394"/>
        <v>Reebok</v>
      </c>
      <c r="B3615" s="5" t="str">
        <f t="shared" si="396"/>
        <v>Nano X3</v>
      </c>
      <c r="C3615" s="3">
        <f t="shared" si="395"/>
        <v>45898</v>
      </c>
      <c r="D3615" s="4">
        <f t="shared" ca="1" si="397"/>
        <v>143</v>
      </c>
      <c r="E3615" s="2">
        <f t="shared" ca="1" si="398"/>
        <v>9185</v>
      </c>
      <c r="F3615" s="2">
        <f t="shared" ca="1" si="399"/>
        <v>26666</v>
      </c>
      <c r="G3615" s="2">
        <f t="shared" ca="1" si="400"/>
        <v>1398</v>
      </c>
    </row>
    <row r="3616" spans="1:7" x14ac:dyDescent="0.3">
      <c r="A3616" s="5" t="str">
        <f t="shared" si="394"/>
        <v>Nike</v>
      </c>
      <c r="B3616" s="5" t="str">
        <f t="shared" si="396"/>
        <v>Vaporfly 3</v>
      </c>
      <c r="C3616" s="3">
        <f t="shared" si="395"/>
        <v>45898</v>
      </c>
      <c r="D3616" s="4">
        <f t="shared" ca="1" si="397"/>
        <v>73</v>
      </c>
      <c r="E3616" s="2">
        <f t="shared" ca="1" si="398"/>
        <v>3020</v>
      </c>
      <c r="F3616" s="2">
        <f t="shared" ca="1" si="399"/>
        <v>13857</v>
      </c>
      <c r="G3616" s="2">
        <f t="shared" ca="1" si="400"/>
        <v>678</v>
      </c>
    </row>
    <row r="3617" spans="1:7" x14ac:dyDescent="0.3">
      <c r="A3617" s="5" t="str">
        <f t="shared" si="394"/>
        <v>Adidas</v>
      </c>
      <c r="B3617" s="5" t="str">
        <f t="shared" si="396"/>
        <v>Samba</v>
      </c>
      <c r="C3617" s="3">
        <f t="shared" si="395"/>
        <v>45899</v>
      </c>
      <c r="D3617" s="4">
        <f t="shared" ca="1" si="397"/>
        <v>195</v>
      </c>
      <c r="E3617" s="2">
        <f t="shared" ca="1" si="398"/>
        <v>10573</v>
      </c>
      <c r="F3617" s="2">
        <f t="shared" ca="1" si="399"/>
        <v>27884</v>
      </c>
      <c r="G3617" s="2">
        <f t="shared" ca="1" si="400"/>
        <v>907</v>
      </c>
    </row>
    <row r="3618" spans="1:7" x14ac:dyDescent="0.3">
      <c r="A3618" s="5" t="str">
        <f t="shared" si="394"/>
        <v>Puma</v>
      </c>
      <c r="B3618" s="5" t="str">
        <f t="shared" si="396"/>
        <v>Mayze</v>
      </c>
      <c r="C3618" s="3">
        <f t="shared" si="395"/>
        <v>45899</v>
      </c>
      <c r="D3618" s="4">
        <f t="shared" ca="1" si="397"/>
        <v>187</v>
      </c>
      <c r="E3618" s="2">
        <f t="shared" ca="1" si="398"/>
        <v>7442</v>
      </c>
      <c r="F3618" s="2">
        <f t="shared" ca="1" si="399"/>
        <v>10266</v>
      </c>
      <c r="G3618" s="2">
        <f t="shared" ca="1" si="400"/>
        <v>708</v>
      </c>
    </row>
    <row r="3619" spans="1:7" x14ac:dyDescent="0.3">
      <c r="A3619" s="5" t="str">
        <f t="shared" si="394"/>
        <v>New Balance</v>
      </c>
      <c r="B3619" s="5" t="str">
        <f t="shared" si="396"/>
        <v>574 Core</v>
      </c>
      <c r="C3619" s="3">
        <f t="shared" si="395"/>
        <v>45899</v>
      </c>
      <c r="D3619" s="4">
        <f t="shared" ca="1" si="397"/>
        <v>177</v>
      </c>
      <c r="E3619" s="2">
        <f t="shared" ca="1" si="398"/>
        <v>7698</v>
      </c>
      <c r="F3619" s="2">
        <f t="shared" ca="1" si="399"/>
        <v>18658</v>
      </c>
      <c r="G3619" s="2">
        <f t="shared" ca="1" si="400"/>
        <v>754</v>
      </c>
    </row>
    <row r="3620" spans="1:7" x14ac:dyDescent="0.3">
      <c r="A3620" s="5" t="str">
        <f t="shared" si="394"/>
        <v>Reebok</v>
      </c>
      <c r="B3620" s="5" t="str">
        <f t="shared" si="396"/>
        <v>Club C 85</v>
      </c>
      <c r="C3620" s="3">
        <f t="shared" si="395"/>
        <v>45899</v>
      </c>
      <c r="D3620" s="4">
        <f t="shared" ca="1" si="397"/>
        <v>117</v>
      </c>
      <c r="E3620" s="2">
        <f t="shared" ca="1" si="398"/>
        <v>2717</v>
      </c>
      <c r="F3620" s="2">
        <f t="shared" ca="1" si="399"/>
        <v>22211</v>
      </c>
      <c r="G3620" s="2">
        <f t="shared" ca="1" si="400"/>
        <v>639</v>
      </c>
    </row>
    <row r="3621" spans="1:7" x14ac:dyDescent="0.3">
      <c r="A3621" s="5" t="str">
        <f t="shared" si="394"/>
        <v>Nike</v>
      </c>
      <c r="B3621" s="5" t="str">
        <f t="shared" si="396"/>
        <v>Pegasus 40</v>
      </c>
      <c r="C3621" s="3">
        <f t="shared" si="395"/>
        <v>45899</v>
      </c>
      <c r="D3621" s="4">
        <f t="shared" ca="1" si="397"/>
        <v>238</v>
      </c>
      <c r="E3621" s="2">
        <f t="shared" ca="1" si="398"/>
        <v>10992</v>
      </c>
      <c r="F3621" s="2">
        <f t="shared" ca="1" si="399"/>
        <v>17977</v>
      </c>
      <c r="G3621" s="2">
        <f t="shared" ca="1" si="400"/>
        <v>560</v>
      </c>
    </row>
    <row r="3622" spans="1:7" x14ac:dyDescent="0.3">
      <c r="A3622" s="5" t="str">
        <f t="shared" si="394"/>
        <v>Adidas</v>
      </c>
      <c r="B3622" s="5" t="str">
        <f t="shared" si="396"/>
        <v>Gazelle</v>
      </c>
      <c r="C3622" s="3">
        <f t="shared" si="395"/>
        <v>45899</v>
      </c>
      <c r="D3622" s="4">
        <f t="shared" ca="1" si="397"/>
        <v>168</v>
      </c>
      <c r="E3622" s="2">
        <f t="shared" ca="1" si="398"/>
        <v>2843</v>
      </c>
      <c r="F3622" s="2">
        <f t="shared" ca="1" si="399"/>
        <v>12379</v>
      </c>
      <c r="G3622" s="2">
        <f t="shared" ca="1" si="400"/>
        <v>363</v>
      </c>
    </row>
    <row r="3623" spans="1:7" x14ac:dyDescent="0.3">
      <c r="A3623" s="5" t="str">
        <f t="shared" si="394"/>
        <v>Puma</v>
      </c>
      <c r="B3623" s="5" t="str">
        <f t="shared" si="396"/>
        <v>Slipstream</v>
      </c>
      <c r="C3623" s="3">
        <f t="shared" si="395"/>
        <v>45899</v>
      </c>
      <c r="D3623" s="4">
        <f t="shared" ca="1" si="397"/>
        <v>138</v>
      </c>
      <c r="E3623" s="2">
        <f t="shared" ca="1" si="398"/>
        <v>5615</v>
      </c>
      <c r="F3623" s="2">
        <f t="shared" ca="1" si="399"/>
        <v>25851</v>
      </c>
      <c r="G3623" s="2">
        <f t="shared" ca="1" si="400"/>
        <v>544</v>
      </c>
    </row>
    <row r="3624" spans="1:7" x14ac:dyDescent="0.3">
      <c r="A3624" s="5" t="str">
        <f t="shared" si="394"/>
        <v>New Balance</v>
      </c>
      <c r="B3624" s="5" t="str">
        <f t="shared" si="396"/>
        <v>550</v>
      </c>
      <c r="C3624" s="3">
        <f t="shared" si="395"/>
        <v>45899</v>
      </c>
      <c r="D3624" s="4">
        <f t="shared" ca="1" si="397"/>
        <v>163</v>
      </c>
      <c r="E3624" s="2">
        <f t="shared" ca="1" si="398"/>
        <v>4620</v>
      </c>
      <c r="F3624" s="2">
        <f t="shared" ca="1" si="399"/>
        <v>14461</v>
      </c>
      <c r="G3624" s="2">
        <f t="shared" ca="1" si="400"/>
        <v>908</v>
      </c>
    </row>
    <row r="3625" spans="1:7" x14ac:dyDescent="0.3">
      <c r="A3625" s="5" t="str">
        <f t="shared" si="394"/>
        <v>Reebok</v>
      </c>
      <c r="B3625" s="5" t="str">
        <f t="shared" si="396"/>
        <v>Classic Leather</v>
      </c>
      <c r="C3625" s="3">
        <f t="shared" si="395"/>
        <v>45899</v>
      </c>
      <c r="D3625" s="4">
        <f t="shared" ca="1" si="397"/>
        <v>83</v>
      </c>
      <c r="E3625" s="2">
        <f t="shared" ca="1" si="398"/>
        <v>11022</v>
      </c>
      <c r="F3625" s="2">
        <f t="shared" ca="1" si="399"/>
        <v>5022</v>
      </c>
      <c r="G3625" s="2">
        <f t="shared" ca="1" si="400"/>
        <v>282</v>
      </c>
    </row>
    <row r="3626" spans="1:7" x14ac:dyDescent="0.3">
      <c r="A3626" s="5" t="str">
        <f t="shared" si="394"/>
        <v>Nike</v>
      </c>
      <c r="B3626" s="5" t="str">
        <f t="shared" si="396"/>
        <v>Air Force 1</v>
      </c>
      <c r="C3626" s="3">
        <f t="shared" si="395"/>
        <v>45899</v>
      </c>
      <c r="D3626" s="4">
        <f t="shared" ca="1" si="397"/>
        <v>86</v>
      </c>
      <c r="E3626" s="2">
        <f t="shared" ca="1" si="398"/>
        <v>2507</v>
      </c>
      <c r="F3626" s="2">
        <f t="shared" ca="1" si="399"/>
        <v>29790</v>
      </c>
      <c r="G3626" s="2">
        <f t="shared" ca="1" si="400"/>
        <v>1684</v>
      </c>
    </row>
    <row r="3627" spans="1:7" x14ac:dyDescent="0.3">
      <c r="A3627" s="5" t="str">
        <f t="shared" ref="A3627:A3690" si="401">CHOOSE(MOD(ROW(A3626),5)+1,"Nike","Adidas","Puma","New Balance","Reebok")</f>
        <v>Adidas</v>
      </c>
      <c r="B3627" s="5" t="str">
        <f t="shared" si="396"/>
        <v>Superstar</v>
      </c>
      <c r="C3627" s="3">
        <f t="shared" ref="C3627:C3690" si="402">DATE(2025,1,1)+INT((ROW(A3627)-2)/15)</f>
        <v>45899</v>
      </c>
      <c r="D3627" s="4">
        <f t="shared" ca="1" si="397"/>
        <v>104</v>
      </c>
      <c r="E3627" s="2">
        <f t="shared" ca="1" si="398"/>
        <v>6311</v>
      </c>
      <c r="F3627" s="2">
        <f t="shared" ca="1" si="399"/>
        <v>32649</v>
      </c>
      <c r="G3627" s="2">
        <f t="shared" ca="1" si="400"/>
        <v>1759</v>
      </c>
    </row>
    <row r="3628" spans="1:7" x14ac:dyDescent="0.3">
      <c r="A3628" s="5" t="str">
        <f t="shared" si="401"/>
        <v>Puma</v>
      </c>
      <c r="B3628" s="5" t="str">
        <f t="shared" si="396"/>
        <v>Rider Vintage</v>
      </c>
      <c r="C3628" s="3">
        <f t="shared" si="402"/>
        <v>45899</v>
      </c>
      <c r="D3628" s="4">
        <f t="shared" ca="1" si="397"/>
        <v>22</v>
      </c>
      <c r="E3628" s="2">
        <f t="shared" ca="1" si="398"/>
        <v>9110</v>
      </c>
      <c r="F3628" s="2">
        <f t="shared" ca="1" si="399"/>
        <v>9456</v>
      </c>
      <c r="G3628" s="2">
        <f t="shared" ca="1" si="400"/>
        <v>695</v>
      </c>
    </row>
    <row r="3629" spans="1:7" x14ac:dyDescent="0.3">
      <c r="A3629" s="5" t="str">
        <f t="shared" si="401"/>
        <v>New Balance</v>
      </c>
      <c r="B3629" s="5" t="str">
        <f t="shared" si="396"/>
        <v>327</v>
      </c>
      <c r="C3629" s="3">
        <f t="shared" si="402"/>
        <v>45899</v>
      </c>
      <c r="D3629" s="4">
        <f t="shared" ca="1" si="397"/>
        <v>91</v>
      </c>
      <c r="E3629" s="2">
        <f t="shared" ca="1" si="398"/>
        <v>1821</v>
      </c>
      <c r="F3629" s="2">
        <f t="shared" ca="1" si="399"/>
        <v>9869</v>
      </c>
      <c r="G3629" s="2">
        <f t="shared" ca="1" si="400"/>
        <v>244</v>
      </c>
    </row>
    <row r="3630" spans="1:7" x14ac:dyDescent="0.3">
      <c r="A3630" s="5" t="str">
        <f t="shared" si="401"/>
        <v>Reebok</v>
      </c>
      <c r="B3630" s="5" t="str">
        <f t="shared" si="396"/>
        <v>Question Mid</v>
      </c>
      <c r="C3630" s="3">
        <f t="shared" si="402"/>
        <v>45899</v>
      </c>
      <c r="D3630" s="4">
        <f t="shared" ca="1" si="397"/>
        <v>191</v>
      </c>
      <c r="E3630" s="2">
        <f t="shared" ca="1" si="398"/>
        <v>1724</v>
      </c>
      <c r="F3630" s="2">
        <f t="shared" ca="1" si="399"/>
        <v>8177</v>
      </c>
      <c r="G3630" s="2">
        <f t="shared" ca="1" si="400"/>
        <v>290</v>
      </c>
    </row>
    <row r="3631" spans="1:7" x14ac:dyDescent="0.3">
      <c r="A3631" s="5" t="str">
        <f t="shared" si="401"/>
        <v>Nike</v>
      </c>
      <c r="B3631" s="5" t="str">
        <f t="shared" si="396"/>
        <v>Air Max 270</v>
      </c>
      <c r="C3631" s="3">
        <f t="shared" si="402"/>
        <v>45899</v>
      </c>
      <c r="D3631" s="4">
        <f t="shared" ca="1" si="397"/>
        <v>79</v>
      </c>
      <c r="E3631" s="2">
        <f t="shared" ca="1" si="398"/>
        <v>7757</v>
      </c>
      <c r="F3631" s="2">
        <f t="shared" ca="1" si="399"/>
        <v>26704</v>
      </c>
      <c r="G3631" s="2">
        <f t="shared" ca="1" si="400"/>
        <v>1866</v>
      </c>
    </row>
    <row r="3632" spans="1:7" x14ac:dyDescent="0.3">
      <c r="A3632" s="5" t="str">
        <f t="shared" si="401"/>
        <v>Adidas</v>
      </c>
      <c r="B3632" s="5" t="str">
        <f t="shared" si="396"/>
        <v>Stan Smith</v>
      </c>
      <c r="C3632" s="3">
        <f t="shared" si="402"/>
        <v>45900</v>
      </c>
      <c r="D3632" s="4">
        <f t="shared" ca="1" si="397"/>
        <v>205</v>
      </c>
      <c r="E3632" s="2">
        <f t="shared" ca="1" si="398"/>
        <v>7204</v>
      </c>
      <c r="F3632" s="2">
        <f t="shared" ca="1" si="399"/>
        <v>16799</v>
      </c>
      <c r="G3632" s="2">
        <f t="shared" ca="1" si="400"/>
        <v>1024</v>
      </c>
    </row>
    <row r="3633" spans="1:7" x14ac:dyDescent="0.3">
      <c r="A3633" s="5" t="str">
        <f t="shared" si="401"/>
        <v>Puma</v>
      </c>
      <c r="B3633" s="5" t="str">
        <f t="shared" si="396"/>
        <v>Cali Dream</v>
      </c>
      <c r="C3633" s="3">
        <f t="shared" si="402"/>
        <v>45900</v>
      </c>
      <c r="D3633" s="4">
        <f t="shared" ca="1" si="397"/>
        <v>146</v>
      </c>
      <c r="E3633" s="2">
        <f t="shared" ca="1" si="398"/>
        <v>11360</v>
      </c>
      <c r="F3633" s="2">
        <f t="shared" ca="1" si="399"/>
        <v>19996</v>
      </c>
      <c r="G3633" s="2">
        <f t="shared" ca="1" si="400"/>
        <v>987</v>
      </c>
    </row>
    <row r="3634" spans="1:7" x14ac:dyDescent="0.3">
      <c r="A3634" s="5" t="str">
        <f t="shared" si="401"/>
        <v>New Balance</v>
      </c>
      <c r="B3634" s="5" t="str">
        <f t="shared" si="396"/>
        <v>9060</v>
      </c>
      <c r="C3634" s="3">
        <f t="shared" si="402"/>
        <v>45900</v>
      </c>
      <c r="D3634" s="4">
        <f t="shared" ca="1" si="397"/>
        <v>136</v>
      </c>
      <c r="E3634" s="2">
        <f t="shared" ca="1" si="398"/>
        <v>3976</v>
      </c>
      <c r="F3634" s="2">
        <f t="shared" ca="1" si="399"/>
        <v>12725</v>
      </c>
      <c r="G3634" s="2">
        <f t="shared" ca="1" si="400"/>
        <v>684</v>
      </c>
    </row>
    <row r="3635" spans="1:7" x14ac:dyDescent="0.3">
      <c r="A3635" s="5" t="str">
        <f t="shared" si="401"/>
        <v>Reebok</v>
      </c>
      <c r="B3635" s="5" t="str">
        <f t="shared" si="396"/>
        <v>Zig Kinetica</v>
      </c>
      <c r="C3635" s="3">
        <f t="shared" si="402"/>
        <v>45900</v>
      </c>
      <c r="D3635" s="4">
        <f t="shared" ca="1" si="397"/>
        <v>185</v>
      </c>
      <c r="E3635" s="2">
        <f t="shared" ca="1" si="398"/>
        <v>7260</v>
      </c>
      <c r="F3635" s="2">
        <f t="shared" ca="1" si="399"/>
        <v>28654</v>
      </c>
      <c r="G3635" s="2">
        <f t="shared" ca="1" si="400"/>
        <v>1038</v>
      </c>
    </row>
    <row r="3636" spans="1:7" x14ac:dyDescent="0.3">
      <c r="A3636" s="5" t="str">
        <f t="shared" si="401"/>
        <v>Nike</v>
      </c>
      <c r="B3636" s="5" t="str">
        <f t="shared" si="396"/>
        <v>Jordan 1</v>
      </c>
      <c r="C3636" s="3">
        <f t="shared" si="402"/>
        <v>45900</v>
      </c>
      <c r="D3636" s="4">
        <f t="shared" ca="1" si="397"/>
        <v>71</v>
      </c>
      <c r="E3636" s="2">
        <f t="shared" ca="1" si="398"/>
        <v>8954</v>
      </c>
      <c r="F3636" s="2">
        <f t="shared" ca="1" si="399"/>
        <v>31476</v>
      </c>
      <c r="G3636" s="2">
        <f t="shared" ca="1" si="400"/>
        <v>1567</v>
      </c>
    </row>
    <row r="3637" spans="1:7" x14ac:dyDescent="0.3">
      <c r="A3637" s="5" t="str">
        <f t="shared" si="401"/>
        <v>Adidas</v>
      </c>
      <c r="B3637" s="5" t="str">
        <f t="shared" si="396"/>
        <v>Ultraboost 23</v>
      </c>
      <c r="C3637" s="3">
        <f t="shared" si="402"/>
        <v>45900</v>
      </c>
      <c r="D3637" s="4">
        <f t="shared" ca="1" si="397"/>
        <v>71</v>
      </c>
      <c r="E3637" s="2">
        <f t="shared" ca="1" si="398"/>
        <v>5503</v>
      </c>
      <c r="F3637" s="2">
        <f t="shared" ca="1" si="399"/>
        <v>12012</v>
      </c>
      <c r="G3637" s="2">
        <f t="shared" ca="1" si="400"/>
        <v>322</v>
      </c>
    </row>
    <row r="3638" spans="1:7" x14ac:dyDescent="0.3">
      <c r="A3638" s="5" t="str">
        <f t="shared" si="401"/>
        <v>Puma</v>
      </c>
      <c r="B3638" s="5" t="str">
        <f t="shared" si="396"/>
        <v>RS-X</v>
      </c>
      <c r="C3638" s="3">
        <f t="shared" si="402"/>
        <v>45900</v>
      </c>
      <c r="D3638" s="4">
        <f t="shared" ca="1" si="397"/>
        <v>119</v>
      </c>
      <c r="E3638" s="2">
        <f t="shared" ca="1" si="398"/>
        <v>6166</v>
      </c>
      <c r="F3638" s="2">
        <f t="shared" ca="1" si="399"/>
        <v>17804</v>
      </c>
      <c r="G3638" s="2">
        <f t="shared" ca="1" si="400"/>
        <v>985</v>
      </c>
    </row>
    <row r="3639" spans="1:7" x14ac:dyDescent="0.3">
      <c r="A3639" s="5" t="str">
        <f t="shared" si="401"/>
        <v>New Balance</v>
      </c>
      <c r="B3639" s="5" t="str">
        <f t="shared" si="396"/>
        <v>2002R</v>
      </c>
      <c r="C3639" s="3">
        <f t="shared" si="402"/>
        <v>45900</v>
      </c>
      <c r="D3639" s="4">
        <f t="shared" ca="1" si="397"/>
        <v>56</v>
      </c>
      <c r="E3639" s="2">
        <f t="shared" ca="1" si="398"/>
        <v>9739</v>
      </c>
      <c r="F3639" s="2">
        <f t="shared" ca="1" si="399"/>
        <v>30115</v>
      </c>
      <c r="G3639" s="2">
        <f t="shared" ca="1" si="400"/>
        <v>1971</v>
      </c>
    </row>
    <row r="3640" spans="1:7" x14ac:dyDescent="0.3">
      <c r="A3640" s="5" t="str">
        <f t="shared" si="401"/>
        <v>Reebok</v>
      </c>
      <c r="B3640" s="5" t="str">
        <f t="shared" si="396"/>
        <v>Instapump Fury</v>
      </c>
      <c r="C3640" s="3">
        <f t="shared" si="402"/>
        <v>45900</v>
      </c>
      <c r="D3640" s="4">
        <f t="shared" ca="1" si="397"/>
        <v>139</v>
      </c>
      <c r="E3640" s="2">
        <f t="shared" ca="1" si="398"/>
        <v>2748</v>
      </c>
      <c r="F3640" s="2">
        <f t="shared" ca="1" si="399"/>
        <v>7861</v>
      </c>
      <c r="G3640" s="2">
        <f t="shared" ca="1" si="400"/>
        <v>460</v>
      </c>
    </row>
    <row r="3641" spans="1:7" x14ac:dyDescent="0.3">
      <c r="A3641" s="5" t="str">
        <f t="shared" si="401"/>
        <v>Nike</v>
      </c>
      <c r="B3641" s="5" t="str">
        <f t="shared" si="396"/>
        <v>Cortez</v>
      </c>
      <c r="C3641" s="3">
        <f t="shared" si="402"/>
        <v>45900</v>
      </c>
      <c r="D3641" s="4">
        <f t="shared" ca="1" si="397"/>
        <v>35</v>
      </c>
      <c r="E3641" s="2">
        <f t="shared" ca="1" si="398"/>
        <v>2659</v>
      </c>
      <c r="F3641" s="2">
        <f t="shared" ca="1" si="399"/>
        <v>29458</v>
      </c>
      <c r="G3641" s="2">
        <f t="shared" ca="1" si="400"/>
        <v>1505</v>
      </c>
    </row>
    <row r="3642" spans="1:7" x14ac:dyDescent="0.3">
      <c r="A3642" s="5" t="str">
        <f t="shared" si="401"/>
        <v>Adidas</v>
      </c>
      <c r="B3642" s="5" t="str">
        <f t="shared" si="396"/>
        <v>NMD S1</v>
      </c>
      <c r="C3642" s="3">
        <f t="shared" si="402"/>
        <v>45900</v>
      </c>
      <c r="D3642" s="4">
        <f t="shared" ca="1" si="397"/>
        <v>35</v>
      </c>
      <c r="E3642" s="2">
        <f t="shared" ca="1" si="398"/>
        <v>8513</v>
      </c>
      <c r="F3642" s="2">
        <f t="shared" ca="1" si="399"/>
        <v>24984</v>
      </c>
      <c r="G3642" s="2">
        <f t="shared" ca="1" si="400"/>
        <v>1232</v>
      </c>
    </row>
    <row r="3643" spans="1:7" x14ac:dyDescent="0.3">
      <c r="A3643" s="5" t="str">
        <f t="shared" si="401"/>
        <v>Puma</v>
      </c>
      <c r="B3643" s="5" t="str">
        <f t="shared" si="396"/>
        <v>Suede Classic</v>
      </c>
      <c r="C3643" s="3">
        <f t="shared" si="402"/>
        <v>45900</v>
      </c>
      <c r="D3643" s="4">
        <f t="shared" ca="1" si="397"/>
        <v>42</v>
      </c>
      <c r="E3643" s="2">
        <f t="shared" ca="1" si="398"/>
        <v>1692</v>
      </c>
      <c r="F3643" s="2">
        <f t="shared" ca="1" si="399"/>
        <v>27449</v>
      </c>
      <c r="G3643" s="2">
        <f t="shared" ca="1" si="400"/>
        <v>655</v>
      </c>
    </row>
    <row r="3644" spans="1:7" x14ac:dyDescent="0.3">
      <c r="A3644" s="5" t="str">
        <f t="shared" si="401"/>
        <v>New Balance</v>
      </c>
      <c r="B3644" s="5" t="str">
        <f t="shared" si="396"/>
        <v>990v6</v>
      </c>
      <c r="C3644" s="3">
        <f t="shared" si="402"/>
        <v>45900</v>
      </c>
      <c r="D3644" s="4">
        <f t="shared" ca="1" si="397"/>
        <v>20</v>
      </c>
      <c r="E3644" s="2">
        <f t="shared" ca="1" si="398"/>
        <v>9273</v>
      </c>
      <c r="F3644" s="2">
        <f t="shared" ca="1" si="399"/>
        <v>19276</v>
      </c>
      <c r="G3644" s="2">
        <f t="shared" ca="1" si="400"/>
        <v>627</v>
      </c>
    </row>
    <row r="3645" spans="1:7" x14ac:dyDescent="0.3">
      <c r="A3645" s="5" t="str">
        <f t="shared" si="401"/>
        <v>Reebok</v>
      </c>
      <c r="B3645" s="5" t="str">
        <f t="shared" si="396"/>
        <v>Nano X3</v>
      </c>
      <c r="C3645" s="3">
        <f t="shared" si="402"/>
        <v>45900</v>
      </c>
      <c r="D3645" s="4">
        <f t="shared" ca="1" si="397"/>
        <v>85</v>
      </c>
      <c r="E3645" s="2">
        <f t="shared" ca="1" si="398"/>
        <v>5813</v>
      </c>
      <c r="F3645" s="2">
        <f t="shared" ca="1" si="399"/>
        <v>13053</v>
      </c>
      <c r="G3645" s="2">
        <f t="shared" ca="1" si="400"/>
        <v>610</v>
      </c>
    </row>
    <row r="3646" spans="1:7" x14ac:dyDescent="0.3">
      <c r="A3646" s="5" t="str">
        <f t="shared" si="401"/>
        <v>Nike</v>
      </c>
      <c r="B3646" s="5" t="str">
        <f t="shared" si="396"/>
        <v>Vaporfly 3</v>
      </c>
      <c r="C3646" s="3">
        <f t="shared" si="402"/>
        <v>45900</v>
      </c>
      <c r="D3646" s="4">
        <f t="shared" ca="1" si="397"/>
        <v>228</v>
      </c>
      <c r="E3646" s="2">
        <f t="shared" ca="1" si="398"/>
        <v>1921</v>
      </c>
      <c r="F3646" s="2">
        <f t="shared" ca="1" si="399"/>
        <v>24705</v>
      </c>
      <c r="G3646" s="2">
        <f t="shared" ca="1" si="400"/>
        <v>530</v>
      </c>
    </row>
    <row r="3647" spans="1:7" x14ac:dyDescent="0.3">
      <c r="A3647" s="5" t="str">
        <f t="shared" si="401"/>
        <v>Adidas</v>
      </c>
      <c r="B3647" s="5" t="str">
        <f t="shared" si="396"/>
        <v>Samba</v>
      </c>
      <c r="C3647" s="3">
        <f t="shared" si="402"/>
        <v>45901</v>
      </c>
      <c r="D3647" s="4">
        <f t="shared" ca="1" si="397"/>
        <v>134</v>
      </c>
      <c r="E3647" s="2">
        <f t="shared" ca="1" si="398"/>
        <v>7018</v>
      </c>
      <c r="F3647" s="2">
        <f t="shared" ca="1" si="399"/>
        <v>21655</v>
      </c>
      <c r="G3647" s="2">
        <f t="shared" ca="1" si="400"/>
        <v>1567</v>
      </c>
    </row>
    <row r="3648" spans="1:7" x14ac:dyDescent="0.3">
      <c r="A3648" s="5" t="str">
        <f t="shared" si="401"/>
        <v>Puma</v>
      </c>
      <c r="B3648" s="5" t="str">
        <f t="shared" si="396"/>
        <v>Mayze</v>
      </c>
      <c r="C3648" s="3">
        <f t="shared" si="402"/>
        <v>45901</v>
      </c>
      <c r="D3648" s="4">
        <f t="shared" ca="1" si="397"/>
        <v>55</v>
      </c>
      <c r="E3648" s="2">
        <f t="shared" ca="1" si="398"/>
        <v>9080</v>
      </c>
      <c r="F3648" s="2">
        <f t="shared" ca="1" si="399"/>
        <v>6734</v>
      </c>
      <c r="G3648" s="2">
        <f t="shared" ca="1" si="400"/>
        <v>321</v>
      </c>
    </row>
    <row r="3649" spans="1:7" x14ac:dyDescent="0.3">
      <c r="A3649" s="5" t="str">
        <f t="shared" si="401"/>
        <v>New Balance</v>
      </c>
      <c r="B3649" s="5" t="str">
        <f t="shared" si="396"/>
        <v>574 Core</v>
      </c>
      <c r="C3649" s="3">
        <f t="shared" si="402"/>
        <v>45901</v>
      </c>
      <c r="D3649" s="4">
        <f t="shared" ca="1" si="397"/>
        <v>118</v>
      </c>
      <c r="E3649" s="2">
        <f t="shared" ca="1" si="398"/>
        <v>5681</v>
      </c>
      <c r="F3649" s="2">
        <f t="shared" ca="1" si="399"/>
        <v>27949</v>
      </c>
      <c r="G3649" s="2">
        <f t="shared" ca="1" si="400"/>
        <v>1909</v>
      </c>
    </row>
    <row r="3650" spans="1:7" x14ac:dyDescent="0.3">
      <c r="A3650" s="5" t="str">
        <f t="shared" si="401"/>
        <v>Reebok</v>
      </c>
      <c r="B3650" s="5" t="str">
        <f t="shared" si="396"/>
        <v>Club C 85</v>
      </c>
      <c r="C3650" s="3">
        <f t="shared" si="402"/>
        <v>45901</v>
      </c>
      <c r="D3650" s="4">
        <f t="shared" ca="1" si="397"/>
        <v>36</v>
      </c>
      <c r="E3650" s="2">
        <f t="shared" ca="1" si="398"/>
        <v>7876</v>
      </c>
      <c r="F3650" s="2">
        <f t="shared" ca="1" si="399"/>
        <v>5605</v>
      </c>
      <c r="G3650" s="2">
        <f t="shared" ca="1" si="400"/>
        <v>158</v>
      </c>
    </row>
    <row r="3651" spans="1:7" x14ac:dyDescent="0.3">
      <c r="A3651" s="5" t="str">
        <f t="shared" si="401"/>
        <v>Nike</v>
      </c>
      <c r="B3651" s="5" t="str">
        <f t="shared" ref="B3651:B3714" si="403">IF(A3651="Nike",CHOOSE(MOD(ROW(A3650),6)+1,"Air Max 270","Air Force 1","Pegasus 40","Vaporfly 3","Cortez","Jordan 1"),
 IF(A3651="Adidas",CHOOSE(MOD(ROW(A3650),6)+1,"Ultraboost 23","Stan Smith","Superstar","Gazelle","Samba","NMD S1"),
 IF(A3651="Puma",CHOOSE(MOD(ROW(A3650),6)+1,"Suede Classic","RS-X","Cali Dream","Rider Vintage","Slipstream","Mayze"),
 IF(A3651="New Balance",CHOOSE(MOD(ROW(A3650),6)+1,"574 Core","990v6","2002R","9060","327","550"),
 IF(A3651="Reebok",CHOOSE(MOD(ROW(A3650),6)+1,"Classic Leather","Club C 85","Nano X3","Instapump Fury","Zig Kinetica","Question Mid"),"")))))</f>
        <v>Pegasus 40</v>
      </c>
      <c r="C3651" s="3">
        <f t="shared" si="402"/>
        <v>45901</v>
      </c>
      <c r="D3651" s="4">
        <f t="shared" ref="D3651:D3714" ca="1" si="404">RANDBETWEEN(20,250)</f>
        <v>203</v>
      </c>
      <c r="E3651" s="2">
        <f t="shared" ref="E3651:E3714" ca="1" si="405">ROUND(RANDBETWEEN(1500,12000)+(RANDBETWEEN(-200,200)),2)</f>
        <v>5274</v>
      </c>
      <c r="F3651" s="2">
        <f t="shared" ref="F3651:F3714" ca="1" si="406">RANDBETWEEN(5000,35000)</f>
        <v>13789</v>
      </c>
      <c r="G3651" s="2">
        <f t="shared" ref="G3651:G3714" ca="1" si="407">RANDBETWEEN(ROUND(F3651*0.02,0),ROUND(F3651*0.08,0))</f>
        <v>716</v>
      </c>
    </row>
    <row r="3652" spans="1:7" x14ac:dyDescent="0.3">
      <c r="A3652" s="5" t="str">
        <f t="shared" si="401"/>
        <v>Adidas</v>
      </c>
      <c r="B3652" s="5" t="str">
        <f t="shared" si="403"/>
        <v>Gazelle</v>
      </c>
      <c r="C3652" s="3">
        <f t="shared" si="402"/>
        <v>45901</v>
      </c>
      <c r="D3652" s="4">
        <f t="shared" ca="1" si="404"/>
        <v>195</v>
      </c>
      <c r="E3652" s="2">
        <f t="shared" ca="1" si="405"/>
        <v>11541</v>
      </c>
      <c r="F3652" s="2">
        <f t="shared" ca="1" si="406"/>
        <v>23140</v>
      </c>
      <c r="G3652" s="2">
        <f t="shared" ca="1" si="407"/>
        <v>829</v>
      </c>
    </row>
    <row r="3653" spans="1:7" x14ac:dyDescent="0.3">
      <c r="A3653" s="5" t="str">
        <f t="shared" si="401"/>
        <v>Puma</v>
      </c>
      <c r="B3653" s="5" t="str">
        <f t="shared" si="403"/>
        <v>Slipstream</v>
      </c>
      <c r="C3653" s="3">
        <f t="shared" si="402"/>
        <v>45901</v>
      </c>
      <c r="D3653" s="4">
        <f t="shared" ca="1" si="404"/>
        <v>211</v>
      </c>
      <c r="E3653" s="2">
        <f t="shared" ca="1" si="405"/>
        <v>1794</v>
      </c>
      <c r="F3653" s="2">
        <f t="shared" ca="1" si="406"/>
        <v>11926</v>
      </c>
      <c r="G3653" s="2">
        <f t="shared" ca="1" si="407"/>
        <v>884</v>
      </c>
    </row>
    <row r="3654" spans="1:7" x14ac:dyDescent="0.3">
      <c r="A3654" s="5" t="str">
        <f t="shared" si="401"/>
        <v>New Balance</v>
      </c>
      <c r="B3654" s="5" t="str">
        <f t="shared" si="403"/>
        <v>550</v>
      </c>
      <c r="C3654" s="3">
        <f t="shared" si="402"/>
        <v>45901</v>
      </c>
      <c r="D3654" s="4">
        <f t="shared" ca="1" si="404"/>
        <v>116</v>
      </c>
      <c r="E3654" s="2">
        <f t="shared" ca="1" si="405"/>
        <v>3940</v>
      </c>
      <c r="F3654" s="2">
        <f t="shared" ca="1" si="406"/>
        <v>11828</v>
      </c>
      <c r="G3654" s="2">
        <f t="shared" ca="1" si="407"/>
        <v>409</v>
      </c>
    </row>
    <row r="3655" spans="1:7" x14ac:dyDescent="0.3">
      <c r="A3655" s="5" t="str">
        <f t="shared" si="401"/>
        <v>Reebok</v>
      </c>
      <c r="B3655" s="5" t="str">
        <f t="shared" si="403"/>
        <v>Classic Leather</v>
      </c>
      <c r="C3655" s="3">
        <f t="shared" si="402"/>
        <v>45901</v>
      </c>
      <c r="D3655" s="4">
        <f t="shared" ca="1" si="404"/>
        <v>199</v>
      </c>
      <c r="E3655" s="2">
        <f t="shared" ca="1" si="405"/>
        <v>1633</v>
      </c>
      <c r="F3655" s="2">
        <f t="shared" ca="1" si="406"/>
        <v>33884</v>
      </c>
      <c r="G3655" s="2">
        <f t="shared" ca="1" si="407"/>
        <v>2371</v>
      </c>
    </row>
    <row r="3656" spans="1:7" x14ac:dyDescent="0.3">
      <c r="A3656" s="5" t="str">
        <f t="shared" si="401"/>
        <v>Nike</v>
      </c>
      <c r="B3656" s="5" t="str">
        <f t="shared" si="403"/>
        <v>Air Force 1</v>
      </c>
      <c r="C3656" s="3">
        <f t="shared" si="402"/>
        <v>45901</v>
      </c>
      <c r="D3656" s="4">
        <f t="shared" ca="1" si="404"/>
        <v>183</v>
      </c>
      <c r="E3656" s="2">
        <f t="shared" ca="1" si="405"/>
        <v>5315</v>
      </c>
      <c r="F3656" s="2">
        <f t="shared" ca="1" si="406"/>
        <v>22892</v>
      </c>
      <c r="G3656" s="2">
        <f t="shared" ca="1" si="407"/>
        <v>901</v>
      </c>
    </row>
    <row r="3657" spans="1:7" x14ac:dyDescent="0.3">
      <c r="A3657" s="5" t="str">
        <f t="shared" si="401"/>
        <v>Adidas</v>
      </c>
      <c r="B3657" s="5" t="str">
        <f t="shared" si="403"/>
        <v>Superstar</v>
      </c>
      <c r="C3657" s="3">
        <f t="shared" si="402"/>
        <v>45901</v>
      </c>
      <c r="D3657" s="4">
        <f t="shared" ca="1" si="404"/>
        <v>176</v>
      </c>
      <c r="E3657" s="2">
        <f t="shared" ca="1" si="405"/>
        <v>6936</v>
      </c>
      <c r="F3657" s="2">
        <f t="shared" ca="1" si="406"/>
        <v>30916</v>
      </c>
      <c r="G3657" s="2">
        <f t="shared" ca="1" si="407"/>
        <v>2260</v>
      </c>
    </row>
    <row r="3658" spans="1:7" x14ac:dyDescent="0.3">
      <c r="A3658" s="5" t="str">
        <f t="shared" si="401"/>
        <v>Puma</v>
      </c>
      <c r="B3658" s="5" t="str">
        <f t="shared" si="403"/>
        <v>Rider Vintage</v>
      </c>
      <c r="C3658" s="3">
        <f t="shared" si="402"/>
        <v>45901</v>
      </c>
      <c r="D3658" s="4">
        <f t="shared" ca="1" si="404"/>
        <v>224</v>
      </c>
      <c r="E3658" s="2">
        <f t="shared" ca="1" si="405"/>
        <v>7447</v>
      </c>
      <c r="F3658" s="2">
        <f t="shared" ca="1" si="406"/>
        <v>12949</v>
      </c>
      <c r="G3658" s="2">
        <f t="shared" ca="1" si="407"/>
        <v>880</v>
      </c>
    </row>
    <row r="3659" spans="1:7" x14ac:dyDescent="0.3">
      <c r="A3659" s="5" t="str">
        <f t="shared" si="401"/>
        <v>New Balance</v>
      </c>
      <c r="B3659" s="5" t="str">
        <f t="shared" si="403"/>
        <v>327</v>
      </c>
      <c r="C3659" s="3">
        <f t="shared" si="402"/>
        <v>45901</v>
      </c>
      <c r="D3659" s="4">
        <f t="shared" ca="1" si="404"/>
        <v>201</v>
      </c>
      <c r="E3659" s="2">
        <f t="shared" ca="1" si="405"/>
        <v>4364</v>
      </c>
      <c r="F3659" s="2">
        <f t="shared" ca="1" si="406"/>
        <v>29052</v>
      </c>
      <c r="G3659" s="2">
        <f t="shared" ca="1" si="407"/>
        <v>2009</v>
      </c>
    </row>
    <row r="3660" spans="1:7" x14ac:dyDescent="0.3">
      <c r="A3660" s="5" t="str">
        <f t="shared" si="401"/>
        <v>Reebok</v>
      </c>
      <c r="B3660" s="5" t="str">
        <f t="shared" si="403"/>
        <v>Question Mid</v>
      </c>
      <c r="C3660" s="3">
        <f t="shared" si="402"/>
        <v>45901</v>
      </c>
      <c r="D3660" s="4">
        <f t="shared" ca="1" si="404"/>
        <v>232</v>
      </c>
      <c r="E3660" s="2">
        <f t="shared" ca="1" si="405"/>
        <v>3001</v>
      </c>
      <c r="F3660" s="2">
        <f t="shared" ca="1" si="406"/>
        <v>7651</v>
      </c>
      <c r="G3660" s="2">
        <f t="shared" ca="1" si="407"/>
        <v>465</v>
      </c>
    </row>
    <row r="3661" spans="1:7" x14ac:dyDescent="0.3">
      <c r="A3661" s="5" t="str">
        <f t="shared" si="401"/>
        <v>Nike</v>
      </c>
      <c r="B3661" s="5" t="str">
        <f t="shared" si="403"/>
        <v>Air Max 270</v>
      </c>
      <c r="C3661" s="3">
        <f t="shared" si="402"/>
        <v>45901</v>
      </c>
      <c r="D3661" s="4">
        <f t="shared" ca="1" si="404"/>
        <v>192</v>
      </c>
      <c r="E3661" s="2">
        <f t="shared" ca="1" si="405"/>
        <v>3730</v>
      </c>
      <c r="F3661" s="2">
        <f t="shared" ca="1" si="406"/>
        <v>27529</v>
      </c>
      <c r="G3661" s="2">
        <f t="shared" ca="1" si="407"/>
        <v>1098</v>
      </c>
    </row>
    <row r="3662" spans="1:7" x14ac:dyDescent="0.3">
      <c r="A3662" s="5" t="str">
        <f t="shared" si="401"/>
        <v>Adidas</v>
      </c>
      <c r="B3662" s="5" t="str">
        <f t="shared" si="403"/>
        <v>Stan Smith</v>
      </c>
      <c r="C3662" s="3">
        <f t="shared" si="402"/>
        <v>45902</v>
      </c>
      <c r="D3662" s="4">
        <f t="shared" ca="1" si="404"/>
        <v>218</v>
      </c>
      <c r="E3662" s="2">
        <f t="shared" ca="1" si="405"/>
        <v>7401</v>
      </c>
      <c r="F3662" s="2">
        <f t="shared" ca="1" si="406"/>
        <v>7902</v>
      </c>
      <c r="G3662" s="2">
        <f t="shared" ca="1" si="407"/>
        <v>598</v>
      </c>
    </row>
    <row r="3663" spans="1:7" x14ac:dyDescent="0.3">
      <c r="A3663" s="5" t="str">
        <f t="shared" si="401"/>
        <v>Puma</v>
      </c>
      <c r="B3663" s="5" t="str">
        <f t="shared" si="403"/>
        <v>Cali Dream</v>
      </c>
      <c r="C3663" s="3">
        <f t="shared" si="402"/>
        <v>45902</v>
      </c>
      <c r="D3663" s="4">
        <f t="shared" ca="1" si="404"/>
        <v>218</v>
      </c>
      <c r="E3663" s="2">
        <f t="shared" ca="1" si="405"/>
        <v>11086</v>
      </c>
      <c r="F3663" s="2">
        <f t="shared" ca="1" si="406"/>
        <v>18164</v>
      </c>
      <c r="G3663" s="2">
        <f t="shared" ca="1" si="407"/>
        <v>945</v>
      </c>
    </row>
    <row r="3664" spans="1:7" x14ac:dyDescent="0.3">
      <c r="A3664" s="5" t="str">
        <f t="shared" si="401"/>
        <v>New Balance</v>
      </c>
      <c r="B3664" s="5" t="str">
        <f t="shared" si="403"/>
        <v>9060</v>
      </c>
      <c r="C3664" s="3">
        <f t="shared" si="402"/>
        <v>45902</v>
      </c>
      <c r="D3664" s="4">
        <f t="shared" ca="1" si="404"/>
        <v>246</v>
      </c>
      <c r="E3664" s="2">
        <f t="shared" ca="1" si="405"/>
        <v>7455</v>
      </c>
      <c r="F3664" s="2">
        <f t="shared" ca="1" si="406"/>
        <v>29677</v>
      </c>
      <c r="G3664" s="2">
        <f t="shared" ca="1" si="407"/>
        <v>1495</v>
      </c>
    </row>
    <row r="3665" spans="1:7" x14ac:dyDescent="0.3">
      <c r="A3665" s="5" t="str">
        <f t="shared" si="401"/>
        <v>Reebok</v>
      </c>
      <c r="B3665" s="5" t="str">
        <f t="shared" si="403"/>
        <v>Zig Kinetica</v>
      </c>
      <c r="C3665" s="3">
        <f t="shared" si="402"/>
        <v>45902</v>
      </c>
      <c r="D3665" s="4">
        <f t="shared" ca="1" si="404"/>
        <v>209</v>
      </c>
      <c r="E3665" s="2">
        <f t="shared" ca="1" si="405"/>
        <v>6418</v>
      </c>
      <c r="F3665" s="2">
        <f t="shared" ca="1" si="406"/>
        <v>31244</v>
      </c>
      <c r="G3665" s="2">
        <f t="shared" ca="1" si="407"/>
        <v>1650</v>
      </c>
    </row>
    <row r="3666" spans="1:7" x14ac:dyDescent="0.3">
      <c r="A3666" s="5" t="str">
        <f t="shared" si="401"/>
        <v>Nike</v>
      </c>
      <c r="B3666" s="5" t="str">
        <f t="shared" si="403"/>
        <v>Jordan 1</v>
      </c>
      <c r="C3666" s="3">
        <f t="shared" si="402"/>
        <v>45902</v>
      </c>
      <c r="D3666" s="4">
        <f t="shared" ca="1" si="404"/>
        <v>195</v>
      </c>
      <c r="E3666" s="2">
        <f t="shared" ca="1" si="405"/>
        <v>8671</v>
      </c>
      <c r="F3666" s="2">
        <f t="shared" ca="1" si="406"/>
        <v>6720</v>
      </c>
      <c r="G3666" s="2">
        <f t="shared" ca="1" si="407"/>
        <v>416</v>
      </c>
    </row>
    <row r="3667" spans="1:7" x14ac:dyDescent="0.3">
      <c r="A3667" s="5" t="str">
        <f t="shared" si="401"/>
        <v>Adidas</v>
      </c>
      <c r="B3667" s="5" t="str">
        <f t="shared" si="403"/>
        <v>Ultraboost 23</v>
      </c>
      <c r="C3667" s="3">
        <f t="shared" si="402"/>
        <v>45902</v>
      </c>
      <c r="D3667" s="4">
        <f t="shared" ca="1" si="404"/>
        <v>67</v>
      </c>
      <c r="E3667" s="2">
        <f t="shared" ca="1" si="405"/>
        <v>3755</v>
      </c>
      <c r="F3667" s="2">
        <f t="shared" ca="1" si="406"/>
        <v>30350</v>
      </c>
      <c r="G3667" s="2">
        <f t="shared" ca="1" si="407"/>
        <v>1141</v>
      </c>
    </row>
    <row r="3668" spans="1:7" x14ac:dyDescent="0.3">
      <c r="A3668" s="5" t="str">
        <f t="shared" si="401"/>
        <v>Puma</v>
      </c>
      <c r="B3668" s="5" t="str">
        <f t="shared" si="403"/>
        <v>RS-X</v>
      </c>
      <c r="C3668" s="3">
        <f t="shared" si="402"/>
        <v>45902</v>
      </c>
      <c r="D3668" s="4">
        <f t="shared" ca="1" si="404"/>
        <v>152</v>
      </c>
      <c r="E3668" s="2">
        <f t="shared" ca="1" si="405"/>
        <v>2210</v>
      </c>
      <c r="F3668" s="2">
        <f t="shared" ca="1" si="406"/>
        <v>34612</v>
      </c>
      <c r="G3668" s="2">
        <f t="shared" ca="1" si="407"/>
        <v>1274</v>
      </c>
    </row>
    <row r="3669" spans="1:7" x14ac:dyDescent="0.3">
      <c r="A3669" s="5" t="str">
        <f t="shared" si="401"/>
        <v>New Balance</v>
      </c>
      <c r="B3669" s="5" t="str">
        <f t="shared" si="403"/>
        <v>2002R</v>
      </c>
      <c r="C3669" s="3">
        <f t="shared" si="402"/>
        <v>45902</v>
      </c>
      <c r="D3669" s="4">
        <f t="shared" ca="1" si="404"/>
        <v>107</v>
      </c>
      <c r="E3669" s="2">
        <f t="shared" ca="1" si="405"/>
        <v>11878</v>
      </c>
      <c r="F3669" s="2">
        <f t="shared" ca="1" si="406"/>
        <v>10675</v>
      </c>
      <c r="G3669" s="2">
        <f t="shared" ca="1" si="407"/>
        <v>529</v>
      </c>
    </row>
    <row r="3670" spans="1:7" x14ac:dyDescent="0.3">
      <c r="A3670" s="5" t="str">
        <f t="shared" si="401"/>
        <v>Reebok</v>
      </c>
      <c r="B3670" s="5" t="str">
        <f t="shared" si="403"/>
        <v>Instapump Fury</v>
      </c>
      <c r="C3670" s="3">
        <f t="shared" si="402"/>
        <v>45902</v>
      </c>
      <c r="D3670" s="4">
        <f t="shared" ca="1" si="404"/>
        <v>134</v>
      </c>
      <c r="E3670" s="2">
        <f t="shared" ca="1" si="405"/>
        <v>7069</v>
      </c>
      <c r="F3670" s="2">
        <f t="shared" ca="1" si="406"/>
        <v>10408</v>
      </c>
      <c r="G3670" s="2">
        <f t="shared" ca="1" si="407"/>
        <v>447</v>
      </c>
    </row>
    <row r="3671" spans="1:7" x14ac:dyDescent="0.3">
      <c r="A3671" s="5" t="str">
        <f t="shared" si="401"/>
        <v>Nike</v>
      </c>
      <c r="B3671" s="5" t="str">
        <f t="shared" si="403"/>
        <v>Cortez</v>
      </c>
      <c r="C3671" s="3">
        <f t="shared" si="402"/>
        <v>45902</v>
      </c>
      <c r="D3671" s="4">
        <f t="shared" ca="1" si="404"/>
        <v>46</v>
      </c>
      <c r="E3671" s="2">
        <f t="shared" ca="1" si="405"/>
        <v>11639</v>
      </c>
      <c r="F3671" s="2">
        <f t="shared" ca="1" si="406"/>
        <v>27579</v>
      </c>
      <c r="G3671" s="2">
        <f t="shared" ca="1" si="407"/>
        <v>2174</v>
      </c>
    </row>
    <row r="3672" spans="1:7" x14ac:dyDescent="0.3">
      <c r="A3672" s="5" t="str">
        <f t="shared" si="401"/>
        <v>Adidas</v>
      </c>
      <c r="B3672" s="5" t="str">
        <f t="shared" si="403"/>
        <v>NMD S1</v>
      </c>
      <c r="C3672" s="3">
        <f t="shared" si="402"/>
        <v>45902</v>
      </c>
      <c r="D3672" s="4">
        <f t="shared" ca="1" si="404"/>
        <v>74</v>
      </c>
      <c r="E3672" s="2">
        <f t="shared" ca="1" si="405"/>
        <v>5125</v>
      </c>
      <c r="F3672" s="2">
        <f t="shared" ca="1" si="406"/>
        <v>25629</v>
      </c>
      <c r="G3672" s="2">
        <f t="shared" ca="1" si="407"/>
        <v>2044</v>
      </c>
    </row>
    <row r="3673" spans="1:7" x14ac:dyDescent="0.3">
      <c r="A3673" s="5" t="str">
        <f t="shared" si="401"/>
        <v>Puma</v>
      </c>
      <c r="B3673" s="5" t="str">
        <f t="shared" si="403"/>
        <v>Suede Classic</v>
      </c>
      <c r="C3673" s="3">
        <f t="shared" si="402"/>
        <v>45902</v>
      </c>
      <c r="D3673" s="4">
        <f t="shared" ca="1" si="404"/>
        <v>121</v>
      </c>
      <c r="E3673" s="2">
        <f t="shared" ca="1" si="405"/>
        <v>4081</v>
      </c>
      <c r="F3673" s="2">
        <f t="shared" ca="1" si="406"/>
        <v>17739</v>
      </c>
      <c r="G3673" s="2">
        <f t="shared" ca="1" si="407"/>
        <v>712</v>
      </c>
    </row>
    <row r="3674" spans="1:7" x14ac:dyDescent="0.3">
      <c r="A3674" s="5" t="str">
        <f t="shared" si="401"/>
        <v>New Balance</v>
      </c>
      <c r="B3674" s="5" t="str">
        <f t="shared" si="403"/>
        <v>990v6</v>
      </c>
      <c r="C3674" s="3">
        <f t="shared" si="402"/>
        <v>45902</v>
      </c>
      <c r="D3674" s="4">
        <f t="shared" ca="1" si="404"/>
        <v>41</v>
      </c>
      <c r="E3674" s="2">
        <f t="shared" ca="1" si="405"/>
        <v>3478</v>
      </c>
      <c r="F3674" s="2">
        <f t="shared" ca="1" si="406"/>
        <v>11401</v>
      </c>
      <c r="G3674" s="2">
        <f t="shared" ca="1" si="407"/>
        <v>641</v>
      </c>
    </row>
    <row r="3675" spans="1:7" x14ac:dyDescent="0.3">
      <c r="A3675" s="5" t="str">
        <f t="shared" si="401"/>
        <v>Reebok</v>
      </c>
      <c r="B3675" s="5" t="str">
        <f t="shared" si="403"/>
        <v>Nano X3</v>
      </c>
      <c r="C3675" s="3">
        <f t="shared" si="402"/>
        <v>45902</v>
      </c>
      <c r="D3675" s="4">
        <f t="shared" ca="1" si="404"/>
        <v>107</v>
      </c>
      <c r="E3675" s="2">
        <f t="shared" ca="1" si="405"/>
        <v>4701</v>
      </c>
      <c r="F3675" s="2">
        <f t="shared" ca="1" si="406"/>
        <v>10736</v>
      </c>
      <c r="G3675" s="2">
        <f t="shared" ca="1" si="407"/>
        <v>292</v>
      </c>
    </row>
    <row r="3676" spans="1:7" x14ac:dyDescent="0.3">
      <c r="A3676" s="5" t="str">
        <f t="shared" si="401"/>
        <v>Nike</v>
      </c>
      <c r="B3676" s="5" t="str">
        <f t="shared" si="403"/>
        <v>Vaporfly 3</v>
      </c>
      <c r="C3676" s="3">
        <f t="shared" si="402"/>
        <v>45902</v>
      </c>
      <c r="D3676" s="4">
        <f t="shared" ca="1" si="404"/>
        <v>142</v>
      </c>
      <c r="E3676" s="2">
        <f t="shared" ca="1" si="405"/>
        <v>8576</v>
      </c>
      <c r="F3676" s="2">
        <f t="shared" ca="1" si="406"/>
        <v>11455</v>
      </c>
      <c r="G3676" s="2">
        <f t="shared" ca="1" si="407"/>
        <v>532</v>
      </c>
    </row>
    <row r="3677" spans="1:7" x14ac:dyDescent="0.3">
      <c r="A3677" s="5" t="str">
        <f t="shared" si="401"/>
        <v>Adidas</v>
      </c>
      <c r="B3677" s="5" t="str">
        <f t="shared" si="403"/>
        <v>Samba</v>
      </c>
      <c r="C3677" s="3">
        <f t="shared" si="402"/>
        <v>45903</v>
      </c>
      <c r="D3677" s="4">
        <f t="shared" ca="1" si="404"/>
        <v>26</v>
      </c>
      <c r="E3677" s="2">
        <f t="shared" ca="1" si="405"/>
        <v>6017</v>
      </c>
      <c r="F3677" s="2">
        <f t="shared" ca="1" si="406"/>
        <v>7079</v>
      </c>
      <c r="G3677" s="2">
        <f t="shared" ca="1" si="407"/>
        <v>180</v>
      </c>
    </row>
    <row r="3678" spans="1:7" x14ac:dyDescent="0.3">
      <c r="A3678" s="5" t="str">
        <f t="shared" si="401"/>
        <v>Puma</v>
      </c>
      <c r="B3678" s="5" t="str">
        <f t="shared" si="403"/>
        <v>Mayze</v>
      </c>
      <c r="C3678" s="3">
        <f t="shared" si="402"/>
        <v>45903</v>
      </c>
      <c r="D3678" s="4">
        <f t="shared" ca="1" si="404"/>
        <v>187</v>
      </c>
      <c r="E3678" s="2">
        <f t="shared" ca="1" si="405"/>
        <v>10538</v>
      </c>
      <c r="F3678" s="2">
        <f t="shared" ca="1" si="406"/>
        <v>14133</v>
      </c>
      <c r="G3678" s="2">
        <f t="shared" ca="1" si="407"/>
        <v>840</v>
      </c>
    </row>
    <row r="3679" spans="1:7" x14ac:dyDescent="0.3">
      <c r="A3679" s="5" t="str">
        <f t="shared" si="401"/>
        <v>New Balance</v>
      </c>
      <c r="B3679" s="5" t="str">
        <f t="shared" si="403"/>
        <v>574 Core</v>
      </c>
      <c r="C3679" s="3">
        <f t="shared" si="402"/>
        <v>45903</v>
      </c>
      <c r="D3679" s="4">
        <f t="shared" ca="1" si="404"/>
        <v>49</v>
      </c>
      <c r="E3679" s="2">
        <f t="shared" ca="1" si="405"/>
        <v>2031</v>
      </c>
      <c r="F3679" s="2">
        <f t="shared" ca="1" si="406"/>
        <v>26292</v>
      </c>
      <c r="G3679" s="2">
        <f t="shared" ca="1" si="407"/>
        <v>874</v>
      </c>
    </row>
    <row r="3680" spans="1:7" x14ac:dyDescent="0.3">
      <c r="A3680" s="5" t="str">
        <f t="shared" si="401"/>
        <v>Reebok</v>
      </c>
      <c r="B3680" s="5" t="str">
        <f t="shared" si="403"/>
        <v>Club C 85</v>
      </c>
      <c r="C3680" s="3">
        <f t="shared" si="402"/>
        <v>45903</v>
      </c>
      <c r="D3680" s="4">
        <f t="shared" ca="1" si="404"/>
        <v>95</v>
      </c>
      <c r="E3680" s="2">
        <f t="shared" ca="1" si="405"/>
        <v>7283</v>
      </c>
      <c r="F3680" s="2">
        <f t="shared" ca="1" si="406"/>
        <v>27678</v>
      </c>
      <c r="G3680" s="2">
        <f t="shared" ca="1" si="407"/>
        <v>1291</v>
      </c>
    </row>
    <row r="3681" spans="1:7" x14ac:dyDescent="0.3">
      <c r="A3681" s="5" t="str">
        <f t="shared" si="401"/>
        <v>Nike</v>
      </c>
      <c r="B3681" s="5" t="str">
        <f t="shared" si="403"/>
        <v>Pegasus 40</v>
      </c>
      <c r="C3681" s="3">
        <f t="shared" si="402"/>
        <v>45903</v>
      </c>
      <c r="D3681" s="4">
        <f t="shared" ca="1" si="404"/>
        <v>38</v>
      </c>
      <c r="E3681" s="2">
        <f t="shared" ca="1" si="405"/>
        <v>4092</v>
      </c>
      <c r="F3681" s="2">
        <f t="shared" ca="1" si="406"/>
        <v>27368</v>
      </c>
      <c r="G3681" s="2">
        <f t="shared" ca="1" si="407"/>
        <v>848</v>
      </c>
    </row>
    <row r="3682" spans="1:7" x14ac:dyDescent="0.3">
      <c r="A3682" s="5" t="str">
        <f t="shared" si="401"/>
        <v>Adidas</v>
      </c>
      <c r="B3682" s="5" t="str">
        <f t="shared" si="403"/>
        <v>Gazelle</v>
      </c>
      <c r="C3682" s="3">
        <f t="shared" si="402"/>
        <v>45903</v>
      </c>
      <c r="D3682" s="4">
        <f t="shared" ca="1" si="404"/>
        <v>168</v>
      </c>
      <c r="E3682" s="2">
        <f t="shared" ca="1" si="405"/>
        <v>3612</v>
      </c>
      <c r="F3682" s="2">
        <f t="shared" ca="1" si="406"/>
        <v>12090</v>
      </c>
      <c r="G3682" s="2">
        <f t="shared" ca="1" si="407"/>
        <v>636</v>
      </c>
    </row>
    <row r="3683" spans="1:7" x14ac:dyDescent="0.3">
      <c r="A3683" s="5" t="str">
        <f t="shared" si="401"/>
        <v>Puma</v>
      </c>
      <c r="B3683" s="5" t="str">
        <f t="shared" si="403"/>
        <v>Slipstream</v>
      </c>
      <c r="C3683" s="3">
        <f t="shared" si="402"/>
        <v>45903</v>
      </c>
      <c r="D3683" s="4">
        <f t="shared" ca="1" si="404"/>
        <v>110</v>
      </c>
      <c r="E3683" s="2">
        <f t="shared" ca="1" si="405"/>
        <v>3338</v>
      </c>
      <c r="F3683" s="2">
        <f t="shared" ca="1" si="406"/>
        <v>23715</v>
      </c>
      <c r="G3683" s="2">
        <f t="shared" ca="1" si="407"/>
        <v>1810</v>
      </c>
    </row>
    <row r="3684" spans="1:7" x14ac:dyDescent="0.3">
      <c r="A3684" s="5" t="str">
        <f t="shared" si="401"/>
        <v>New Balance</v>
      </c>
      <c r="B3684" s="5" t="str">
        <f t="shared" si="403"/>
        <v>550</v>
      </c>
      <c r="C3684" s="3">
        <f t="shared" si="402"/>
        <v>45903</v>
      </c>
      <c r="D3684" s="4">
        <f t="shared" ca="1" si="404"/>
        <v>26</v>
      </c>
      <c r="E3684" s="2">
        <f t="shared" ca="1" si="405"/>
        <v>3915</v>
      </c>
      <c r="F3684" s="2">
        <f t="shared" ca="1" si="406"/>
        <v>30165</v>
      </c>
      <c r="G3684" s="2">
        <f t="shared" ca="1" si="407"/>
        <v>1074</v>
      </c>
    </row>
    <row r="3685" spans="1:7" x14ac:dyDescent="0.3">
      <c r="A3685" s="5" t="str">
        <f t="shared" si="401"/>
        <v>Reebok</v>
      </c>
      <c r="B3685" s="5" t="str">
        <f t="shared" si="403"/>
        <v>Classic Leather</v>
      </c>
      <c r="C3685" s="3">
        <f t="shared" si="402"/>
        <v>45903</v>
      </c>
      <c r="D3685" s="4">
        <f t="shared" ca="1" si="404"/>
        <v>130</v>
      </c>
      <c r="E3685" s="2">
        <f t="shared" ca="1" si="405"/>
        <v>4540</v>
      </c>
      <c r="F3685" s="2">
        <f t="shared" ca="1" si="406"/>
        <v>29197</v>
      </c>
      <c r="G3685" s="2">
        <f t="shared" ca="1" si="407"/>
        <v>2037</v>
      </c>
    </row>
    <row r="3686" spans="1:7" x14ac:dyDescent="0.3">
      <c r="A3686" s="5" t="str">
        <f t="shared" si="401"/>
        <v>Nike</v>
      </c>
      <c r="B3686" s="5" t="str">
        <f t="shared" si="403"/>
        <v>Air Force 1</v>
      </c>
      <c r="C3686" s="3">
        <f t="shared" si="402"/>
        <v>45903</v>
      </c>
      <c r="D3686" s="4">
        <f t="shared" ca="1" si="404"/>
        <v>146</v>
      </c>
      <c r="E3686" s="2">
        <f t="shared" ca="1" si="405"/>
        <v>6891</v>
      </c>
      <c r="F3686" s="2">
        <f t="shared" ca="1" si="406"/>
        <v>11961</v>
      </c>
      <c r="G3686" s="2">
        <f t="shared" ca="1" si="407"/>
        <v>329</v>
      </c>
    </row>
    <row r="3687" spans="1:7" x14ac:dyDescent="0.3">
      <c r="A3687" s="5" t="str">
        <f t="shared" si="401"/>
        <v>Adidas</v>
      </c>
      <c r="B3687" s="5" t="str">
        <f t="shared" si="403"/>
        <v>Superstar</v>
      </c>
      <c r="C3687" s="3">
        <f t="shared" si="402"/>
        <v>45903</v>
      </c>
      <c r="D3687" s="4">
        <f t="shared" ca="1" si="404"/>
        <v>166</v>
      </c>
      <c r="E3687" s="2">
        <f t="shared" ca="1" si="405"/>
        <v>5807</v>
      </c>
      <c r="F3687" s="2">
        <f t="shared" ca="1" si="406"/>
        <v>25883</v>
      </c>
      <c r="G3687" s="2">
        <f t="shared" ca="1" si="407"/>
        <v>1788</v>
      </c>
    </row>
    <row r="3688" spans="1:7" x14ac:dyDescent="0.3">
      <c r="A3688" s="5" t="str">
        <f t="shared" si="401"/>
        <v>Puma</v>
      </c>
      <c r="B3688" s="5" t="str">
        <f t="shared" si="403"/>
        <v>Rider Vintage</v>
      </c>
      <c r="C3688" s="3">
        <f t="shared" si="402"/>
        <v>45903</v>
      </c>
      <c r="D3688" s="4">
        <f t="shared" ca="1" si="404"/>
        <v>122</v>
      </c>
      <c r="E3688" s="2">
        <f t="shared" ca="1" si="405"/>
        <v>2637</v>
      </c>
      <c r="F3688" s="2">
        <f t="shared" ca="1" si="406"/>
        <v>11231</v>
      </c>
      <c r="G3688" s="2">
        <f t="shared" ca="1" si="407"/>
        <v>444</v>
      </c>
    </row>
    <row r="3689" spans="1:7" x14ac:dyDescent="0.3">
      <c r="A3689" s="5" t="str">
        <f t="shared" si="401"/>
        <v>New Balance</v>
      </c>
      <c r="B3689" s="5" t="str">
        <f t="shared" si="403"/>
        <v>327</v>
      </c>
      <c r="C3689" s="3">
        <f t="shared" si="402"/>
        <v>45903</v>
      </c>
      <c r="D3689" s="4">
        <f t="shared" ca="1" si="404"/>
        <v>79</v>
      </c>
      <c r="E3689" s="2">
        <f t="shared" ca="1" si="405"/>
        <v>9096</v>
      </c>
      <c r="F3689" s="2">
        <f t="shared" ca="1" si="406"/>
        <v>17448</v>
      </c>
      <c r="G3689" s="2">
        <f t="shared" ca="1" si="407"/>
        <v>931</v>
      </c>
    </row>
    <row r="3690" spans="1:7" x14ac:dyDescent="0.3">
      <c r="A3690" s="5" t="str">
        <f t="shared" si="401"/>
        <v>Reebok</v>
      </c>
      <c r="B3690" s="5" t="str">
        <f t="shared" si="403"/>
        <v>Question Mid</v>
      </c>
      <c r="C3690" s="3">
        <f t="shared" si="402"/>
        <v>45903</v>
      </c>
      <c r="D3690" s="4">
        <f t="shared" ca="1" si="404"/>
        <v>229</v>
      </c>
      <c r="E3690" s="2">
        <f t="shared" ca="1" si="405"/>
        <v>11234</v>
      </c>
      <c r="F3690" s="2">
        <f t="shared" ca="1" si="406"/>
        <v>18483</v>
      </c>
      <c r="G3690" s="2">
        <f t="shared" ca="1" si="407"/>
        <v>903</v>
      </c>
    </row>
    <row r="3691" spans="1:7" x14ac:dyDescent="0.3">
      <c r="A3691" s="5" t="str">
        <f t="shared" ref="A3691:A3754" si="408">CHOOSE(MOD(ROW(A3690),5)+1,"Nike","Adidas","Puma","New Balance","Reebok")</f>
        <v>Nike</v>
      </c>
      <c r="B3691" s="5" t="str">
        <f t="shared" si="403"/>
        <v>Air Max 270</v>
      </c>
      <c r="C3691" s="3">
        <f t="shared" ref="C3691:C3754" si="409">DATE(2025,1,1)+INT((ROW(A3691)-2)/15)</f>
        <v>45903</v>
      </c>
      <c r="D3691" s="4">
        <f t="shared" ca="1" si="404"/>
        <v>21</v>
      </c>
      <c r="E3691" s="2">
        <f t="shared" ca="1" si="405"/>
        <v>3809</v>
      </c>
      <c r="F3691" s="2">
        <f t="shared" ca="1" si="406"/>
        <v>11730</v>
      </c>
      <c r="G3691" s="2">
        <f t="shared" ca="1" si="407"/>
        <v>716</v>
      </c>
    </row>
    <row r="3692" spans="1:7" x14ac:dyDescent="0.3">
      <c r="A3692" s="5" t="str">
        <f t="shared" si="408"/>
        <v>Adidas</v>
      </c>
      <c r="B3692" s="5" t="str">
        <f t="shared" si="403"/>
        <v>Stan Smith</v>
      </c>
      <c r="C3692" s="3">
        <f t="shared" si="409"/>
        <v>45904</v>
      </c>
      <c r="D3692" s="4">
        <f t="shared" ca="1" si="404"/>
        <v>123</v>
      </c>
      <c r="E3692" s="2">
        <f t="shared" ca="1" si="405"/>
        <v>9080</v>
      </c>
      <c r="F3692" s="2">
        <f t="shared" ca="1" si="406"/>
        <v>22256</v>
      </c>
      <c r="G3692" s="2">
        <f t="shared" ca="1" si="407"/>
        <v>521</v>
      </c>
    </row>
    <row r="3693" spans="1:7" x14ac:dyDescent="0.3">
      <c r="A3693" s="5" t="str">
        <f t="shared" si="408"/>
        <v>Puma</v>
      </c>
      <c r="B3693" s="5" t="str">
        <f t="shared" si="403"/>
        <v>Cali Dream</v>
      </c>
      <c r="C3693" s="3">
        <f t="shared" si="409"/>
        <v>45904</v>
      </c>
      <c r="D3693" s="4">
        <f t="shared" ca="1" si="404"/>
        <v>171</v>
      </c>
      <c r="E3693" s="2">
        <f t="shared" ca="1" si="405"/>
        <v>6830</v>
      </c>
      <c r="F3693" s="2">
        <f t="shared" ca="1" si="406"/>
        <v>24121</v>
      </c>
      <c r="G3693" s="2">
        <f t="shared" ca="1" si="407"/>
        <v>1084</v>
      </c>
    </row>
    <row r="3694" spans="1:7" x14ac:dyDescent="0.3">
      <c r="A3694" s="5" t="str">
        <f t="shared" si="408"/>
        <v>New Balance</v>
      </c>
      <c r="B3694" s="5" t="str">
        <f t="shared" si="403"/>
        <v>9060</v>
      </c>
      <c r="C3694" s="3">
        <f t="shared" si="409"/>
        <v>45904</v>
      </c>
      <c r="D3694" s="4">
        <f t="shared" ca="1" si="404"/>
        <v>126</v>
      </c>
      <c r="E3694" s="2">
        <f t="shared" ca="1" si="405"/>
        <v>11743</v>
      </c>
      <c r="F3694" s="2">
        <f t="shared" ca="1" si="406"/>
        <v>13748</v>
      </c>
      <c r="G3694" s="2">
        <f t="shared" ca="1" si="407"/>
        <v>667</v>
      </c>
    </row>
    <row r="3695" spans="1:7" x14ac:dyDescent="0.3">
      <c r="A3695" s="5" t="str">
        <f t="shared" si="408"/>
        <v>Reebok</v>
      </c>
      <c r="B3695" s="5" t="str">
        <f t="shared" si="403"/>
        <v>Zig Kinetica</v>
      </c>
      <c r="C3695" s="3">
        <f t="shared" si="409"/>
        <v>45904</v>
      </c>
      <c r="D3695" s="4">
        <f t="shared" ca="1" si="404"/>
        <v>57</v>
      </c>
      <c r="E3695" s="2">
        <f t="shared" ca="1" si="405"/>
        <v>7598</v>
      </c>
      <c r="F3695" s="2">
        <f t="shared" ca="1" si="406"/>
        <v>9201</v>
      </c>
      <c r="G3695" s="2">
        <f t="shared" ca="1" si="407"/>
        <v>656</v>
      </c>
    </row>
    <row r="3696" spans="1:7" x14ac:dyDescent="0.3">
      <c r="A3696" s="5" t="str">
        <f t="shared" si="408"/>
        <v>Nike</v>
      </c>
      <c r="B3696" s="5" t="str">
        <f t="shared" si="403"/>
        <v>Jordan 1</v>
      </c>
      <c r="C3696" s="3">
        <f t="shared" si="409"/>
        <v>45904</v>
      </c>
      <c r="D3696" s="4">
        <f t="shared" ca="1" si="404"/>
        <v>136</v>
      </c>
      <c r="E3696" s="2">
        <f t="shared" ca="1" si="405"/>
        <v>5615</v>
      </c>
      <c r="F3696" s="2">
        <f t="shared" ca="1" si="406"/>
        <v>20878</v>
      </c>
      <c r="G3696" s="2">
        <f t="shared" ca="1" si="407"/>
        <v>557</v>
      </c>
    </row>
    <row r="3697" spans="1:7" x14ac:dyDescent="0.3">
      <c r="A3697" s="5" t="str">
        <f t="shared" si="408"/>
        <v>Adidas</v>
      </c>
      <c r="B3697" s="5" t="str">
        <f t="shared" si="403"/>
        <v>Ultraboost 23</v>
      </c>
      <c r="C3697" s="3">
        <f t="shared" si="409"/>
        <v>45904</v>
      </c>
      <c r="D3697" s="4">
        <f t="shared" ca="1" si="404"/>
        <v>37</v>
      </c>
      <c r="E3697" s="2">
        <f t="shared" ca="1" si="405"/>
        <v>4589</v>
      </c>
      <c r="F3697" s="2">
        <f t="shared" ca="1" si="406"/>
        <v>24552</v>
      </c>
      <c r="G3697" s="2">
        <f t="shared" ca="1" si="407"/>
        <v>1634</v>
      </c>
    </row>
    <row r="3698" spans="1:7" x14ac:dyDescent="0.3">
      <c r="A3698" s="5" t="str">
        <f t="shared" si="408"/>
        <v>Puma</v>
      </c>
      <c r="B3698" s="5" t="str">
        <f t="shared" si="403"/>
        <v>RS-X</v>
      </c>
      <c r="C3698" s="3">
        <f t="shared" si="409"/>
        <v>45904</v>
      </c>
      <c r="D3698" s="4">
        <f t="shared" ca="1" si="404"/>
        <v>51</v>
      </c>
      <c r="E3698" s="2">
        <f t="shared" ca="1" si="405"/>
        <v>2176</v>
      </c>
      <c r="F3698" s="2">
        <f t="shared" ca="1" si="406"/>
        <v>27451</v>
      </c>
      <c r="G3698" s="2">
        <f t="shared" ca="1" si="407"/>
        <v>1061</v>
      </c>
    </row>
    <row r="3699" spans="1:7" x14ac:dyDescent="0.3">
      <c r="A3699" s="5" t="str">
        <f t="shared" si="408"/>
        <v>New Balance</v>
      </c>
      <c r="B3699" s="5" t="str">
        <f t="shared" si="403"/>
        <v>2002R</v>
      </c>
      <c r="C3699" s="3">
        <f t="shared" si="409"/>
        <v>45904</v>
      </c>
      <c r="D3699" s="4">
        <f t="shared" ca="1" si="404"/>
        <v>187</v>
      </c>
      <c r="E3699" s="2">
        <f t="shared" ca="1" si="405"/>
        <v>6953</v>
      </c>
      <c r="F3699" s="2">
        <f t="shared" ca="1" si="406"/>
        <v>21048</v>
      </c>
      <c r="G3699" s="2">
        <f t="shared" ca="1" si="407"/>
        <v>1023</v>
      </c>
    </row>
    <row r="3700" spans="1:7" x14ac:dyDescent="0.3">
      <c r="A3700" s="5" t="str">
        <f t="shared" si="408"/>
        <v>Reebok</v>
      </c>
      <c r="B3700" s="5" t="str">
        <f t="shared" si="403"/>
        <v>Instapump Fury</v>
      </c>
      <c r="C3700" s="3">
        <f t="shared" si="409"/>
        <v>45904</v>
      </c>
      <c r="D3700" s="4">
        <f t="shared" ca="1" si="404"/>
        <v>83</v>
      </c>
      <c r="E3700" s="2">
        <f t="shared" ca="1" si="405"/>
        <v>7947</v>
      </c>
      <c r="F3700" s="2">
        <f t="shared" ca="1" si="406"/>
        <v>19429</v>
      </c>
      <c r="G3700" s="2">
        <f t="shared" ca="1" si="407"/>
        <v>1325</v>
      </c>
    </row>
    <row r="3701" spans="1:7" x14ac:dyDescent="0.3">
      <c r="A3701" s="5" t="str">
        <f t="shared" si="408"/>
        <v>Nike</v>
      </c>
      <c r="B3701" s="5" t="str">
        <f t="shared" si="403"/>
        <v>Cortez</v>
      </c>
      <c r="C3701" s="3">
        <f t="shared" si="409"/>
        <v>45904</v>
      </c>
      <c r="D3701" s="4">
        <f t="shared" ca="1" si="404"/>
        <v>152</v>
      </c>
      <c r="E3701" s="2">
        <f t="shared" ca="1" si="405"/>
        <v>3482</v>
      </c>
      <c r="F3701" s="2">
        <f t="shared" ca="1" si="406"/>
        <v>31480</v>
      </c>
      <c r="G3701" s="2">
        <f t="shared" ca="1" si="407"/>
        <v>1163</v>
      </c>
    </row>
    <row r="3702" spans="1:7" x14ac:dyDescent="0.3">
      <c r="A3702" s="5" t="str">
        <f t="shared" si="408"/>
        <v>Adidas</v>
      </c>
      <c r="B3702" s="5" t="str">
        <f t="shared" si="403"/>
        <v>NMD S1</v>
      </c>
      <c r="C3702" s="3">
        <f t="shared" si="409"/>
        <v>45904</v>
      </c>
      <c r="D3702" s="4">
        <f t="shared" ca="1" si="404"/>
        <v>171</v>
      </c>
      <c r="E3702" s="2">
        <f t="shared" ca="1" si="405"/>
        <v>5008</v>
      </c>
      <c r="F3702" s="2">
        <f t="shared" ca="1" si="406"/>
        <v>12684</v>
      </c>
      <c r="G3702" s="2">
        <f t="shared" ca="1" si="407"/>
        <v>601</v>
      </c>
    </row>
    <row r="3703" spans="1:7" x14ac:dyDescent="0.3">
      <c r="A3703" s="5" t="str">
        <f t="shared" si="408"/>
        <v>Puma</v>
      </c>
      <c r="B3703" s="5" t="str">
        <f t="shared" si="403"/>
        <v>Suede Classic</v>
      </c>
      <c r="C3703" s="3">
        <f t="shared" si="409"/>
        <v>45904</v>
      </c>
      <c r="D3703" s="4">
        <f t="shared" ca="1" si="404"/>
        <v>85</v>
      </c>
      <c r="E3703" s="2">
        <f t="shared" ca="1" si="405"/>
        <v>6818</v>
      </c>
      <c r="F3703" s="2">
        <f t="shared" ca="1" si="406"/>
        <v>13819</v>
      </c>
      <c r="G3703" s="2">
        <f t="shared" ca="1" si="407"/>
        <v>686</v>
      </c>
    </row>
    <row r="3704" spans="1:7" x14ac:dyDescent="0.3">
      <c r="A3704" s="5" t="str">
        <f t="shared" si="408"/>
        <v>New Balance</v>
      </c>
      <c r="B3704" s="5" t="str">
        <f t="shared" si="403"/>
        <v>990v6</v>
      </c>
      <c r="C3704" s="3">
        <f t="shared" si="409"/>
        <v>45904</v>
      </c>
      <c r="D3704" s="4">
        <f t="shared" ca="1" si="404"/>
        <v>212</v>
      </c>
      <c r="E3704" s="2">
        <f t="shared" ca="1" si="405"/>
        <v>6924</v>
      </c>
      <c r="F3704" s="2">
        <f t="shared" ca="1" si="406"/>
        <v>11946</v>
      </c>
      <c r="G3704" s="2">
        <f t="shared" ca="1" si="407"/>
        <v>520</v>
      </c>
    </row>
    <row r="3705" spans="1:7" x14ac:dyDescent="0.3">
      <c r="A3705" s="5" t="str">
        <f t="shared" si="408"/>
        <v>Reebok</v>
      </c>
      <c r="B3705" s="5" t="str">
        <f t="shared" si="403"/>
        <v>Nano X3</v>
      </c>
      <c r="C3705" s="3">
        <f t="shared" si="409"/>
        <v>45904</v>
      </c>
      <c r="D3705" s="4">
        <f t="shared" ca="1" si="404"/>
        <v>117</v>
      </c>
      <c r="E3705" s="2">
        <f t="shared" ca="1" si="405"/>
        <v>8729</v>
      </c>
      <c r="F3705" s="2">
        <f t="shared" ca="1" si="406"/>
        <v>25352</v>
      </c>
      <c r="G3705" s="2">
        <f t="shared" ca="1" si="407"/>
        <v>1144</v>
      </c>
    </row>
    <row r="3706" spans="1:7" x14ac:dyDescent="0.3">
      <c r="A3706" s="5" t="str">
        <f t="shared" si="408"/>
        <v>Nike</v>
      </c>
      <c r="B3706" s="5" t="str">
        <f t="shared" si="403"/>
        <v>Vaporfly 3</v>
      </c>
      <c r="C3706" s="3">
        <f t="shared" si="409"/>
        <v>45904</v>
      </c>
      <c r="D3706" s="4">
        <f t="shared" ca="1" si="404"/>
        <v>243</v>
      </c>
      <c r="E3706" s="2">
        <f t="shared" ca="1" si="405"/>
        <v>1765</v>
      </c>
      <c r="F3706" s="2">
        <f t="shared" ca="1" si="406"/>
        <v>32979</v>
      </c>
      <c r="G3706" s="2">
        <f t="shared" ca="1" si="407"/>
        <v>1634</v>
      </c>
    </row>
    <row r="3707" spans="1:7" x14ac:dyDescent="0.3">
      <c r="A3707" s="5" t="str">
        <f t="shared" si="408"/>
        <v>Adidas</v>
      </c>
      <c r="B3707" s="5" t="str">
        <f t="shared" si="403"/>
        <v>Samba</v>
      </c>
      <c r="C3707" s="3">
        <f t="shared" si="409"/>
        <v>45905</v>
      </c>
      <c r="D3707" s="4">
        <f t="shared" ca="1" si="404"/>
        <v>204</v>
      </c>
      <c r="E3707" s="2">
        <f t="shared" ca="1" si="405"/>
        <v>7361</v>
      </c>
      <c r="F3707" s="2">
        <f t="shared" ca="1" si="406"/>
        <v>13308</v>
      </c>
      <c r="G3707" s="2">
        <f t="shared" ca="1" si="407"/>
        <v>767</v>
      </c>
    </row>
    <row r="3708" spans="1:7" x14ac:dyDescent="0.3">
      <c r="A3708" s="5" t="str">
        <f t="shared" si="408"/>
        <v>Puma</v>
      </c>
      <c r="B3708" s="5" t="str">
        <f t="shared" si="403"/>
        <v>Mayze</v>
      </c>
      <c r="C3708" s="3">
        <f t="shared" si="409"/>
        <v>45905</v>
      </c>
      <c r="D3708" s="4">
        <f t="shared" ca="1" si="404"/>
        <v>49</v>
      </c>
      <c r="E3708" s="2">
        <f t="shared" ca="1" si="405"/>
        <v>10530</v>
      </c>
      <c r="F3708" s="2">
        <f t="shared" ca="1" si="406"/>
        <v>22153</v>
      </c>
      <c r="G3708" s="2">
        <f t="shared" ca="1" si="407"/>
        <v>755</v>
      </c>
    </row>
    <row r="3709" spans="1:7" x14ac:dyDescent="0.3">
      <c r="A3709" s="5" t="str">
        <f t="shared" si="408"/>
        <v>New Balance</v>
      </c>
      <c r="B3709" s="5" t="str">
        <f t="shared" si="403"/>
        <v>574 Core</v>
      </c>
      <c r="C3709" s="3">
        <f t="shared" si="409"/>
        <v>45905</v>
      </c>
      <c r="D3709" s="4">
        <f t="shared" ca="1" si="404"/>
        <v>130</v>
      </c>
      <c r="E3709" s="2">
        <f t="shared" ca="1" si="405"/>
        <v>5271</v>
      </c>
      <c r="F3709" s="2">
        <f t="shared" ca="1" si="406"/>
        <v>13011</v>
      </c>
      <c r="G3709" s="2">
        <f t="shared" ca="1" si="407"/>
        <v>951</v>
      </c>
    </row>
    <row r="3710" spans="1:7" x14ac:dyDescent="0.3">
      <c r="A3710" s="5" t="str">
        <f t="shared" si="408"/>
        <v>Reebok</v>
      </c>
      <c r="B3710" s="5" t="str">
        <f t="shared" si="403"/>
        <v>Club C 85</v>
      </c>
      <c r="C3710" s="3">
        <f t="shared" si="409"/>
        <v>45905</v>
      </c>
      <c r="D3710" s="4">
        <f t="shared" ca="1" si="404"/>
        <v>179</v>
      </c>
      <c r="E3710" s="2">
        <f t="shared" ca="1" si="405"/>
        <v>8713</v>
      </c>
      <c r="F3710" s="2">
        <f t="shared" ca="1" si="406"/>
        <v>16087</v>
      </c>
      <c r="G3710" s="2">
        <f t="shared" ca="1" si="407"/>
        <v>585</v>
      </c>
    </row>
    <row r="3711" spans="1:7" x14ac:dyDescent="0.3">
      <c r="A3711" s="5" t="str">
        <f t="shared" si="408"/>
        <v>Nike</v>
      </c>
      <c r="B3711" s="5" t="str">
        <f t="shared" si="403"/>
        <v>Pegasus 40</v>
      </c>
      <c r="C3711" s="3">
        <f t="shared" si="409"/>
        <v>45905</v>
      </c>
      <c r="D3711" s="4">
        <f t="shared" ca="1" si="404"/>
        <v>227</v>
      </c>
      <c r="E3711" s="2">
        <f t="shared" ca="1" si="405"/>
        <v>7215</v>
      </c>
      <c r="F3711" s="2">
        <f t="shared" ca="1" si="406"/>
        <v>25435</v>
      </c>
      <c r="G3711" s="2">
        <f t="shared" ca="1" si="407"/>
        <v>1732</v>
      </c>
    </row>
    <row r="3712" spans="1:7" x14ac:dyDescent="0.3">
      <c r="A3712" s="5" t="str">
        <f t="shared" si="408"/>
        <v>Adidas</v>
      </c>
      <c r="B3712" s="5" t="str">
        <f t="shared" si="403"/>
        <v>Gazelle</v>
      </c>
      <c r="C3712" s="3">
        <f t="shared" si="409"/>
        <v>45905</v>
      </c>
      <c r="D3712" s="4">
        <f t="shared" ca="1" si="404"/>
        <v>226</v>
      </c>
      <c r="E3712" s="2">
        <f t="shared" ca="1" si="405"/>
        <v>12086</v>
      </c>
      <c r="F3712" s="2">
        <f t="shared" ca="1" si="406"/>
        <v>34765</v>
      </c>
      <c r="G3712" s="2">
        <f t="shared" ca="1" si="407"/>
        <v>1375</v>
      </c>
    </row>
    <row r="3713" spans="1:7" x14ac:dyDescent="0.3">
      <c r="A3713" s="5" t="str">
        <f t="shared" si="408"/>
        <v>Puma</v>
      </c>
      <c r="B3713" s="5" t="str">
        <f t="shared" si="403"/>
        <v>Slipstream</v>
      </c>
      <c r="C3713" s="3">
        <f t="shared" si="409"/>
        <v>45905</v>
      </c>
      <c r="D3713" s="4">
        <f t="shared" ca="1" si="404"/>
        <v>214</v>
      </c>
      <c r="E3713" s="2">
        <f t="shared" ca="1" si="405"/>
        <v>9852</v>
      </c>
      <c r="F3713" s="2">
        <f t="shared" ca="1" si="406"/>
        <v>10459</v>
      </c>
      <c r="G3713" s="2">
        <f t="shared" ca="1" si="407"/>
        <v>529</v>
      </c>
    </row>
    <row r="3714" spans="1:7" x14ac:dyDescent="0.3">
      <c r="A3714" s="5" t="str">
        <f t="shared" si="408"/>
        <v>New Balance</v>
      </c>
      <c r="B3714" s="5" t="str">
        <f t="shared" si="403"/>
        <v>550</v>
      </c>
      <c r="C3714" s="3">
        <f t="shared" si="409"/>
        <v>45905</v>
      </c>
      <c r="D3714" s="4">
        <f t="shared" ca="1" si="404"/>
        <v>138</v>
      </c>
      <c r="E3714" s="2">
        <f t="shared" ca="1" si="405"/>
        <v>7068</v>
      </c>
      <c r="F3714" s="2">
        <f t="shared" ca="1" si="406"/>
        <v>15509</v>
      </c>
      <c r="G3714" s="2">
        <f t="shared" ca="1" si="407"/>
        <v>1103</v>
      </c>
    </row>
    <row r="3715" spans="1:7" x14ac:dyDescent="0.3">
      <c r="A3715" s="5" t="str">
        <f t="shared" si="408"/>
        <v>Reebok</v>
      </c>
      <c r="B3715" s="5" t="str">
        <f t="shared" ref="B3715:B3778" si="410">IF(A3715="Nike",CHOOSE(MOD(ROW(A3714),6)+1,"Air Max 270","Air Force 1","Pegasus 40","Vaporfly 3","Cortez","Jordan 1"),
 IF(A3715="Adidas",CHOOSE(MOD(ROW(A3714),6)+1,"Ultraboost 23","Stan Smith","Superstar","Gazelle","Samba","NMD S1"),
 IF(A3715="Puma",CHOOSE(MOD(ROW(A3714),6)+1,"Suede Classic","RS-X","Cali Dream","Rider Vintage","Slipstream","Mayze"),
 IF(A3715="New Balance",CHOOSE(MOD(ROW(A3714),6)+1,"574 Core","990v6","2002R","9060","327","550"),
 IF(A3715="Reebok",CHOOSE(MOD(ROW(A3714),6)+1,"Classic Leather","Club C 85","Nano X3","Instapump Fury","Zig Kinetica","Question Mid"),"")))))</f>
        <v>Classic Leather</v>
      </c>
      <c r="C3715" s="3">
        <f t="shared" si="409"/>
        <v>45905</v>
      </c>
      <c r="D3715" s="4">
        <f t="shared" ref="D3715:D3778" ca="1" si="411">RANDBETWEEN(20,250)</f>
        <v>218</v>
      </c>
      <c r="E3715" s="2">
        <f t="shared" ref="E3715:E3778" ca="1" si="412">ROUND(RANDBETWEEN(1500,12000)+(RANDBETWEEN(-200,200)),2)</f>
        <v>11328</v>
      </c>
      <c r="F3715" s="2">
        <f t="shared" ref="F3715:F3778" ca="1" si="413">RANDBETWEEN(5000,35000)</f>
        <v>7783</v>
      </c>
      <c r="G3715" s="2">
        <f t="shared" ref="G3715:G3778" ca="1" si="414">RANDBETWEEN(ROUND(F3715*0.02,0),ROUND(F3715*0.08,0))</f>
        <v>387</v>
      </c>
    </row>
    <row r="3716" spans="1:7" x14ac:dyDescent="0.3">
      <c r="A3716" s="5" t="str">
        <f t="shared" si="408"/>
        <v>Nike</v>
      </c>
      <c r="B3716" s="5" t="str">
        <f t="shared" si="410"/>
        <v>Air Force 1</v>
      </c>
      <c r="C3716" s="3">
        <f t="shared" si="409"/>
        <v>45905</v>
      </c>
      <c r="D3716" s="4">
        <f t="shared" ca="1" si="411"/>
        <v>209</v>
      </c>
      <c r="E3716" s="2">
        <f t="shared" ca="1" si="412"/>
        <v>7007</v>
      </c>
      <c r="F3716" s="2">
        <f t="shared" ca="1" si="413"/>
        <v>8927</v>
      </c>
      <c r="G3716" s="2">
        <f t="shared" ca="1" si="414"/>
        <v>568</v>
      </c>
    </row>
    <row r="3717" spans="1:7" x14ac:dyDescent="0.3">
      <c r="A3717" s="5" t="str">
        <f t="shared" si="408"/>
        <v>Adidas</v>
      </c>
      <c r="B3717" s="5" t="str">
        <f t="shared" si="410"/>
        <v>Superstar</v>
      </c>
      <c r="C3717" s="3">
        <f t="shared" si="409"/>
        <v>45905</v>
      </c>
      <c r="D3717" s="4">
        <f t="shared" ca="1" si="411"/>
        <v>194</v>
      </c>
      <c r="E3717" s="2">
        <f t="shared" ca="1" si="412"/>
        <v>5224</v>
      </c>
      <c r="F3717" s="2">
        <f t="shared" ca="1" si="413"/>
        <v>21900</v>
      </c>
      <c r="G3717" s="2">
        <f t="shared" ca="1" si="414"/>
        <v>538</v>
      </c>
    </row>
    <row r="3718" spans="1:7" x14ac:dyDescent="0.3">
      <c r="A3718" s="5" t="str">
        <f t="shared" si="408"/>
        <v>Puma</v>
      </c>
      <c r="B3718" s="5" t="str">
        <f t="shared" si="410"/>
        <v>Rider Vintage</v>
      </c>
      <c r="C3718" s="3">
        <f t="shared" si="409"/>
        <v>45905</v>
      </c>
      <c r="D3718" s="4">
        <f t="shared" ca="1" si="411"/>
        <v>58</v>
      </c>
      <c r="E3718" s="2">
        <f t="shared" ca="1" si="412"/>
        <v>8691</v>
      </c>
      <c r="F3718" s="2">
        <f t="shared" ca="1" si="413"/>
        <v>11880</v>
      </c>
      <c r="G3718" s="2">
        <f t="shared" ca="1" si="414"/>
        <v>550</v>
      </c>
    </row>
    <row r="3719" spans="1:7" x14ac:dyDescent="0.3">
      <c r="A3719" s="5" t="str">
        <f t="shared" si="408"/>
        <v>New Balance</v>
      </c>
      <c r="B3719" s="5" t="str">
        <f t="shared" si="410"/>
        <v>327</v>
      </c>
      <c r="C3719" s="3">
        <f t="shared" si="409"/>
        <v>45905</v>
      </c>
      <c r="D3719" s="4">
        <f t="shared" ca="1" si="411"/>
        <v>213</v>
      </c>
      <c r="E3719" s="2">
        <f t="shared" ca="1" si="412"/>
        <v>6658</v>
      </c>
      <c r="F3719" s="2">
        <f t="shared" ca="1" si="413"/>
        <v>21622</v>
      </c>
      <c r="G3719" s="2">
        <f t="shared" ca="1" si="414"/>
        <v>1059</v>
      </c>
    </row>
    <row r="3720" spans="1:7" x14ac:dyDescent="0.3">
      <c r="A3720" s="5" t="str">
        <f t="shared" si="408"/>
        <v>Reebok</v>
      </c>
      <c r="B3720" s="5" t="str">
        <f t="shared" si="410"/>
        <v>Question Mid</v>
      </c>
      <c r="C3720" s="3">
        <f t="shared" si="409"/>
        <v>45905</v>
      </c>
      <c r="D3720" s="4">
        <f t="shared" ca="1" si="411"/>
        <v>163</v>
      </c>
      <c r="E3720" s="2">
        <f t="shared" ca="1" si="412"/>
        <v>9515</v>
      </c>
      <c r="F3720" s="2">
        <f t="shared" ca="1" si="413"/>
        <v>15311</v>
      </c>
      <c r="G3720" s="2">
        <f t="shared" ca="1" si="414"/>
        <v>1059</v>
      </c>
    </row>
    <row r="3721" spans="1:7" x14ac:dyDescent="0.3">
      <c r="A3721" s="5" t="str">
        <f t="shared" si="408"/>
        <v>Nike</v>
      </c>
      <c r="B3721" s="5" t="str">
        <f t="shared" si="410"/>
        <v>Air Max 270</v>
      </c>
      <c r="C3721" s="3">
        <f t="shared" si="409"/>
        <v>45905</v>
      </c>
      <c r="D3721" s="4">
        <f t="shared" ca="1" si="411"/>
        <v>168</v>
      </c>
      <c r="E3721" s="2">
        <f t="shared" ca="1" si="412"/>
        <v>10378</v>
      </c>
      <c r="F3721" s="2">
        <f t="shared" ca="1" si="413"/>
        <v>17876</v>
      </c>
      <c r="G3721" s="2">
        <f t="shared" ca="1" si="414"/>
        <v>673</v>
      </c>
    </row>
    <row r="3722" spans="1:7" x14ac:dyDescent="0.3">
      <c r="A3722" s="5" t="str">
        <f t="shared" si="408"/>
        <v>Adidas</v>
      </c>
      <c r="B3722" s="5" t="str">
        <f t="shared" si="410"/>
        <v>Stan Smith</v>
      </c>
      <c r="C3722" s="3">
        <f t="shared" si="409"/>
        <v>45906</v>
      </c>
      <c r="D3722" s="4">
        <f t="shared" ca="1" si="411"/>
        <v>147</v>
      </c>
      <c r="E3722" s="2">
        <f t="shared" ca="1" si="412"/>
        <v>2655</v>
      </c>
      <c r="F3722" s="2">
        <f t="shared" ca="1" si="413"/>
        <v>28883</v>
      </c>
      <c r="G3722" s="2">
        <f t="shared" ca="1" si="414"/>
        <v>1151</v>
      </c>
    </row>
    <row r="3723" spans="1:7" x14ac:dyDescent="0.3">
      <c r="A3723" s="5" t="str">
        <f t="shared" si="408"/>
        <v>Puma</v>
      </c>
      <c r="B3723" s="5" t="str">
        <f t="shared" si="410"/>
        <v>Cali Dream</v>
      </c>
      <c r="C3723" s="3">
        <f t="shared" si="409"/>
        <v>45906</v>
      </c>
      <c r="D3723" s="4">
        <f t="shared" ca="1" si="411"/>
        <v>234</v>
      </c>
      <c r="E3723" s="2">
        <f t="shared" ca="1" si="412"/>
        <v>5640</v>
      </c>
      <c r="F3723" s="2">
        <f t="shared" ca="1" si="413"/>
        <v>34612</v>
      </c>
      <c r="G3723" s="2">
        <f t="shared" ca="1" si="414"/>
        <v>922</v>
      </c>
    </row>
    <row r="3724" spans="1:7" x14ac:dyDescent="0.3">
      <c r="A3724" s="5" t="str">
        <f t="shared" si="408"/>
        <v>New Balance</v>
      </c>
      <c r="B3724" s="5" t="str">
        <f t="shared" si="410"/>
        <v>9060</v>
      </c>
      <c r="C3724" s="3">
        <f t="shared" si="409"/>
        <v>45906</v>
      </c>
      <c r="D3724" s="4">
        <f t="shared" ca="1" si="411"/>
        <v>233</v>
      </c>
      <c r="E3724" s="2">
        <f t="shared" ca="1" si="412"/>
        <v>9871</v>
      </c>
      <c r="F3724" s="2">
        <f t="shared" ca="1" si="413"/>
        <v>27772</v>
      </c>
      <c r="G3724" s="2">
        <f t="shared" ca="1" si="414"/>
        <v>1832</v>
      </c>
    </row>
    <row r="3725" spans="1:7" x14ac:dyDescent="0.3">
      <c r="A3725" s="5" t="str">
        <f t="shared" si="408"/>
        <v>Reebok</v>
      </c>
      <c r="B3725" s="5" t="str">
        <f t="shared" si="410"/>
        <v>Zig Kinetica</v>
      </c>
      <c r="C3725" s="3">
        <f t="shared" si="409"/>
        <v>45906</v>
      </c>
      <c r="D3725" s="4">
        <f t="shared" ca="1" si="411"/>
        <v>101</v>
      </c>
      <c r="E3725" s="2">
        <f t="shared" ca="1" si="412"/>
        <v>7135</v>
      </c>
      <c r="F3725" s="2">
        <f t="shared" ca="1" si="413"/>
        <v>28640</v>
      </c>
      <c r="G3725" s="2">
        <f t="shared" ca="1" si="414"/>
        <v>713</v>
      </c>
    </row>
    <row r="3726" spans="1:7" x14ac:dyDescent="0.3">
      <c r="A3726" s="5" t="str">
        <f t="shared" si="408"/>
        <v>Nike</v>
      </c>
      <c r="B3726" s="5" t="str">
        <f t="shared" si="410"/>
        <v>Jordan 1</v>
      </c>
      <c r="C3726" s="3">
        <f t="shared" si="409"/>
        <v>45906</v>
      </c>
      <c r="D3726" s="4">
        <f t="shared" ca="1" si="411"/>
        <v>88</v>
      </c>
      <c r="E3726" s="2">
        <f t="shared" ca="1" si="412"/>
        <v>8976</v>
      </c>
      <c r="F3726" s="2">
        <f t="shared" ca="1" si="413"/>
        <v>27941</v>
      </c>
      <c r="G3726" s="2">
        <f t="shared" ca="1" si="414"/>
        <v>1338</v>
      </c>
    </row>
    <row r="3727" spans="1:7" x14ac:dyDescent="0.3">
      <c r="A3727" s="5" t="str">
        <f t="shared" si="408"/>
        <v>Adidas</v>
      </c>
      <c r="B3727" s="5" t="str">
        <f t="shared" si="410"/>
        <v>Ultraboost 23</v>
      </c>
      <c r="C3727" s="3">
        <f t="shared" si="409"/>
        <v>45906</v>
      </c>
      <c r="D3727" s="4">
        <f t="shared" ca="1" si="411"/>
        <v>152</v>
      </c>
      <c r="E3727" s="2">
        <f t="shared" ca="1" si="412"/>
        <v>2723</v>
      </c>
      <c r="F3727" s="2">
        <f t="shared" ca="1" si="413"/>
        <v>30971</v>
      </c>
      <c r="G3727" s="2">
        <f t="shared" ca="1" si="414"/>
        <v>722</v>
      </c>
    </row>
    <row r="3728" spans="1:7" x14ac:dyDescent="0.3">
      <c r="A3728" s="5" t="str">
        <f t="shared" si="408"/>
        <v>Puma</v>
      </c>
      <c r="B3728" s="5" t="str">
        <f t="shared" si="410"/>
        <v>RS-X</v>
      </c>
      <c r="C3728" s="3">
        <f t="shared" si="409"/>
        <v>45906</v>
      </c>
      <c r="D3728" s="4">
        <f t="shared" ca="1" si="411"/>
        <v>202</v>
      </c>
      <c r="E3728" s="2">
        <f t="shared" ca="1" si="412"/>
        <v>3777</v>
      </c>
      <c r="F3728" s="2">
        <f t="shared" ca="1" si="413"/>
        <v>10996</v>
      </c>
      <c r="G3728" s="2">
        <f t="shared" ca="1" si="414"/>
        <v>761</v>
      </c>
    </row>
    <row r="3729" spans="1:7" x14ac:dyDescent="0.3">
      <c r="A3729" s="5" t="str">
        <f t="shared" si="408"/>
        <v>New Balance</v>
      </c>
      <c r="B3729" s="5" t="str">
        <f t="shared" si="410"/>
        <v>2002R</v>
      </c>
      <c r="C3729" s="3">
        <f t="shared" si="409"/>
        <v>45906</v>
      </c>
      <c r="D3729" s="4">
        <f t="shared" ca="1" si="411"/>
        <v>202</v>
      </c>
      <c r="E3729" s="2">
        <f t="shared" ca="1" si="412"/>
        <v>10587</v>
      </c>
      <c r="F3729" s="2">
        <f t="shared" ca="1" si="413"/>
        <v>7499</v>
      </c>
      <c r="G3729" s="2">
        <f t="shared" ca="1" si="414"/>
        <v>310</v>
      </c>
    </row>
    <row r="3730" spans="1:7" x14ac:dyDescent="0.3">
      <c r="A3730" s="5" t="str">
        <f t="shared" si="408"/>
        <v>Reebok</v>
      </c>
      <c r="B3730" s="5" t="str">
        <f t="shared" si="410"/>
        <v>Instapump Fury</v>
      </c>
      <c r="C3730" s="3">
        <f t="shared" si="409"/>
        <v>45906</v>
      </c>
      <c r="D3730" s="4">
        <f t="shared" ca="1" si="411"/>
        <v>233</v>
      </c>
      <c r="E3730" s="2">
        <f t="shared" ca="1" si="412"/>
        <v>6966</v>
      </c>
      <c r="F3730" s="2">
        <f t="shared" ca="1" si="413"/>
        <v>12270</v>
      </c>
      <c r="G3730" s="2">
        <f t="shared" ca="1" si="414"/>
        <v>919</v>
      </c>
    </row>
    <row r="3731" spans="1:7" x14ac:dyDescent="0.3">
      <c r="A3731" s="5" t="str">
        <f t="shared" si="408"/>
        <v>Nike</v>
      </c>
      <c r="B3731" s="5" t="str">
        <f t="shared" si="410"/>
        <v>Cortez</v>
      </c>
      <c r="C3731" s="3">
        <f t="shared" si="409"/>
        <v>45906</v>
      </c>
      <c r="D3731" s="4">
        <f t="shared" ca="1" si="411"/>
        <v>39</v>
      </c>
      <c r="E3731" s="2">
        <f t="shared" ca="1" si="412"/>
        <v>8532</v>
      </c>
      <c r="F3731" s="2">
        <f t="shared" ca="1" si="413"/>
        <v>34381</v>
      </c>
      <c r="G3731" s="2">
        <f t="shared" ca="1" si="414"/>
        <v>1782</v>
      </c>
    </row>
    <row r="3732" spans="1:7" x14ac:dyDescent="0.3">
      <c r="A3732" s="5" t="str">
        <f t="shared" si="408"/>
        <v>Adidas</v>
      </c>
      <c r="B3732" s="5" t="str">
        <f t="shared" si="410"/>
        <v>NMD S1</v>
      </c>
      <c r="C3732" s="3">
        <f t="shared" si="409"/>
        <v>45906</v>
      </c>
      <c r="D3732" s="4">
        <f t="shared" ca="1" si="411"/>
        <v>228</v>
      </c>
      <c r="E3732" s="2">
        <f t="shared" ca="1" si="412"/>
        <v>7511</v>
      </c>
      <c r="F3732" s="2">
        <f t="shared" ca="1" si="413"/>
        <v>5141</v>
      </c>
      <c r="G3732" s="2">
        <f t="shared" ca="1" si="414"/>
        <v>299</v>
      </c>
    </row>
    <row r="3733" spans="1:7" x14ac:dyDescent="0.3">
      <c r="A3733" s="5" t="str">
        <f t="shared" si="408"/>
        <v>Puma</v>
      </c>
      <c r="B3733" s="5" t="str">
        <f t="shared" si="410"/>
        <v>Suede Classic</v>
      </c>
      <c r="C3733" s="3">
        <f t="shared" si="409"/>
        <v>45906</v>
      </c>
      <c r="D3733" s="4">
        <f t="shared" ca="1" si="411"/>
        <v>141</v>
      </c>
      <c r="E3733" s="2">
        <f t="shared" ca="1" si="412"/>
        <v>9926</v>
      </c>
      <c r="F3733" s="2">
        <f t="shared" ca="1" si="413"/>
        <v>22354</v>
      </c>
      <c r="G3733" s="2">
        <f t="shared" ca="1" si="414"/>
        <v>1115</v>
      </c>
    </row>
    <row r="3734" spans="1:7" x14ac:dyDescent="0.3">
      <c r="A3734" s="5" t="str">
        <f t="shared" si="408"/>
        <v>New Balance</v>
      </c>
      <c r="B3734" s="5" t="str">
        <f t="shared" si="410"/>
        <v>990v6</v>
      </c>
      <c r="C3734" s="3">
        <f t="shared" si="409"/>
        <v>45906</v>
      </c>
      <c r="D3734" s="4">
        <f t="shared" ca="1" si="411"/>
        <v>191</v>
      </c>
      <c r="E3734" s="2">
        <f t="shared" ca="1" si="412"/>
        <v>2273</v>
      </c>
      <c r="F3734" s="2">
        <f t="shared" ca="1" si="413"/>
        <v>17691</v>
      </c>
      <c r="G3734" s="2">
        <f t="shared" ca="1" si="414"/>
        <v>833</v>
      </c>
    </row>
    <row r="3735" spans="1:7" x14ac:dyDescent="0.3">
      <c r="A3735" s="5" t="str">
        <f t="shared" si="408"/>
        <v>Reebok</v>
      </c>
      <c r="B3735" s="5" t="str">
        <f t="shared" si="410"/>
        <v>Nano X3</v>
      </c>
      <c r="C3735" s="3">
        <f t="shared" si="409"/>
        <v>45906</v>
      </c>
      <c r="D3735" s="4">
        <f t="shared" ca="1" si="411"/>
        <v>136</v>
      </c>
      <c r="E3735" s="2">
        <f t="shared" ca="1" si="412"/>
        <v>2857</v>
      </c>
      <c r="F3735" s="2">
        <f t="shared" ca="1" si="413"/>
        <v>14341</v>
      </c>
      <c r="G3735" s="2">
        <f t="shared" ca="1" si="414"/>
        <v>566</v>
      </c>
    </row>
    <row r="3736" spans="1:7" x14ac:dyDescent="0.3">
      <c r="A3736" s="5" t="str">
        <f t="shared" si="408"/>
        <v>Nike</v>
      </c>
      <c r="B3736" s="5" t="str">
        <f t="shared" si="410"/>
        <v>Vaporfly 3</v>
      </c>
      <c r="C3736" s="3">
        <f t="shared" si="409"/>
        <v>45906</v>
      </c>
      <c r="D3736" s="4">
        <f t="shared" ca="1" si="411"/>
        <v>183</v>
      </c>
      <c r="E3736" s="2">
        <f t="shared" ca="1" si="412"/>
        <v>7035</v>
      </c>
      <c r="F3736" s="2">
        <f t="shared" ca="1" si="413"/>
        <v>12666</v>
      </c>
      <c r="G3736" s="2">
        <f t="shared" ca="1" si="414"/>
        <v>941</v>
      </c>
    </row>
    <row r="3737" spans="1:7" x14ac:dyDescent="0.3">
      <c r="A3737" s="5" t="str">
        <f t="shared" si="408"/>
        <v>Adidas</v>
      </c>
      <c r="B3737" s="5" t="str">
        <f t="shared" si="410"/>
        <v>Samba</v>
      </c>
      <c r="C3737" s="3">
        <f t="shared" si="409"/>
        <v>45907</v>
      </c>
      <c r="D3737" s="4">
        <f t="shared" ca="1" si="411"/>
        <v>148</v>
      </c>
      <c r="E3737" s="2">
        <f t="shared" ca="1" si="412"/>
        <v>9958</v>
      </c>
      <c r="F3737" s="2">
        <f t="shared" ca="1" si="413"/>
        <v>9871</v>
      </c>
      <c r="G3737" s="2">
        <f t="shared" ca="1" si="414"/>
        <v>317</v>
      </c>
    </row>
    <row r="3738" spans="1:7" x14ac:dyDescent="0.3">
      <c r="A3738" s="5" t="str">
        <f t="shared" si="408"/>
        <v>Puma</v>
      </c>
      <c r="B3738" s="5" t="str">
        <f t="shared" si="410"/>
        <v>Mayze</v>
      </c>
      <c r="C3738" s="3">
        <f t="shared" si="409"/>
        <v>45907</v>
      </c>
      <c r="D3738" s="4">
        <f t="shared" ca="1" si="411"/>
        <v>136</v>
      </c>
      <c r="E3738" s="2">
        <f t="shared" ca="1" si="412"/>
        <v>2325</v>
      </c>
      <c r="F3738" s="2">
        <f t="shared" ca="1" si="413"/>
        <v>5494</v>
      </c>
      <c r="G3738" s="2">
        <f t="shared" ca="1" si="414"/>
        <v>418</v>
      </c>
    </row>
    <row r="3739" spans="1:7" x14ac:dyDescent="0.3">
      <c r="A3739" s="5" t="str">
        <f t="shared" si="408"/>
        <v>New Balance</v>
      </c>
      <c r="B3739" s="5" t="str">
        <f t="shared" si="410"/>
        <v>574 Core</v>
      </c>
      <c r="C3739" s="3">
        <f t="shared" si="409"/>
        <v>45907</v>
      </c>
      <c r="D3739" s="4">
        <f t="shared" ca="1" si="411"/>
        <v>80</v>
      </c>
      <c r="E3739" s="2">
        <f t="shared" ca="1" si="412"/>
        <v>6542</v>
      </c>
      <c r="F3739" s="2">
        <f t="shared" ca="1" si="413"/>
        <v>8803</v>
      </c>
      <c r="G3739" s="2">
        <f t="shared" ca="1" si="414"/>
        <v>538</v>
      </c>
    </row>
    <row r="3740" spans="1:7" x14ac:dyDescent="0.3">
      <c r="A3740" s="5" t="str">
        <f t="shared" si="408"/>
        <v>Reebok</v>
      </c>
      <c r="B3740" s="5" t="str">
        <f t="shared" si="410"/>
        <v>Club C 85</v>
      </c>
      <c r="C3740" s="3">
        <f t="shared" si="409"/>
        <v>45907</v>
      </c>
      <c r="D3740" s="4">
        <f t="shared" ca="1" si="411"/>
        <v>121</v>
      </c>
      <c r="E3740" s="2">
        <f t="shared" ca="1" si="412"/>
        <v>6373</v>
      </c>
      <c r="F3740" s="2">
        <f t="shared" ca="1" si="413"/>
        <v>12828</v>
      </c>
      <c r="G3740" s="2">
        <f t="shared" ca="1" si="414"/>
        <v>537</v>
      </c>
    </row>
    <row r="3741" spans="1:7" x14ac:dyDescent="0.3">
      <c r="A3741" s="5" t="str">
        <f t="shared" si="408"/>
        <v>Nike</v>
      </c>
      <c r="B3741" s="5" t="str">
        <f t="shared" si="410"/>
        <v>Pegasus 40</v>
      </c>
      <c r="C3741" s="3">
        <f t="shared" si="409"/>
        <v>45907</v>
      </c>
      <c r="D3741" s="4">
        <f t="shared" ca="1" si="411"/>
        <v>71</v>
      </c>
      <c r="E3741" s="2">
        <f t="shared" ca="1" si="412"/>
        <v>6197</v>
      </c>
      <c r="F3741" s="2">
        <f t="shared" ca="1" si="413"/>
        <v>24332</v>
      </c>
      <c r="G3741" s="2">
        <f t="shared" ca="1" si="414"/>
        <v>1492</v>
      </c>
    </row>
    <row r="3742" spans="1:7" x14ac:dyDescent="0.3">
      <c r="A3742" s="5" t="str">
        <f t="shared" si="408"/>
        <v>Adidas</v>
      </c>
      <c r="B3742" s="5" t="str">
        <f t="shared" si="410"/>
        <v>Gazelle</v>
      </c>
      <c r="C3742" s="3">
        <f t="shared" si="409"/>
        <v>45907</v>
      </c>
      <c r="D3742" s="4">
        <f t="shared" ca="1" si="411"/>
        <v>225</v>
      </c>
      <c r="E3742" s="2">
        <f t="shared" ca="1" si="412"/>
        <v>3361</v>
      </c>
      <c r="F3742" s="2">
        <f t="shared" ca="1" si="413"/>
        <v>19083</v>
      </c>
      <c r="G3742" s="2">
        <f t="shared" ca="1" si="414"/>
        <v>1068</v>
      </c>
    </row>
    <row r="3743" spans="1:7" x14ac:dyDescent="0.3">
      <c r="A3743" s="5" t="str">
        <f t="shared" si="408"/>
        <v>Puma</v>
      </c>
      <c r="B3743" s="5" t="str">
        <f t="shared" si="410"/>
        <v>Slipstream</v>
      </c>
      <c r="C3743" s="3">
        <f t="shared" si="409"/>
        <v>45907</v>
      </c>
      <c r="D3743" s="4">
        <f t="shared" ca="1" si="411"/>
        <v>165</v>
      </c>
      <c r="E3743" s="2">
        <f t="shared" ca="1" si="412"/>
        <v>4243</v>
      </c>
      <c r="F3743" s="2">
        <f t="shared" ca="1" si="413"/>
        <v>6562</v>
      </c>
      <c r="G3743" s="2">
        <f t="shared" ca="1" si="414"/>
        <v>305</v>
      </c>
    </row>
    <row r="3744" spans="1:7" x14ac:dyDescent="0.3">
      <c r="A3744" s="5" t="str">
        <f t="shared" si="408"/>
        <v>New Balance</v>
      </c>
      <c r="B3744" s="5" t="str">
        <f t="shared" si="410"/>
        <v>550</v>
      </c>
      <c r="C3744" s="3">
        <f t="shared" si="409"/>
        <v>45907</v>
      </c>
      <c r="D3744" s="4">
        <f t="shared" ca="1" si="411"/>
        <v>89</v>
      </c>
      <c r="E3744" s="2">
        <f t="shared" ca="1" si="412"/>
        <v>11305</v>
      </c>
      <c r="F3744" s="2">
        <f t="shared" ca="1" si="413"/>
        <v>13019</v>
      </c>
      <c r="G3744" s="2">
        <f t="shared" ca="1" si="414"/>
        <v>579</v>
      </c>
    </row>
    <row r="3745" spans="1:7" x14ac:dyDescent="0.3">
      <c r="A3745" s="5" t="str">
        <f t="shared" si="408"/>
        <v>Reebok</v>
      </c>
      <c r="B3745" s="5" t="str">
        <f t="shared" si="410"/>
        <v>Classic Leather</v>
      </c>
      <c r="C3745" s="3">
        <f t="shared" si="409"/>
        <v>45907</v>
      </c>
      <c r="D3745" s="4">
        <f t="shared" ca="1" si="411"/>
        <v>137</v>
      </c>
      <c r="E3745" s="2">
        <f t="shared" ca="1" si="412"/>
        <v>2580</v>
      </c>
      <c r="F3745" s="2">
        <f t="shared" ca="1" si="413"/>
        <v>27702</v>
      </c>
      <c r="G3745" s="2">
        <f t="shared" ca="1" si="414"/>
        <v>2063</v>
      </c>
    </row>
    <row r="3746" spans="1:7" x14ac:dyDescent="0.3">
      <c r="A3746" s="5" t="str">
        <f t="shared" si="408"/>
        <v>Nike</v>
      </c>
      <c r="B3746" s="5" t="str">
        <f t="shared" si="410"/>
        <v>Air Force 1</v>
      </c>
      <c r="C3746" s="3">
        <f t="shared" si="409"/>
        <v>45907</v>
      </c>
      <c r="D3746" s="4">
        <f t="shared" ca="1" si="411"/>
        <v>244</v>
      </c>
      <c r="E3746" s="2">
        <f t="shared" ca="1" si="412"/>
        <v>9264</v>
      </c>
      <c r="F3746" s="2">
        <f t="shared" ca="1" si="413"/>
        <v>14606</v>
      </c>
      <c r="G3746" s="2">
        <f t="shared" ca="1" si="414"/>
        <v>994</v>
      </c>
    </row>
    <row r="3747" spans="1:7" x14ac:dyDescent="0.3">
      <c r="A3747" s="5" t="str">
        <f t="shared" si="408"/>
        <v>Adidas</v>
      </c>
      <c r="B3747" s="5" t="str">
        <f t="shared" si="410"/>
        <v>Superstar</v>
      </c>
      <c r="C3747" s="3">
        <f t="shared" si="409"/>
        <v>45907</v>
      </c>
      <c r="D3747" s="4">
        <f t="shared" ca="1" si="411"/>
        <v>120</v>
      </c>
      <c r="E3747" s="2">
        <f t="shared" ca="1" si="412"/>
        <v>11141</v>
      </c>
      <c r="F3747" s="2">
        <f t="shared" ca="1" si="413"/>
        <v>29505</v>
      </c>
      <c r="G3747" s="2">
        <f t="shared" ca="1" si="414"/>
        <v>1781</v>
      </c>
    </row>
    <row r="3748" spans="1:7" x14ac:dyDescent="0.3">
      <c r="A3748" s="5" t="str">
        <f t="shared" si="408"/>
        <v>Puma</v>
      </c>
      <c r="B3748" s="5" t="str">
        <f t="shared" si="410"/>
        <v>Rider Vintage</v>
      </c>
      <c r="C3748" s="3">
        <f t="shared" si="409"/>
        <v>45907</v>
      </c>
      <c r="D3748" s="4">
        <f t="shared" ca="1" si="411"/>
        <v>124</v>
      </c>
      <c r="E3748" s="2">
        <f t="shared" ca="1" si="412"/>
        <v>10020</v>
      </c>
      <c r="F3748" s="2">
        <f t="shared" ca="1" si="413"/>
        <v>6007</v>
      </c>
      <c r="G3748" s="2">
        <f t="shared" ca="1" si="414"/>
        <v>442</v>
      </c>
    </row>
    <row r="3749" spans="1:7" x14ac:dyDescent="0.3">
      <c r="A3749" s="5" t="str">
        <f t="shared" si="408"/>
        <v>New Balance</v>
      </c>
      <c r="B3749" s="5" t="str">
        <f t="shared" si="410"/>
        <v>327</v>
      </c>
      <c r="C3749" s="3">
        <f t="shared" si="409"/>
        <v>45907</v>
      </c>
      <c r="D3749" s="4">
        <f t="shared" ca="1" si="411"/>
        <v>109</v>
      </c>
      <c r="E3749" s="2">
        <f t="shared" ca="1" si="412"/>
        <v>3261</v>
      </c>
      <c r="F3749" s="2">
        <f t="shared" ca="1" si="413"/>
        <v>20594</v>
      </c>
      <c r="G3749" s="2">
        <f t="shared" ca="1" si="414"/>
        <v>714</v>
      </c>
    </row>
    <row r="3750" spans="1:7" x14ac:dyDescent="0.3">
      <c r="A3750" s="5" t="str">
        <f t="shared" si="408"/>
        <v>Reebok</v>
      </c>
      <c r="B3750" s="5" t="str">
        <f t="shared" si="410"/>
        <v>Question Mid</v>
      </c>
      <c r="C3750" s="3">
        <f t="shared" si="409"/>
        <v>45907</v>
      </c>
      <c r="D3750" s="4">
        <f t="shared" ca="1" si="411"/>
        <v>191</v>
      </c>
      <c r="E3750" s="2">
        <f t="shared" ca="1" si="412"/>
        <v>4537</v>
      </c>
      <c r="F3750" s="2">
        <f t="shared" ca="1" si="413"/>
        <v>22299</v>
      </c>
      <c r="G3750" s="2">
        <f t="shared" ca="1" si="414"/>
        <v>1513</v>
      </c>
    </row>
    <row r="3751" spans="1:7" x14ac:dyDescent="0.3">
      <c r="A3751" s="5" t="str">
        <f t="shared" si="408"/>
        <v>Nike</v>
      </c>
      <c r="B3751" s="5" t="str">
        <f t="shared" si="410"/>
        <v>Air Max 270</v>
      </c>
      <c r="C3751" s="3">
        <f t="shared" si="409"/>
        <v>45907</v>
      </c>
      <c r="D3751" s="4">
        <f t="shared" ca="1" si="411"/>
        <v>129</v>
      </c>
      <c r="E3751" s="2">
        <f t="shared" ca="1" si="412"/>
        <v>6296</v>
      </c>
      <c r="F3751" s="2">
        <f t="shared" ca="1" si="413"/>
        <v>20447</v>
      </c>
      <c r="G3751" s="2">
        <f t="shared" ca="1" si="414"/>
        <v>580</v>
      </c>
    </row>
    <row r="3752" spans="1:7" x14ac:dyDescent="0.3">
      <c r="A3752" s="5" t="str">
        <f t="shared" si="408"/>
        <v>Adidas</v>
      </c>
      <c r="B3752" s="5" t="str">
        <f t="shared" si="410"/>
        <v>Stan Smith</v>
      </c>
      <c r="C3752" s="3">
        <f t="shared" si="409"/>
        <v>45908</v>
      </c>
      <c r="D3752" s="4">
        <f t="shared" ca="1" si="411"/>
        <v>38</v>
      </c>
      <c r="E3752" s="2">
        <f t="shared" ca="1" si="412"/>
        <v>7096</v>
      </c>
      <c r="F3752" s="2">
        <f t="shared" ca="1" si="413"/>
        <v>11068</v>
      </c>
      <c r="G3752" s="2">
        <f t="shared" ca="1" si="414"/>
        <v>244</v>
      </c>
    </row>
    <row r="3753" spans="1:7" x14ac:dyDescent="0.3">
      <c r="A3753" s="5" t="str">
        <f t="shared" si="408"/>
        <v>Puma</v>
      </c>
      <c r="B3753" s="5" t="str">
        <f t="shared" si="410"/>
        <v>Cali Dream</v>
      </c>
      <c r="C3753" s="3">
        <f t="shared" si="409"/>
        <v>45908</v>
      </c>
      <c r="D3753" s="4">
        <f t="shared" ca="1" si="411"/>
        <v>206</v>
      </c>
      <c r="E3753" s="2">
        <f t="shared" ca="1" si="412"/>
        <v>2042</v>
      </c>
      <c r="F3753" s="2">
        <f t="shared" ca="1" si="413"/>
        <v>26970</v>
      </c>
      <c r="G3753" s="2">
        <f t="shared" ca="1" si="414"/>
        <v>1975</v>
      </c>
    </row>
    <row r="3754" spans="1:7" x14ac:dyDescent="0.3">
      <c r="A3754" s="5" t="str">
        <f t="shared" si="408"/>
        <v>New Balance</v>
      </c>
      <c r="B3754" s="5" t="str">
        <f t="shared" si="410"/>
        <v>9060</v>
      </c>
      <c r="C3754" s="3">
        <f t="shared" si="409"/>
        <v>45908</v>
      </c>
      <c r="D3754" s="4">
        <f t="shared" ca="1" si="411"/>
        <v>34</v>
      </c>
      <c r="E3754" s="2">
        <f t="shared" ca="1" si="412"/>
        <v>10820</v>
      </c>
      <c r="F3754" s="2">
        <f t="shared" ca="1" si="413"/>
        <v>20236</v>
      </c>
      <c r="G3754" s="2">
        <f t="shared" ca="1" si="414"/>
        <v>1377</v>
      </c>
    </row>
    <row r="3755" spans="1:7" x14ac:dyDescent="0.3">
      <c r="A3755" s="5" t="str">
        <f t="shared" ref="A3755:A3818" si="415">CHOOSE(MOD(ROW(A3754),5)+1,"Nike","Adidas","Puma","New Balance","Reebok")</f>
        <v>Reebok</v>
      </c>
      <c r="B3755" s="5" t="str">
        <f t="shared" si="410"/>
        <v>Zig Kinetica</v>
      </c>
      <c r="C3755" s="3">
        <f t="shared" ref="C3755:C3818" si="416">DATE(2025,1,1)+INT((ROW(A3755)-2)/15)</f>
        <v>45908</v>
      </c>
      <c r="D3755" s="4">
        <f t="shared" ca="1" si="411"/>
        <v>121</v>
      </c>
      <c r="E3755" s="2">
        <f t="shared" ca="1" si="412"/>
        <v>6985</v>
      </c>
      <c r="F3755" s="2">
        <f t="shared" ca="1" si="413"/>
        <v>6938</v>
      </c>
      <c r="G3755" s="2">
        <f t="shared" ca="1" si="414"/>
        <v>524</v>
      </c>
    </row>
    <row r="3756" spans="1:7" x14ac:dyDescent="0.3">
      <c r="A3756" s="5" t="str">
        <f t="shared" si="415"/>
        <v>Nike</v>
      </c>
      <c r="B3756" s="5" t="str">
        <f t="shared" si="410"/>
        <v>Jordan 1</v>
      </c>
      <c r="C3756" s="3">
        <f t="shared" si="416"/>
        <v>45908</v>
      </c>
      <c r="D3756" s="4">
        <f t="shared" ca="1" si="411"/>
        <v>233</v>
      </c>
      <c r="E3756" s="2">
        <f t="shared" ca="1" si="412"/>
        <v>10270</v>
      </c>
      <c r="F3756" s="2">
        <f t="shared" ca="1" si="413"/>
        <v>19543</v>
      </c>
      <c r="G3756" s="2">
        <f t="shared" ca="1" si="414"/>
        <v>972</v>
      </c>
    </row>
    <row r="3757" spans="1:7" x14ac:dyDescent="0.3">
      <c r="A3757" s="5" t="str">
        <f t="shared" si="415"/>
        <v>Adidas</v>
      </c>
      <c r="B3757" s="5" t="str">
        <f t="shared" si="410"/>
        <v>Ultraboost 23</v>
      </c>
      <c r="C3757" s="3">
        <f t="shared" si="416"/>
        <v>45908</v>
      </c>
      <c r="D3757" s="4">
        <f t="shared" ca="1" si="411"/>
        <v>31</v>
      </c>
      <c r="E3757" s="2">
        <f t="shared" ca="1" si="412"/>
        <v>5188</v>
      </c>
      <c r="F3757" s="2">
        <f t="shared" ca="1" si="413"/>
        <v>29003</v>
      </c>
      <c r="G3757" s="2">
        <f t="shared" ca="1" si="414"/>
        <v>1133</v>
      </c>
    </row>
    <row r="3758" spans="1:7" x14ac:dyDescent="0.3">
      <c r="A3758" s="5" t="str">
        <f t="shared" si="415"/>
        <v>Puma</v>
      </c>
      <c r="B3758" s="5" t="str">
        <f t="shared" si="410"/>
        <v>RS-X</v>
      </c>
      <c r="C3758" s="3">
        <f t="shared" si="416"/>
        <v>45908</v>
      </c>
      <c r="D3758" s="4">
        <f t="shared" ca="1" si="411"/>
        <v>132</v>
      </c>
      <c r="E3758" s="2">
        <f t="shared" ca="1" si="412"/>
        <v>2208</v>
      </c>
      <c r="F3758" s="2">
        <f t="shared" ca="1" si="413"/>
        <v>30130</v>
      </c>
      <c r="G3758" s="2">
        <f t="shared" ca="1" si="414"/>
        <v>870</v>
      </c>
    </row>
    <row r="3759" spans="1:7" x14ac:dyDescent="0.3">
      <c r="A3759" s="5" t="str">
        <f t="shared" si="415"/>
        <v>New Balance</v>
      </c>
      <c r="B3759" s="5" t="str">
        <f t="shared" si="410"/>
        <v>2002R</v>
      </c>
      <c r="C3759" s="3">
        <f t="shared" si="416"/>
        <v>45908</v>
      </c>
      <c r="D3759" s="4">
        <f t="shared" ca="1" si="411"/>
        <v>140</v>
      </c>
      <c r="E3759" s="2">
        <f t="shared" ca="1" si="412"/>
        <v>11715</v>
      </c>
      <c r="F3759" s="2">
        <f t="shared" ca="1" si="413"/>
        <v>18088</v>
      </c>
      <c r="G3759" s="2">
        <f t="shared" ca="1" si="414"/>
        <v>1245</v>
      </c>
    </row>
    <row r="3760" spans="1:7" x14ac:dyDescent="0.3">
      <c r="A3760" s="5" t="str">
        <f t="shared" si="415"/>
        <v>Reebok</v>
      </c>
      <c r="B3760" s="5" t="str">
        <f t="shared" si="410"/>
        <v>Instapump Fury</v>
      </c>
      <c r="C3760" s="3">
        <f t="shared" si="416"/>
        <v>45908</v>
      </c>
      <c r="D3760" s="4">
        <f t="shared" ca="1" si="411"/>
        <v>81</v>
      </c>
      <c r="E3760" s="2">
        <f t="shared" ca="1" si="412"/>
        <v>3843</v>
      </c>
      <c r="F3760" s="2">
        <f t="shared" ca="1" si="413"/>
        <v>30808</v>
      </c>
      <c r="G3760" s="2">
        <f t="shared" ca="1" si="414"/>
        <v>1624</v>
      </c>
    </row>
    <row r="3761" spans="1:7" x14ac:dyDescent="0.3">
      <c r="A3761" s="5" t="str">
        <f t="shared" si="415"/>
        <v>Nike</v>
      </c>
      <c r="B3761" s="5" t="str">
        <f t="shared" si="410"/>
        <v>Cortez</v>
      </c>
      <c r="C3761" s="3">
        <f t="shared" si="416"/>
        <v>45908</v>
      </c>
      <c r="D3761" s="4">
        <f t="shared" ca="1" si="411"/>
        <v>38</v>
      </c>
      <c r="E3761" s="2">
        <f t="shared" ca="1" si="412"/>
        <v>8251</v>
      </c>
      <c r="F3761" s="2">
        <f t="shared" ca="1" si="413"/>
        <v>21975</v>
      </c>
      <c r="G3761" s="2">
        <f t="shared" ca="1" si="414"/>
        <v>1429</v>
      </c>
    </row>
    <row r="3762" spans="1:7" x14ac:dyDescent="0.3">
      <c r="A3762" s="5" t="str">
        <f t="shared" si="415"/>
        <v>Adidas</v>
      </c>
      <c r="B3762" s="5" t="str">
        <f t="shared" si="410"/>
        <v>NMD S1</v>
      </c>
      <c r="C3762" s="3">
        <f t="shared" si="416"/>
        <v>45908</v>
      </c>
      <c r="D3762" s="4">
        <f t="shared" ca="1" si="411"/>
        <v>250</v>
      </c>
      <c r="E3762" s="2">
        <f t="shared" ca="1" si="412"/>
        <v>9646</v>
      </c>
      <c r="F3762" s="2">
        <f t="shared" ca="1" si="413"/>
        <v>26826</v>
      </c>
      <c r="G3762" s="2">
        <f t="shared" ca="1" si="414"/>
        <v>1586</v>
      </c>
    </row>
    <row r="3763" spans="1:7" x14ac:dyDescent="0.3">
      <c r="A3763" s="5" t="str">
        <f t="shared" si="415"/>
        <v>Puma</v>
      </c>
      <c r="B3763" s="5" t="str">
        <f t="shared" si="410"/>
        <v>Suede Classic</v>
      </c>
      <c r="C3763" s="3">
        <f t="shared" si="416"/>
        <v>45908</v>
      </c>
      <c r="D3763" s="4">
        <f t="shared" ca="1" si="411"/>
        <v>192</v>
      </c>
      <c r="E3763" s="2">
        <f t="shared" ca="1" si="412"/>
        <v>1551</v>
      </c>
      <c r="F3763" s="2">
        <f t="shared" ca="1" si="413"/>
        <v>24505</v>
      </c>
      <c r="G3763" s="2">
        <f t="shared" ca="1" si="414"/>
        <v>1090</v>
      </c>
    </row>
    <row r="3764" spans="1:7" x14ac:dyDescent="0.3">
      <c r="A3764" s="5" t="str">
        <f t="shared" si="415"/>
        <v>New Balance</v>
      </c>
      <c r="B3764" s="5" t="str">
        <f t="shared" si="410"/>
        <v>990v6</v>
      </c>
      <c r="C3764" s="3">
        <f t="shared" si="416"/>
        <v>45908</v>
      </c>
      <c r="D3764" s="4">
        <f t="shared" ca="1" si="411"/>
        <v>89</v>
      </c>
      <c r="E3764" s="2">
        <f t="shared" ca="1" si="412"/>
        <v>5120</v>
      </c>
      <c r="F3764" s="2">
        <f t="shared" ca="1" si="413"/>
        <v>11297</v>
      </c>
      <c r="G3764" s="2">
        <f t="shared" ca="1" si="414"/>
        <v>855</v>
      </c>
    </row>
    <row r="3765" spans="1:7" x14ac:dyDescent="0.3">
      <c r="A3765" s="5" t="str">
        <f t="shared" si="415"/>
        <v>Reebok</v>
      </c>
      <c r="B3765" s="5" t="str">
        <f t="shared" si="410"/>
        <v>Nano X3</v>
      </c>
      <c r="C3765" s="3">
        <f t="shared" si="416"/>
        <v>45908</v>
      </c>
      <c r="D3765" s="4">
        <f t="shared" ca="1" si="411"/>
        <v>90</v>
      </c>
      <c r="E3765" s="2">
        <f t="shared" ca="1" si="412"/>
        <v>7414</v>
      </c>
      <c r="F3765" s="2">
        <f t="shared" ca="1" si="413"/>
        <v>6784</v>
      </c>
      <c r="G3765" s="2">
        <f t="shared" ca="1" si="414"/>
        <v>493</v>
      </c>
    </row>
    <row r="3766" spans="1:7" x14ac:dyDescent="0.3">
      <c r="A3766" s="5" t="str">
        <f t="shared" si="415"/>
        <v>Nike</v>
      </c>
      <c r="B3766" s="5" t="str">
        <f t="shared" si="410"/>
        <v>Vaporfly 3</v>
      </c>
      <c r="C3766" s="3">
        <f t="shared" si="416"/>
        <v>45908</v>
      </c>
      <c r="D3766" s="4">
        <f t="shared" ca="1" si="411"/>
        <v>241</v>
      </c>
      <c r="E3766" s="2">
        <f t="shared" ca="1" si="412"/>
        <v>2080</v>
      </c>
      <c r="F3766" s="2">
        <f t="shared" ca="1" si="413"/>
        <v>5575</v>
      </c>
      <c r="G3766" s="2">
        <f t="shared" ca="1" si="414"/>
        <v>233</v>
      </c>
    </row>
    <row r="3767" spans="1:7" x14ac:dyDescent="0.3">
      <c r="A3767" s="5" t="str">
        <f t="shared" si="415"/>
        <v>Adidas</v>
      </c>
      <c r="B3767" s="5" t="str">
        <f t="shared" si="410"/>
        <v>Samba</v>
      </c>
      <c r="C3767" s="3">
        <f t="shared" si="416"/>
        <v>45909</v>
      </c>
      <c r="D3767" s="4">
        <f t="shared" ca="1" si="411"/>
        <v>149</v>
      </c>
      <c r="E3767" s="2">
        <f t="shared" ca="1" si="412"/>
        <v>3154</v>
      </c>
      <c r="F3767" s="2">
        <f t="shared" ca="1" si="413"/>
        <v>30555</v>
      </c>
      <c r="G3767" s="2">
        <f t="shared" ca="1" si="414"/>
        <v>2082</v>
      </c>
    </row>
    <row r="3768" spans="1:7" x14ac:dyDescent="0.3">
      <c r="A3768" s="5" t="str">
        <f t="shared" si="415"/>
        <v>Puma</v>
      </c>
      <c r="B3768" s="5" t="str">
        <f t="shared" si="410"/>
        <v>Mayze</v>
      </c>
      <c r="C3768" s="3">
        <f t="shared" si="416"/>
        <v>45909</v>
      </c>
      <c r="D3768" s="4">
        <f t="shared" ca="1" si="411"/>
        <v>156</v>
      </c>
      <c r="E3768" s="2">
        <f t="shared" ca="1" si="412"/>
        <v>8158</v>
      </c>
      <c r="F3768" s="2">
        <f t="shared" ca="1" si="413"/>
        <v>22741</v>
      </c>
      <c r="G3768" s="2">
        <f t="shared" ca="1" si="414"/>
        <v>1520</v>
      </c>
    </row>
    <row r="3769" spans="1:7" x14ac:dyDescent="0.3">
      <c r="A3769" s="5" t="str">
        <f t="shared" si="415"/>
        <v>New Balance</v>
      </c>
      <c r="B3769" s="5" t="str">
        <f t="shared" si="410"/>
        <v>574 Core</v>
      </c>
      <c r="C3769" s="3">
        <f t="shared" si="416"/>
        <v>45909</v>
      </c>
      <c r="D3769" s="4">
        <f t="shared" ca="1" si="411"/>
        <v>38</v>
      </c>
      <c r="E3769" s="2">
        <f t="shared" ca="1" si="412"/>
        <v>7670</v>
      </c>
      <c r="F3769" s="2">
        <f t="shared" ca="1" si="413"/>
        <v>22118</v>
      </c>
      <c r="G3769" s="2">
        <f t="shared" ca="1" si="414"/>
        <v>982</v>
      </c>
    </row>
    <row r="3770" spans="1:7" x14ac:dyDescent="0.3">
      <c r="A3770" s="5" t="str">
        <f t="shared" si="415"/>
        <v>Reebok</v>
      </c>
      <c r="B3770" s="5" t="str">
        <f t="shared" si="410"/>
        <v>Club C 85</v>
      </c>
      <c r="C3770" s="3">
        <f t="shared" si="416"/>
        <v>45909</v>
      </c>
      <c r="D3770" s="4">
        <f t="shared" ca="1" si="411"/>
        <v>235</v>
      </c>
      <c r="E3770" s="2">
        <f t="shared" ca="1" si="412"/>
        <v>4313</v>
      </c>
      <c r="F3770" s="2">
        <f t="shared" ca="1" si="413"/>
        <v>29206</v>
      </c>
      <c r="G3770" s="2">
        <f t="shared" ca="1" si="414"/>
        <v>1929</v>
      </c>
    </row>
    <row r="3771" spans="1:7" x14ac:dyDescent="0.3">
      <c r="A3771" s="5" t="str">
        <f t="shared" si="415"/>
        <v>Nike</v>
      </c>
      <c r="B3771" s="5" t="str">
        <f t="shared" si="410"/>
        <v>Pegasus 40</v>
      </c>
      <c r="C3771" s="3">
        <f t="shared" si="416"/>
        <v>45909</v>
      </c>
      <c r="D3771" s="4">
        <f t="shared" ca="1" si="411"/>
        <v>148</v>
      </c>
      <c r="E3771" s="2">
        <f t="shared" ca="1" si="412"/>
        <v>5539</v>
      </c>
      <c r="F3771" s="2">
        <f t="shared" ca="1" si="413"/>
        <v>22675</v>
      </c>
      <c r="G3771" s="2">
        <f t="shared" ca="1" si="414"/>
        <v>1003</v>
      </c>
    </row>
    <row r="3772" spans="1:7" x14ac:dyDescent="0.3">
      <c r="A3772" s="5" t="str">
        <f t="shared" si="415"/>
        <v>Adidas</v>
      </c>
      <c r="B3772" s="5" t="str">
        <f t="shared" si="410"/>
        <v>Gazelle</v>
      </c>
      <c r="C3772" s="3">
        <f t="shared" si="416"/>
        <v>45909</v>
      </c>
      <c r="D3772" s="4">
        <f t="shared" ca="1" si="411"/>
        <v>57</v>
      </c>
      <c r="E3772" s="2">
        <f t="shared" ca="1" si="412"/>
        <v>2236</v>
      </c>
      <c r="F3772" s="2">
        <f t="shared" ca="1" si="413"/>
        <v>12726</v>
      </c>
      <c r="G3772" s="2">
        <f t="shared" ca="1" si="414"/>
        <v>396</v>
      </c>
    </row>
    <row r="3773" spans="1:7" x14ac:dyDescent="0.3">
      <c r="A3773" s="5" t="str">
        <f t="shared" si="415"/>
        <v>Puma</v>
      </c>
      <c r="B3773" s="5" t="str">
        <f t="shared" si="410"/>
        <v>Slipstream</v>
      </c>
      <c r="C3773" s="3">
        <f t="shared" si="416"/>
        <v>45909</v>
      </c>
      <c r="D3773" s="4">
        <f t="shared" ca="1" si="411"/>
        <v>67</v>
      </c>
      <c r="E3773" s="2">
        <f t="shared" ca="1" si="412"/>
        <v>7298</v>
      </c>
      <c r="F3773" s="2">
        <f t="shared" ca="1" si="413"/>
        <v>6216</v>
      </c>
      <c r="G3773" s="2">
        <f t="shared" ca="1" si="414"/>
        <v>206</v>
      </c>
    </row>
    <row r="3774" spans="1:7" x14ac:dyDescent="0.3">
      <c r="A3774" s="5" t="str">
        <f t="shared" si="415"/>
        <v>New Balance</v>
      </c>
      <c r="B3774" s="5" t="str">
        <f t="shared" si="410"/>
        <v>550</v>
      </c>
      <c r="C3774" s="3">
        <f t="shared" si="416"/>
        <v>45909</v>
      </c>
      <c r="D3774" s="4">
        <f t="shared" ca="1" si="411"/>
        <v>77</v>
      </c>
      <c r="E3774" s="2">
        <f t="shared" ca="1" si="412"/>
        <v>5807</v>
      </c>
      <c r="F3774" s="2">
        <f t="shared" ca="1" si="413"/>
        <v>18008</v>
      </c>
      <c r="G3774" s="2">
        <f t="shared" ca="1" si="414"/>
        <v>1139</v>
      </c>
    </row>
    <row r="3775" spans="1:7" x14ac:dyDescent="0.3">
      <c r="A3775" s="5" t="str">
        <f t="shared" si="415"/>
        <v>Reebok</v>
      </c>
      <c r="B3775" s="5" t="str">
        <f t="shared" si="410"/>
        <v>Classic Leather</v>
      </c>
      <c r="C3775" s="3">
        <f t="shared" si="416"/>
        <v>45909</v>
      </c>
      <c r="D3775" s="4">
        <f t="shared" ca="1" si="411"/>
        <v>193</v>
      </c>
      <c r="E3775" s="2">
        <f t="shared" ca="1" si="412"/>
        <v>10491</v>
      </c>
      <c r="F3775" s="2">
        <f t="shared" ca="1" si="413"/>
        <v>18741</v>
      </c>
      <c r="G3775" s="2">
        <f t="shared" ca="1" si="414"/>
        <v>1077</v>
      </c>
    </row>
    <row r="3776" spans="1:7" x14ac:dyDescent="0.3">
      <c r="A3776" s="5" t="str">
        <f t="shared" si="415"/>
        <v>Nike</v>
      </c>
      <c r="B3776" s="5" t="str">
        <f t="shared" si="410"/>
        <v>Air Force 1</v>
      </c>
      <c r="C3776" s="3">
        <f t="shared" si="416"/>
        <v>45909</v>
      </c>
      <c r="D3776" s="4">
        <f t="shared" ca="1" si="411"/>
        <v>94</v>
      </c>
      <c r="E3776" s="2">
        <f t="shared" ca="1" si="412"/>
        <v>10242</v>
      </c>
      <c r="F3776" s="2">
        <f t="shared" ca="1" si="413"/>
        <v>27265</v>
      </c>
      <c r="G3776" s="2">
        <f t="shared" ca="1" si="414"/>
        <v>775</v>
      </c>
    </row>
    <row r="3777" spans="1:7" x14ac:dyDescent="0.3">
      <c r="A3777" s="5" t="str">
        <f t="shared" si="415"/>
        <v>Adidas</v>
      </c>
      <c r="B3777" s="5" t="str">
        <f t="shared" si="410"/>
        <v>Superstar</v>
      </c>
      <c r="C3777" s="3">
        <f t="shared" si="416"/>
        <v>45909</v>
      </c>
      <c r="D3777" s="4">
        <f t="shared" ca="1" si="411"/>
        <v>163</v>
      </c>
      <c r="E3777" s="2">
        <f t="shared" ca="1" si="412"/>
        <v>4331</v>
      </c>
      <c r="F3777" s="2">
        <f t="shared" ca="1" si="413"/>
        <v>34404</v>
      </c>
      <c r="G3777" s="2">
        <f t="shared" ca="1" si="414"/>
        <v>2295</v>
      </c>
    </row>
    <row r="3778" spans="1:7" x14ac:dyDescent="0.3">
      <c r="A3778" s="5" t="str">
        <f t="shared" si="415"/>
        <v>Puma</v>
      </c>
      <c r="B3778" s="5" t="str">
        <f t="shared" si="410"/>
        <v>Rider Vintage</v>
      </c>
      <c r="C3778" s="3">
        <f t="shared" si="416"/>
        <v>45909</v>
      </c>
      <c r="D3778" s="4">
        <f t="shared" ca="1" si="411"/>
        <v>201</v>
      </c>
      <c r="E3778" s="2">
        <f t="shared" ca="1" si="412"/>
        <v>3008</v>
      </c>
      <c r="F3778" s="2">
        <f t="shared" ca="1" si="413"/>
        <v>34654</v>
      </c>
      <c r="G3778" s="2">
        <f t="shared" ca="1" si="414"/>
        <v>2752</v>
      </c>
    </row>
    <row r="3779" spans="1:7" x14ac:dyDescent="0.3">
      <c r="A3779" s="5" t="str">
        <f t="shared" si="415"/>
        <v>New Balance</v>
      </c>
      <c r="B3779" s="5" t="str">
        <f t="shared" ref="B3779:B3842" si="417">IF(A3779="Nike",CHOOSE(MOD(ROW(A3778),6)+1,"Air Max 270","Air Force 1","Pegasus 40","Vaporfly 3","Cortez","Jordan 1"),
 IF(A3779="Adidas",CHOOSE(MOD(ROW(A3778),6)+1,"Ultraboost 23","Stan Smith","Superstar","Gazelle","Samba","NMD S1"),
 IF(A3779="Puma",CHOOSE(MOD(ROW(A3778),6)+1,"Suede Classic","RS-X","Cali Dream","Rider Vintage","Slipstream","Mayze"),
 IF(A3779="New Balance",CHOOSE(MOD(ROW(A3778),6)+1,"574 Core","990v6","2002R","9060","327","550"),
 IF(A3779="Reebok",CHOOSE(MOD(ROW(A3778),6)+1,"Classic Leather","Club C 85","Nano X3","Instapump Fury","Zig Kinetica","Question Mid"),"")))))</f>
        <v>327</v>
      </c>
      <c r="C3779" s="3">
        <f t="shared" si="416"/>
        <v>45909</v>
      </c>
      <c r="D3779" s="4">
        <f t="shared" ref="D3779:D3842" ca="1" si="418">RANDBETWEEN(20,250)</f>
        <v>57</v>
      </c>
      <c r="E3779" s="2">
        <f t="shared" ref="E3779:E3842" ca="1" si="419">ROUND(RANDBETWEEN(1500,12000)+(RANDBETWEEN(-200,200)),2)</f>
        <v>8597</v>
      </c>
      <c r="F3779" s="2">
        <f t="shared" ref="F3779:F3842" ca="1" si="420">RANDBETWEEN(5000,35000)</f>
        <v>21033</v>
      </c>
      <c r="G3779" s="2">
        <f t="shared" ref="G3779:G3842" ca="1" si="421">RANDBETWEEN(ROUND(F3779*0.02,0),ROUND(F3779*0.08,0))</f>
        <v>923</v>
      </c>
    </row>
    <row r="3780" spans="1:7" x14ac:dyDescent="0.3">
      <c r="A3780" s="5" t="str">
        <f t="shared" si="415"/>
        <v>Reebok</v>
      </c>
      <c r="B3780" s="5" t="str">
        <f t="shared" si="417"/>
        <v>Question Mid</v>
      </c>
      <c r="C3780" s="3">
        <f t="shared" si="416"/>
        <v>45909</v>
      </c>
      <c r="D3780" s="4">
        <f t="shared" ca="1" si="418"/>
        <v>191</v>
      </c>
      <c r="E3780" s="2">
        <f t="shared" ca="1" si="419"/>
        <v>4858</v>
      </c>
      <c r="F3780" s="2">
        <f t="shared" ca="1" si="420"/>
        <v>13349</v>
      </c>
      <c r="G3780" s="2">
        <f t="shared" ca="1" si="421"/>
        <v>893</v>
      </c>
    </row>
    <row r="3781" spans="1:7" x14ac:dyDescent="0.3">
      <c r="A3781" s="5" t="str">
        <f t="shared" si="415"/>
        <v>Nike</v>
      </c>
      <c r="B3781" s="5" t="str">
        <f t="shared" si="417"/>
        <v>Air Max 270</v>
      </c>
      <c r="C3781" s="3">
        <f t="shared" si="416"/>
        <v>45909</v>
      </c>
      <c r="D3781" s="4">
        <f t="shared" ca="1" si="418"/>
        <v>113</v>
      </c>
      <c r="E3781" s="2">
        <f t="shared" ca="1" si="419"/>
        <v>2731</v>
      </c>
      <c r="F3781" s="2">
        <f t="shared" ca="1" si="420"/>
        <v>34203</v>
      </c>
      <c r="G3781" s="2">
        <f t="shared" ca="1" si="421"/>
        <v>2303</v>
      </c>
    </row>
    <row r="3782" spans="1:7" x14ac:dyDescent="0.3">
      <c r="A3782" s="5" t="str">
        <f t="shared" si="415"/>
        <v>Adidas</v>
      </c>
      <c r="B3782" s="5" t="str">
        <f t="shared" si="417"/>
        <v>Stan Smith</v>
      </c>
      <c r="C3782" s="3">
        <f t="shared" si="416"/>
        <v>45910</v>
      </c>
      <c r="D3782" s="4">
        <f t="shared" ca="1" si="418"/>
        <v>118</v>
      </c>
      <c r="E3782" s="2">
        <f t="shared" ca="1" si="419"/>
        <v>2175</v>
      </c>
      <c r="F3782" s="2">
        <f t="shared" ca="1" si="420"/>
        <v>26033</v>
      </c>
      <c r="G3782" s="2">
        <f t="shared" ca="1" si="421"/>
        <v>1419</v>
      </c>
    </row>
    <row r="3783" spans="1:7" x14ac:dyDescent="0.3">
      <c r="A3783" s="5" t="str">
        <f t="shared" si="415"/>
        <v>Puma</v>
      </c>
      <c r="B3783" s="5" t="str">
        <f t="shared" si="417"/>
        <v>Cali Dream</v>
      </c>
      <c r="C3783" s="3">
        <f t="shared" si="416"/>
        <v>45910</v>
      </c>
      <c r="D3783" s="4">
        <f t="shared" ca="1" si="418"/>
        <v>225</v>
      </c>
      <c r="E3783" s="2">
        <f t="shared" ca="1" si="419"/>
        <v>2348</v>
      </c>
      <c r="F3783" s="2">
        <f t="shared" ca="1" si="420"/>
        <v>26526</v>
      </c>
      <c r="G3783" s="2">
        <f t="shared" ca="1" si="421"/>
        <v>1530</v>
      </c>
    </row>
    <row r="3784" spans="1:7" x14ac:dyDescent="0.3">
      <c r="A3784" s="5" t="str">
        <f t="shared" si="415"/>
        <v>New Balance</v>
      </c>
      <c r="B3784" s="5" t="str">
        <f t="shared" si="417"/>
        <v>9060</v>
      </c>
      <c r="C3784" s="3">
        <f t="shared" si="416"/>
        <v>45910</v>
      </c>
      <c r="D3784" s="4">
        <f t="shared" ca="1" si="418"/>
        <v>162</v>
      </c>
      <c r="E3784" s="2">
        <f t="shared" ca="1" si="419"/>
        <v>11356</v>
      </c>
      <c r="F3784" s="2">
        <f t="shared" ca="1" si="420"/>
        <v>16695</v>
      </c>
      <c r="G3784" s="2">
        <f t="shared" ca="1" si="421"/>
        <v>743</v>
      </c>
    </row>
    <row r="3785" spans="1:7" x14ac:dyDescent="0.3">
      <c r="A3785" s="5" t="str">
        <f t="shared" si="415"/>
        <v>Reebok</v>
      </c>
      <c r="B3785" s="5" t="str">
        <f t="shared" si="417"/>
        <v>Zig Kinetica</v>
      </c>
      <c r="C3785" s="3">
        <f t="shared" si="416"/>
        <v>45910</v>
      </c>
      <c r="D3785" s="4">
        <f t="shared" ca="1" si="418"/>
        <v>231</v>
      </c>
      <c r="E3785" s="2">
        <f t="shared" ca="1" si="419"/>
        <v>9298</v>
      </c>
      <c r="F3785" s="2">
        <f t="shared" ca="1" si="420"/>
        <v>30469</v>
      </c>
      <c r="G3785" s="2">
        <f t="shared" ca="1" si="421"/>
        <v>1180</v>
      </c>
    </row>
    <row r="3786" spans="1:7" x14ac:dyDescent="0.3">
      <c r="A3786" s="5" t="str">
        <f t="shared" si="415"/>
        <v>Nike</v>
      </c>
      <c r="B3786" s="5" t="str">
        <f t="shared" si="417"/>
        <v>Jordan 1</v>
      </c>
      <c r="C3786" s="3">
        <f t="shared" si="416"/>
        <v>45910</v>
      </c>
      <c r="D3786" s="4">
        <f t="shared" ca="1" si="418"/>
        <v>60</v>
      </c>
      <c r="E3786" s="2">
        <f t="shared" ca="1" si="419"/>
        <v>7825</v>
      </c>
      <c r="F3786" s="2">
        <f t="shared" ca="1" si="420"/>
        <v>6143</v>
      </c>
      <c r="G3786" s="2">
        <f t="shared" ca="1" si="421"/>
        <v>195</v>
      </c>
    </row>
    <row r="3787" spans="1:7" x14ac:dyDescent="0.3">
      <c r="A3787" s="5" t="str">
        <f t="shared" si="415"/>
        <v>Adidas</v>
      </c>
      <c r="B3787" s="5" t="str">
        <f t="shared" si="417"/>
        <v>Ultraboost 23</v>
      </c>
      <c r="C3787" s="3">
        <f t="shared" si="416"/>
        <v>45910</v>
      </c>
      <c r="D3787" s="4">
        <f t="shared" ca="1" si="418"/>
        <v>102</v>
      </c>
      <c r="E3787" s="2">
        <f t="shared" ca="1" si="419"/>
        <v>1632</v>
      </c>
      <c r="F3787" s="2">
        <f t="shared" ca="1" si="420"/>
        <v>10059</v>
      </c>
      <c r="G3787" s="2">
        <f t="shared" ca="1" si="421"/>
        <v>703</v>
      </c>
    </row>
    <row r="3788" spans="1:7" x14ac:dyDescent="0.3">
      <c r="A3788" s="5" t="str">
        <f t="shared" si="415"/>
        <v>Puma</v>
      </c>
      <c r="B3788" s="5" t="str">
        <f t="shared" si="417"/>
        <v>RS-X</v>
      </c>
      <c r="C3788" s="3">
        <f t="shared" si="416"/>
        <v>45910</v>
      </c>
      <c r="D3788" s="4">
        <f t="shared" ca="1" si="418"/>
        <v>165</v>
      </c>
      <c r="E3788" s="2">
        <f t="shared" ca="1" si="419"/>
        <v>7113</v>
      </c>
      <c r="F3788" s="2">
        <f t="shared" ca="1" si="420"/>
        <v>23691</v>
      </c>
      <c r="G3788" s="2">
        <f t="shared" ca="1" si="421"/>
        <v>1180</v>
      </c>
    </row>
    <row r="3789" spans="1:7" x14ac:dyDescent="0.3">
      <c r="A3789" s="5" t="str">
        <f t="shared" si="415"/>
        <v>New Balance</v>
      </c>
      <c r="B3789" s="5" t="str">
        <f t="shared" si="417"/>
        <v>2002R</v>
      </c>
      <c r="C3789" s="3">
        <f t="shared" si="416"/>
        <v>45910</v>
      </c>
      <c r="D3789" s="4">
        <f t="shared" ca="1" si="418"/>
        <v>79</v>
      </c>
      <c r="E3789" s="2">
        <f t="shared" ca="1" si="419"/>
        <v>5453</v>
      </c>
      <c r="F3789" s="2">
        <f t="shared" ca="1" si="420"/>
        <v>5138</v>
      </c>
      <c r="G3789" s="2">
        <f t="shared" ca="1" si="421"/>
        <v>263</v>
      </c>
    </row>
    <row r="3790" spans="1:7" x14ac:dyDescent="0.3">
      <c r="A3790" s="5" t="str">
        <f t="shared" si="415"/>
        <v>Reebok</v>
      </c>
      <c r="B3790" s="5" t="str">
        <f t="shared" si="417"/>
        <v>Instapump Fury</v>
      </c>
      <c r="C3790" s="3">
        <f t="shared" si="416"/>
        <v>45910</v>
      </c>
      <c r="D3790" s="4">
        <f t="shared" ca="1" si="418"/>
        <v>188</v>
      </c>
      <c r="E3790" s="2">
        <f t="shared" ca="1" si="419"/>
        <v>10370</v>
      </c>
      <c r="F3790" s="2">
        <f t="shared" ca="1" si="420"/>
        <v>14552</v>
      </c>
      <c r="G3790" s="2">
        <f t="shared" ca="1" si="421"/>
        <v>917</v>
      </c>
    </row>
    <row r="3791" spans="1:7" x14ac:dyDescent="0.3">
      <c r="A3791" s="5" t="str">
        <f t="shared" si="415"/>
        <v>Nike</v>
      </c>
      <c r="B3791" s="5" t="str">
        <f t="shared" si="417"/>
        <v>Cortez</v>
      </c>
      <c r="C3791" s="3">
        <f t="shared" si="416"/>
        <v>45910</v>
      </c>
      <c r="D3791" s="4">
        <f t="shared" ca="1" si="418"/>
        <v>151</v>
      </c>
      <c r="E3791" s="2">
        <f t="shared" ca="1" si="419"/>
        <v>3757</v>
      </c>
      <c r="F3791" s="2">
        <f t="shared" ca="1" si="420"/>
        <v>32424</v>
      </c>
      <c r="G3791" s="2">
        <f t="shared" ca="1" si="421"/>
        <v>2451</v>
      </c>
    </row>
    <row r="3792" spans="1:7" x14ac:dyDescent="0.3">
      <c r="A3792" s="5" t="str">
        <f t="shared" si="415"/>
        <v>Adidas</v>
      </c>
      <c r="B3792" s="5" t="str">
        <f t="shared" si="417"/>
        <v>NMD S1</v>
      </c>
      <c r="C3792" s="3">
        <f t="shared" si="416"/>
        <v>45910</v>
      </c>
      <c r="D3792" s="4">
        <f t="shared" ca="1" si="418"/>
        <v>114</v>
      </c>
      <c r="E3792" s="2">
        <f t="shared" ca="1" si="419"/>
        <v>8239</v>
      </c>
      <c r="F3792" s="2">
        <f t="shared" ca="1" si="420"/>
        <v>24746</v>
      </c>
      <c r="G3792" s="2">
        <f t="shared" ca="1" si="421"/>
        <v>1022</v>
      </c>
    </row>
    <row r="3793" spans="1:7" x14ac:dyDescent="0.3">
      <c r="A3793" s="5" t="str">
        <f t="shared" si="415"/>
        <v>Puma</v>
      </c>
      <c r="B3793" s="5" t="str">
        <f t="shared" si="417"/>
        <v>Suede Classic</v>
      </c>
      <c r="C3793" s="3">
        <f t="shared" si="416"/>
        <v>45910</v>
      </c>
      <c r="D3793" s="4">
        <f t="shared" ca="1" si="418"/>
        <v>93</v>
      </c>
      <c r="E3793" s="2">
        <f t="shared" ca="1" si="419"/>
        <v>3143</v>
      </c>
      <c r="F3793" s="2">
        <f t="shared" ca="1" si="420"/>
        <v>28317</v>
      </c>
      <c r="G3793" s="2">
        <f t="shared" ca="1" si="421"/>
        <v>959</v>
      </c>
    </row>
    <row r="3794" spans="1:7" x14ac:dyDescent="0.3">
      <c r="A3794" s="5" t="str">
        <f t="shared" si="415"/>
        <v>New Balance</v>
      </c>
      <c r="B3794" s="5" t="str">
        <f t="shared" si="417"/>
        <v>990v6</v>
      </c>
      <c r="C3794" s="3">
        <f t="shared" si="416"/>
        <v>45910</v>
      </c>
      <c r="D3794" s="4">
        <f t="shared" ca="1" si="418"/>
        <v>84</v>
      </c>
      <c r="E3794" s="2">
        <f t="shared" ca="1" si="419"/>
        <v>1832</v>
      </c>
      <c r="F3794" s="2">
        <f t="shared" ca="1" si="420"/>
        <v>12784</v>
      </c>
      <c r="G3794" s="2">
        <f t="shared" ca="1" si="421"/>
        <v>661</v>
      </c>
    </row>
    <row r="3795" spans="1:7" x14ac:dyDescent="0.3">
      <c r="A3795" s="5" t="str">
        <f t="shared" si="415"/>
        <v>Reebok</v>
      </c>
      <c r="B3795" s="5" t="str">
        <f t="shared" si="417"/>
        <v>Nano X3</v>
      </c>
      <c r="C3795" s="3">
        <f t="shared" si="416"/>
        <v>45910</v>
      </c>
      <c r="D3795" s="4">
        <f t="shared" ca="1" si="418"/>
        <v>213</v>
      </c>
      <c r="E3795" s="2">
        <f t="shared" ca="1" si="419"/>
        <v>9946</v>
      </c>
      <c r="F3795" s="2">
        <f t="shared" ca="1" si="420"/>
        <v>31723</v>
      </c>
      <c r="G3795" s="2">
        <f t="shared" ca="1" si="421"/>
        <v>2318</v>
      </c>
    </row>
    <row r="3796" spans="1:7" x14ac:dyDescent="0.3">
      <c r="A3796" s="5" t="str">
        <f t="shared" si="415"/>
        <v>Nike</v>
      </c>
      <c r="B3796" s="5" t="str">
        <f t="shared" si="417"/>
        <v>Vaporfly 3</v>
      </c>
      <c r="C3796" s="3">
        <f t="shared" si="416"/>
        <v>45910</v>
      </c>
      <c r="D3796" s="4">
        <f t="shared" ca="1" si="418"/>
        <v>45</v>
      </c>
      <c r="E3796" s="2">
        <f t="shared" ca="1" si="419"/>
        <v>2817</v>
      </c>
      <c r="F3796" s="2">
        <f t="shared" ca="1" si="420"/>
        <v>7682</v>
      </c>
      <c r="G3796" s="2">
        <f t="shared" ca="1" si="421"/>
        <v>180</v>
      </c>
    </row>
    <row r="3797" spans="1:7" x14ac:dyDescent="0.3">
      <c r="A3797" s="5" t="str">
        <f t="shared" si="415"/>
        <v>Adidas</v>
      </c>
      <c r="B3797" s="5" t="str">
        <f t="shared" si="417"/>
        <v>Samba</v>
      </c>
      <c r="C3797" s="3">
        <f t="shared" si="416"/>
        <v>45911</v>
      </c>
      <c r="D3797" s="4">
        <f t="shared" ca="1" si="418"/>
        <v>223</v>
      </c>
      <c r="E3797" s="2">
        <f t="shared" ca="1" si="419"/>
        <v>6651</v>
      </c>
      <c r="F3797" s="2">
        <f t="shared" ca="1" si="420"/>
        <v>32103</v>
      </c>
      <c r="G3797" s="2">
        <f t="shared" ca="1" si="421"/>
        <v>2479</v>
      </c>
    </row>
    <row r="3798" spans="1:7" x14ac:dyDescent="0.3">
      <c r="A3798" s="5" t="str">
        <f t="shared" si="415"/>
        <v>Puma</v>
      </c>
      <c r="B3798" s="5" t="str">
        <f t="shared" si="417"/>
        <v>Mayze</v>
      </c>
      <c r="C3798" s="3">
        <f t="shared" si="416"/>
        <v>45911</v>
      </c>
      <c r="D3798" s="4">
        <f t="shared" ca="1" si="418"/>
        <v>136</v>
      </c>
      <c r="E3798" s="2">
        <f t="shared" ca="1" si="419"/>
        <v>4810</v>
      </c>
      <c r="F3798" s="2">
        <f t="shared" ca="1" si="420"/>
        <v>33950</v>
      </c>
      <c r="G3798" s="2">
        <f t="shared" ca="1" si="421"/>
        <v>2397</v>
      </c>
    </row>
    <row r="3799" spans="1:7" x14ac:dyDescent="0.3">
      <c r="A3799" s="5" t="str">
        <f t="shared" si="415"/>
        <v>New Balance</v>
      </c>
      <c r="B3799" s="5" t="str">
        <f t="shared" si="417"/>
        <v>574 Core</v>
      </c>
      <c r="C3799" s="3">
        <f t="shared" si="416"/>
        <v>45911</v>
      </c>
      <c r="D3799" s="4">
        <f t="shared" ca="1" si="418"/>
        <v>72</v>
      </c>
      <c r="E3799" s="2">
        <f t="shared" ca="1" si="419"/>
        <v>7998</v>
      </c>
      <c r="F3799" s="2">
        <f t="shared" ca="1" si="420"/>
        <v>16886</v>
      </c>
      <c r="G3799" s="2">
        <f t="shared" ca="1" si="421"/>
        <v>1150</v>
      </c>
    </row>
    <row r="3800" spans="1:7" x14ac:dyDescent="0.3">
      <c r="A3800" s="5" t="str">
        <f t="shared" si="415"/>
        <v>Reebok</v>
      </c>
      <c r="B3800" s="5" t="str">
        <f t="shared" si="417"/>
        <v>Club C 85</v>
      </c>
      <c r="C3800" s="3">
        <f t="shared" si="416"/>
        <v>45911</v>
      </c>
      <c r="D3800" s="4">
        <f t="shared" ca="1" si="418"/>
        <v>159</v>
      </c>
      <c r="E3800" s="2">
        <f t="shared" ca="1" si="419"/>
        <v>2019</v>
      </c>
      <c r="F3800" s="2">
        <f t="shared" ca="1" si="420"/>
        <v>17146</v>
      </c>
      <c r="G3800" s="2">
        <f t="shared" ca="1" si="421"/>
        <v>680</v>
      </c>
    </row>
    <row r="3801" spans="1:7" x14ac:dyDescent="0.3">
      <c r="A3801" s="5" t="str">
        <f t="shared" si="415"/>
        <v>Nike</v>
      </c>
      <c r="B3801" s="5" t="str">
        <f t="shared" si="417"/>
        <v>Pegasus 40</v>
      </c>
      <c r="C3801" s="3">
        <f t="shared" si="416"/>
        <v>45911</v>
      </c>
      <c r="D3801" s="4">
        <f t="shared" ca="1" si="418"/>
        <v>224</v>
      </c>
      <c r="E3801" s="2">
        <f t="shared" ca="1" si="419"/>
        <v>1857</v>
      </c>
      <c r="F3801" s="2">
        <f t="shared" ca="1" si="420"/>
        <v>28237</v>
      </c>
      <c r="G3801" s="2">
        <f t="shared" ca="1" si="421"/>
        <v>933</v>
      </c>
    </row>
    <row r="3802" spans="1:7" x14ac:dyDescent="0.3">
      <c r="A3802" s="5" t="str">
        <f t="shared" si="415"/>
        <v>Adidas</v>
      </c>
      <c r="B3802" s="5" t="str">
        <f t="shared" si="417"/>
        <v>Gazelle</v>
      </c>
      <c r="C3802" s="3">
        <f t="shared" si="416"/>
        <v>45911</v>
      </c>
      <c r="D3802" s="4">
        <f t="shared" ca="1" si="418"/>
        <v>181</v>
      </c>
      <c r="E3802" s="2">
        <f t="shared" ca="1" si="419"/>
        <v>10702</v>
      </c>
      <c r="F3802" s="2">
        <f t="shared" ca="1" si="420"/>
        <v>22130</v>
      </c>
      <c r="G3802" s="2">
        <f t="shared" ca="1" si="421"/>
        <v>678</v>
      </c>
    </row>
    <row r="3803" spans="1:7" x14ac:dyDescent="0.3">
      <c r="A3803" s="5" t="str">
        <f t="shared" si="415"/>
        <v>Puma</v>
      </c>
      <c r="B3803" s="5" t="str">
        <f t="shared" si="417"/>
        <v>Slipstream</v>
      </c>
      <c r="C3803" s="3">
        <f t="shared" si="416"/>
        <v>45911</v>
      </c>
      <c r="D3803" s="4">
        <f t="shared" ca="1" si="418"/>
        <v>150</v>
      </c>
      <c r="E3803" s="2">
        <f t="shared" ca="1" si="419"/>
        <v>3371</v>
      </c>
      <c r="F3803" s="2">
        <f t="shared" ca="1" si="420"/>
        <v>18812</v>
      </c>
      <c r="G3803" s="2">
        <f t="shared" ca="1" si="421"/>
        <v>1036</v>
      </c>
    </row>
    <row r="3804" spans="1:7" x14ac:dyDescent="0.3">
      <c r="A3804" s="5" t="str">
        <f t="shared" si="415"/>
        <v>New Balance</v>
      </c>
      <c r="B3804" s="5" t="str">
        <f t="shared" si="417"/>
        <v>550</v>
      </c>
      <c r="C3804" s="3">
        <f t="shared" si="416"/>
        <v>45911</v>
      </c>
      <c r="D3804" s="4">
        <f t="shared" ca="1" si="418"/>
        <v>147</v>
      </c>
      <c r="E3804" s="2">
        <f t="shared" ca="1" si="419"/>
        <v>11376</v>
      </c>
      <c r="F3804" s="2">
        <f t="shared" ca="1" si="420"/>
        <v>27652</v>
      </c>
      <c r="G3804" s="2">
        <f t="shared" ca="1" si="421"/>
        <v>1798</v>
      </c>
    </row>
    <row r="3805" spans="1:7" x14ac:dyDescent="0.3">
      <c r="A3805" s="5" t="str">
        <f t="shared" si="415"/>
        <v>Reebok</v>
      </c>
      <c r="B3805" s="5" t="str">
        <f t="shared" si="417"/>
        <v>Classic Leather</v>
      </c>
      <c r="C3805" s="3">
        <f t="shared" si="416"/>
        <v>45911</v>
      </c>
      <c r="D3805" s="4">
        <f t="shared" ca="1" si="418"/>
        <v>76</v>
      </c>
      <c r="E3805" s="2">
        <f t="shared" ca="1" si="419"/>
        <v>5008</v>
      </c>
      <c r="F3805" s="2">
        <f t="shared" ca="1" si="420"/>
        <v>14689</v>
      </c>
      <c r="G3805" s="2">
        <f t="shared" ca="1" si="421"/>
        <v>940</v>
      </c>
    </row>
    <row r="3806" spans="1:7" x14ac:dyDescent="0.3">
      <c r="A3806" s="5" t="str">
        <f t="shared" si="415"/>
        <v>Nike</v>
      </c>
      <c r="B3806" s="5" t="str">
        <f t="shared" si="417"/>
        <v>Air Force 1</v>
      </c>
      <c r="C3806" s="3">
        <f t="shared" si="416"/>
        <v>45911</v>
      </c>
      <c r="D3806" s="4">
        <f t="shared" ca="1" si="418"/>
        <v>102</v>
      </c>
      <c r="E3806" s="2">
        <f t="shared" ca="1" si="419"/>
        <v>4523</v>
      </c>
      <c r="F3806" s="2">
        <f t="shared" ca="1" si="420"/>
        <v>29131</v>
      </c>
      <c r="G3806" s="2">
        <f t="shared" ca="1" si="421"/>
        <v>972</v>
      </c>
    </row>
    <row r="3807" spans="1:7" x14ac:dyDescent="0.3">
      <c r="A3807" s="5" t="str">
        <f t="shared" si="415"/>
        <v>Adidas</v>
      </c>
      <c r="B3807" s="5" t="str">
        <f t="shared" si="417"/>
        <v>Superstar</v>
      </c>
      <c r="C3807" s="3">
        <f t="shared" si="416"/>
        <v>45911</v>
      </c>
      <c r="D3807" s="4">
        <f t="shared" ca="1" si="418"/>
        <v>166</v>
      </c>
      <c r="E3807" s="2">
        <f t="shared" ca="1" si="419"/>
        <v>4498</v>
      </c>
      <c r="F3807" s="2">
        <f t="shared" ca="1" si="420"/>
        <v>6472</v>
      </c>
      <c r="G3807" s="2">
        <f t="shared" ca="1" si="421"/>
        <v>285</v>
      </c>
    </row>
    <row r="3808" spans="1:7" x14ac:dyDescent="0.3">
      <c r="A3808" s="5" t="str">
        <f t="shared" si="415"/>
        <v>Puma</v>
      </c>
      <c r="B3808" s="5" t="str">
        <f t="shared" si="417"/>
        <v>Rider Vintage</v>
      </c>
      <c r="C3808" s="3">
        <f t="shared" si="416"/>
        <v>45911</v>
      </c>
      <c r="D3808" s="4">
        <f t="shared" ca="1" si="418"/>
        <v>250</v>
      </c>
      <c r="E3808" s="2">
        <f t="shared" ca="1" si="419"/>
        <v>8943</v>
      </c>
      <c r="F3808" s="2">
        <f t="shared" ca="1" si="420"/>
        <v>26134</v>
      </c>
      <c r="G3808" s="2">
        <f t="shared" ca="1" si="421"/>
        <v>1249</v>
      </c>
    </row>
    <row r="3809" spans="1:7" x14ac:dyDescent="0.3">
      <c r="A3809" s="5" t="str">
        <f t="shared" si="415"/>
        <v>New Balance</v>
      </c>
      <c r="B3809" s="5" t="str">
        <f t="shared" si="417"/>
        <v>327</v>
      </c>
      <c r="C3809" s="3">
        <f t="shared" si="416"/>
        <v>45911</v>
      </c>
      <c r="D3809" s="4">
        <f t="shared" ca="1" si="418"/>
        <v>111</v>
      </c>
      <c r="E3809" s="2">
        <f t="shared" ca="1" si="419"/>
        <v>2908</v>
      </c>
      <c r="F3809" s="2">
        <f t="shared" ca="1" si="420"/>
        <v>15835</v>
      </c>
      <c r="G3809" s="2">
        <f t="shared" ca="1" si="421"/>
        <v>1057</v>
      </c>
    </row>
    <row r="3810" spans="1:7" x14ac:dyDescent="0.3">
      <c r="A3810" s="5" t="str">
        <f t="shared" si="415"/>
        <v>Reebok</v>
      </c>
      <c r="B3810" s="5" t="str">
        <f t="shared" si="417"/>
        <v>Question Mid</v>
      </c>
      <c r="C3810" s="3">
        <f t="shared" si="416"/>
        <v>45911</v>
      </c>
      <c r="D3810" s="4">
        <f t="shared" ca="1" si="418"/>
        <v>240</v>
      </c>
      <c r="E3810" s="2">
        <f t="shared" ca="1" si="419"/>
        <v>5987</v>
      </c>
      <c r="F3810" s="2">
        <f t="shared" ca="1" si="420"/>
        <v>11654</v>
      </c>
      <c r="G3810" s="2">
        <f t="shared" ca="1" si="421"/>
        <v>235</v>
      </c>
    </row>
    <row r="3811" spans="1:7" x14ac:dyDescent="0.3">
      <c r="A3811" s="5" t="str">
        <f t="shared" si="415"/>
        <v>Nike</v>
      </c>
      <c r="B3811" s="5" t="str">
        <f t="shared" si="417"/>
        <v>Air Max 270</v>
      </c>
      <c r="C3811" s="3">
        <f t="shared" si="416"/>
        <v>45911</v>
      </c>
      <c r="D3811" s="4">
        <f t="shared" ca="1" si="418"/>
        <v>75</v>
      </c>
      <c r="E3811" s="2">
        <f t="shared" ca="1" si="419"/>
        <v>9108</v>
      </c>
      <c r="F3811" s="2">
        <f t="shared" ca="1" si="420"/>
        <v>5694</v>
      </c>
      <c r="G3811" s="2">
        <f t="shared" ca="1" si="421"/>
        <v>143</v>
      </c>
    </row>
    <row r="3812" spans="1:7" x14ac:dyDescent="0.3">
      <c r="A3812" s="5" t="str">
        <f t="shared" si="415"/>
        <v>Adidas</v>
      </c>
      <c r="B3812" s="5" t="str">
        <f t="shared" si="417"/>
        <v>Stan Smith</v>
      </c>
      <c r="C3812" s="3">
        <f t="shared" si="416"/>
        <v>45912</v>
      </c>
      <c r="D3812" s="4">
        <f t="shared" ca="1" si="418"/>
        <v>194</v>
      </c>
      <c r="E3812" s="2">
        <f t="shared" ca="1" si="419"/>
        <v>3356</v>
      </c>
      <c r="F3812" s="2">
        <f t="shared" ca="1" si="420"/>
        <v>14414</v>
      </c>
      <c r="G3812" s="2">
        <f t="shared" ca="1" si="421"/>
        <v>1104</v>
      </c>
    </row>
    <row r="3813" spans="1:7" x14ac:dyDescent="0.3">
      <c r="A3813" s="5" t="str">
        <f t="shared" si="415"/>
        <v>Puma</v>
      </c>
      <c r="B3813" s="5" t="str">
        <f t="shared" si="417"/>
        <v>Cali Dream</v>
      </c>
      <c r="C3813" s="3">
        <f t="shared" si="416"/>
        <v>45912</v>
      </c>
      <c r="D3813" s="4">
        <f t="shared" ca="1" si="418"/>
        <v>243</v>
      </c>
      <c r="E3813" s="2">
        <f t="shared" ca="1" si="419"/>
        <v>6191</v>
      </c>
      <c r="F3813" s="2">
        <f t="shared" ca="1" si="420"/>
        <v>23974</v>
      </c>
      <c r="G3813" s="2">
        <f t="shared" ca="1" si="421"/>
        <v>1579</v>
      </c>
    </row>
    <row r="3814" spans="1:7" x14ac:dyDescent="0.3">
      <c r="A3814" s="5" t="str">
        <f t="shared" si="415"/>
        <v>New Balance</v>
      </c>
      <c r="B3814" s="5" t="str">
        <f t="shared" si="417"/>
        <v>9060</v>
      </c>
      <c r="C3814" s="3">
        <f t="shared" si="416"/>
        <v>45912</v>
      </c>
      <c r="D3814" s="4">
        <f t="shared" ca="1" si="418"/>
        <v>151</v>
      </c>
      <c r="E3814" s="2">
        <f t="shared" ca="1" si="419"/>
        <v>10271</v>
      </c>
      <c r="F3814" s="2">
        <f t="shared" ca="1" si="420"/>
        <v>20534</v>
      </c>
      <c r="G3814" s="2">
        <f t="shared" ca="1" si="421"/>
        <v>1070</v>
      </c>
    </row>
    <row r="3815" spans="1:7" x14ac:dyDescent="0.3">
      <c r="A3815" s="5" t="str">
        <f t="shared" si="415"/>
        <v>Reebok</v>
      </c>
      <c r="B3815" s="5" t="str">
        <f t="shared" si="417"/>
        <v>Zig Kinetica</v>
      </c>
      <c r="C3815" s="3">
        <f t="shared" si="416"/>
        <v>45912</v>
      </c>
      <c r="D3815" s="4">
        <f t="shared" ca="1" si="418"/>
        <v>73</v>
      </c>
      <c r="E3815" s="2">
        <f t="shared" ca="1" si="419"/>
        <v>3173</v>
      </c>
      <c r="F3815" s="2">
        <f t="shared" ca="1" si="420"/>
        <v>15556</v>
      </c>
      <c r="G3815" s="2">
        <f t="shared" ca="1" si="421"/>
        <v>351</v>
      </c>
    </row>
    <row r="3816" spans="1:7" x14ac:dyDescent="0.3">
      <c r="A3816" s="5" t="str">
        <f t="shared" si="415"/>
        <v>Nike</v>
      </c>
      <c r="B3816" s="5" t="str">
        <f t="shared" si="417"/>
        <v>Jordan 1</v>
      </c>
      <c r="C3816" s="3">
        <f t="shared" si="416"/>
        <v>45912</v>
      </c>
      <c r="D3816" s="4">
        <f t="shared" ca="1" si="418"/>
        <v>101</v>
      </c>
      <c r="E3816" s="2">
        <f t="shared" ca="1" si="419"/>
        <v>7680</v>
      </c>
      <c r="F3816" s="2">
        <f t="shared" ca="1" si="420"/>
        <v>26032</v>
      </c>
      <c r="G3816" s="2">
        <f t="shared" ca="1" si="421"/>
        <v>1192</v>
      </c>
    </row>
    <row r="3817" spans="1:7" x14ac:dyDescent="0.3">
      <c r="A3817" s="5" t="str">
        <f t="shared" si="415"/>
        <v>Adidas</v>
      </c>
      <c r="B3817" s="5" t="str">
        <f t="shared" si="417"/>
        <v>Ultraboost 23</v>
      </c>
      <c r="C3817" s="3">
        <f t="shared" si="416"/>
        <v>45912</v>
      </c>
      <c r="D3817" s="4">
        <f t="shared" ca="1" si="418"/>
        <v>190</v>
      </c>
      <c r="E3817" s="2">
        <f t="shared" ca="1" si="419"/>
        <v>11477</v>
      </c>
      <c r="F3817" s="2">
        <f t="shared" ca="1" si="420"/>
        <v>10101</v>
      </c>
      <c r="G3817" s="2">
        <f t="shared" ca="1" si="421"/>
        <v>452</v>
      </c>
    </row>
    <row r="3818" spans="1:7" x14ac:dyDescent="0.3">
      <c r="A3818" s="5" t="str">
        <f t="shared" si="415"/>
        <v>Puma</v>
      </c>
      <c r="B3818" s="5" t="str">
        <f t="shared" si="417"/>
        <v>RS-X</v>
      </c>
      <c r="C3818" s="3">
        <f t="shared" si="416"/>
        <v>45912</v>
      </c>
      <c r="D3818" s="4">
        <f t="shared" ca="1" si="418"/>
        <v>156</v>
      </c>
      <c r="E3818" s="2">
        <f t="shared" ca="1" si="419"/>
        <v>2304</v>
      </c>
      <c r="F3818" s="2">
        <f t="shared" ca="1" si="420"/>
        <v>15994</v>
      </c>
      <c r="G3818" s="2">
        <f t="shared" ca="1" si="421"/>
        <v>403</v>
      </c>
    </row>
    <row r="3819" spans="1:7" x14ac:dyDescent="0.3">
      <c r="A3819" s="5" t="str">
        <f t="shared" ref="A3819:A3882" si="422">CHOOSE(MOD(ROW(A3818),5)+1,"Nike","Adidas","Puma","New Balance","Reebok")</f>
        <v>New Balance</v>
      </c>
      <c r="B3819" s="5" t="str">
        <f t="shared" si="417"/>
        <v>2002R</v>
      </c>
      <c r="C3819" s="3">
        <f t="shared" ref="C3819:C3882" si="423">DATE(2025,1,1)+INT((ROW(A3819)-2)/15)</f>
        <v>45912</v>
      </c>
      <c r="D3819" s="4">
        <f t="shared" ca="1" si="418"/>
        <v>207</v>
      </c>
      <c r="E3819" s="2">
        <f t="shared" ca="1" si="419"/>
        <v>10303</v>
      </c>
      <c r="F3819" s="2">
        <f t="shared" ca="1" si="420"/>
        <v>9088</v>
      </c>
      <c r="G3819" s="2">
        <f t="shared" ca="1" si="421"/>
        <v>443</v>
      </c>
    </row>
    <row r="3820" spans="1:7" x14ac:dyDescent="0.3">
      <c r="A3820" s="5" t="str">
        <f t="shared" si="422"/>
        <v>Reebok</v>
      </c>
      <c r="B3820" s="5" t="str">
        <f t="shared" si="417"/>
        <v>Instapump Fury</v>
      </c>
      <c r="C3820" s="3">
        <f t="shared" si="423"/>
        <v>45912</v>
      </c>
      <c r="D3820" s="4">
        <f t="shared" ca="1" si="418"/>
        <v>103</v>
      </c>
      <c r="E3820" s="2">
        <f t="shared" ca="1" si="419"/>
        <v>7321</v>
      </c>
      <c r="F3820" s="2">
        <f t="shared" ca="1" si="420"/>
        <v>25814</v>
      </c>
      <c r="G3820" s="2">
        <f t="shared" ca="1" si="421"/>
        <v>771</v>
      </c>
    </row>
    <row r="3821" spans="1:7" x14ac:dyDescent="0.3">
      <c r="A3821" s="5" t="str">
        <f t="shared" si="422"/>
        <v>Nike</v>
      </c>
      <c r="B3821" s="5" t="str">
        <f t="shared" si="417"/>
        <v>Cortez</v>
      </c>
      <c r="C3821" s="3">
        <f t="shared" si="423"/>
        <v>45912</v>
      </c>
      <c r="D3821" s="4">
        <f t="shared" ca="1" si="418"/>
        <v>149</v>
      </c>
      <c r="E3821" s="2">
        <f t="shared" ca="1" si="419"/>
        <v>8101</v>
      </c>
      <c r="F3821" s="2">
        <f t="shared" ca="1" si="420"/>
        <v>17428</v>
      </c>
      <c r="G3821" s="2">
        <f t="shared" ca="1" si="421"/>
        <v>754</v>
      </c>
    </row>
    <row r="3822" spans="1:7" x14ac:dyDescent="0.3">
      <c r="A3822" s="5" t="str">
        <f t="shared" si="422"/>
        <v>Adidas</v>
      </c>
      <c r="B3822" s="5" t="str">
        <f t="shared" si="417"/>
        <v>NMD S1</v>
      </c>
      <c r="C3822" s="3">
        <f t="shared" si="423"/>
        <v>45912</v>
      </c>
      <c r="D3822" s="4">
        <f t="shared" ca="1" si="418"/>
        <v>98</v>
      </c>
      <c r="E3822" s="2">
        <f t="shared" ca="1" si="419"/>
        <v>1548</v>
      </c>
      <c r="F3822" s="2">
        <f t="shared" ca="1" si="420"/>
        <v>7148</v>
      </c>
      <c r="G3822" s="2">
        <f t="shared" ca="1" si="421"/>
        <v>152</v>
      </c>
    </row>
    <row r="3823" spans="1:7" x14ac:dyDescent="0.3">
      <c r="A3823" s="5" t="str">
        <f t="shared" si="422"/>
        <v>Puma</v>
      </c>
      <c r="B3823" s="5" t="str">
        <f t="shared" si="417"/>
        <v>Suede Classic</v>
      </c>
      <c r="C3823" s="3">
        <f t="shared" si="423"/>
        <v>45912</v>
      </c>
      <c r="D3823" s="4">
        <f t="shared" ca="1" si="418"/>
        <v>183</v>
      </c>
      <c r="E3823" s="2">
        <f t="shared" ca="1" si="419"/>
        <v>6467</v>
      </c>
      <c r="F3823" s="2">
        <f t="shared" ca="1" si="420"/>
        <v>26177</v>
      </c>
      <c r="G3823" s="2">
        <f t="shared" ca="1" si="421"/>
        <v>1372</v>
      </c>
    </row>
    <row r="3824" spans="1:7" x14ac:dyDescent="0.3">
      <c r="A3824" s="5" t="str">
        <f t="shared" si="422"/>
        <v>New Balance</v>
      </c>
      <c r="B3824" s="5" t="str">
        <f t="shared" si="417"/>
        <v>990v6</v>
      </c>
      <c r="C3824" s="3">
        <f t="shared" si="423"/>
        <v>45912</v>
      </c>
      <c r="D3824" s="4">
        <f t="shared" ca="1" si="418"/>
        <v>55</v>
      </c>
      <c r="E3824" s="2">
        <f t="shared" ca="1" si="419"/>
        <v>2945</v>
      </c>
      <c r="F3824" s="2">
        <f t="shared" ca="1" si="420"/>
        <v>21403</v>
      </c>
      <c r="G3824" s="2">
        <f t="shared" ca="1" si="421"/>
        <v>527</v>
      </c>
    </row>
    <row r="3825" spans="1:7" x14ac:dyDescent="0.3">
      <c r="A3825" s="5" t="str">
        <f t="shared" si="422"/>
        <v>Reebok</v>
      </c>
      <c r="B3825" s="5" t="str">
        <f t="shared" si="417"/>
        <v>Nano X3</v>
      </c>
      <c r="C3825" s="3">
        <f t="shared" si="423"/>
        <v>45912</v>
      </c>
      <c r="D3825" s="4">
        <f t="shared" ca="1" si="418"/>
        <v>233</v>
      </c>
      <c r="E3825" s="2">
        <f t="shared" ca="1" si="419"/>
        <v>7083</v>
      </c>
      <c r="F3825" s="2">
        <f t="shared" ca="1" si="420"/>
        <v>23263</v>
      </c>
      <c r="G3825" s="2">
        <f t="shared" ca="1" si="421"/>
        <v>1215</v>
      </c>
    </row>
    <row r="3826" spans="1:7" x14ac:dyDescent="0.3">
      <c r="A3826" s="5" t="str">
        <f t="shared" si="422"/>
        <v>Nike</v>
      </c>
      <c r="B3826" s="5" t="str">
        <f t="shared" si="417"/>
        <v>Vaporfly 3</v>
      </c>
      <c r="C3826" s="3">
        <f t="shared" si="423"/>
        <v>45912</v>
      </c>
      <c r="D3826" s="4">
        <f t="shared" ca="1" si="418"/>
        <v>127</v>
      </c>
      <c r="E3826" s="2">
        <f t="shared" ca="1" si="419"/>
        <v>8506</v>
      </c>
      <c r="F3826" s="2">
        <f t="shared" ca="1" si="420"/>
        <v>9196</v>
      </c>
      <c r="G3826" s="2">
        <f t="shared" ca="1" si="421"/>
        <v>632</v>
      </c>
    </row>
    <row r="3827" spans="1:7" x14ac:dyDescent="0.3">
      <c r="A3827" s="5" t="str">
        <f t="shared" si="422"/>
        <v>Adidas</v>
      </c>
      <c r="B3827" s="5" t="str">
        <f t="shared" si="417"/>
        <v>Samba</v>
      </c>
      <c r="C3827" s="3">
        <f t="shared" si="423"/>
        <v>45913</v>
      </c>
      <c r="D3827" s="4">
        <f t="shared" ca="1" si="418"/>
        <v>235</v>
      </c>
      <c r="E3827" s="2">
        <f t="shared" ca="1" si="419"/>
        <v>10908</v>
      </c>
      <c r="F3827" s="2">
        <f t="shared" ca="1" si="420"/>
        <v>28293</v>
      </c>
      <c r="G3827" s="2">
        <f t="shared" ca="1" si="421"/>
        <v>1799</v>
      </c>
    </row>
    <row r="3828" spans="1:7" x14ac:dyDescent="0.3">
      <c r="A3828" s="5" t="str">
        <f t="shared" si="422"/>
        <v>Puma</v>
      </c>
      <c r="B3828" s="5" t="str">
        <f t="shared" si="417"/>
        <v>Mayze</v>
      </c>
      <c r="C3828" s="3">
        <f t="shared" si="423"/>
        <v>45913</v>
      </c>
      <c r="D3828" s="4">
        <f t="shared" ca="1" si="418"/>
        <v>121</v>
      </c>
      <c r="E3828" s="2">
        <f t="shared" ca="1" si="419"/>
        <v>5769</v>
      </c>
      <c r="F3828" s="2">
        <f t="shared" ca="1" si="420"/>
        <v>33010</v>
      </c>
      <c r="G3828" s="2">
        <f t="shared" ca="1" si="421"/>
        <v>1261</v>
      </c>
    </row>
    <row r="3829" spans="1:7" x14ac:dyDescent="0.3">
      <c r="A3829" s="5" t="str">
        <f t="shared" si="422"/>
        <v>New Balance</v>
      </c>
      <c r="B3829" s="5" t="str">
        <f t="shared" si="417"/>
        <v>574 Core</v>
      </c>
      <c r="C3829" s="3">
        <f t="shared" si="423"/>
        <v>45913</v>
      </c>
      <c r="D3829" s="4">
        <f t="shared" ca="1" si="418"/>
        <v>220</v>
      </c>
      <c r="E3829" s="2">
        <f t="shared" ca="1" si="419"/>
        <v>4867</v>
      </c>
      <c r="F3829" s="2">
        <f t="shared" ca="1" si="420"/>
        <v>12733</v>
      </c>
      <c r="G3829" s="2">
        <f t="shared" ca="1" si="421"/>
        <v>683</v>
      </c>
    </row>
    <row r="3830" spans="1:7" x14ac:dyDescent="0.3">
      <c r="A3830" s="5" t="str">
        <f t="shared" si="422"/>
        <v>Reebok</v>
      </c>
      <c r="B3830" s="5" t="str">
        <f t="shared" si="417"/>
        <v>Club C 85</v>
      </c>
      <c r="C3830" s="3">
        <f t="shared" si="423"/>
        <v>45913</v>
      </c>
      <c r="D3830" s="4">
        <f t="shared" ca="1" si="418"/>
        <v>246</v>
      </c>
      <c r="E3830" s="2">
        <f t="shared" ca="1" si="419"/>
        <v>9691</v>
      </c>
      <c r="F3830" s="2">
        <f t="shared" ca="1" si="420"/>
        <v>6872</v>
      </c>
      <c r="G3830" s="2">
        <f t="shared" ca="1" si="421"/>
        <v>355</v>
      </c>
    </row>
    <row r="3831" spans="1:7" x14ac:dyDescent="0.3">
      <c r="A3831" s="5" t="str">
        <f t="shared" si="422"/>
        <v>Nike</v>
      </c>
      <c r="B3831" s="5" t="str">
        <f t="shared" si="417"/>
        <v>Pegasus 40</v>
      </c>
      <c r="C3831" s="3">
        <f t="shared" si="423"/>
        <v>45913</v>
      </c>
      <c r="D3831" s="4">
        <f t="shared" ca="1" si="418"/>
        <v>148</v>
      </c>
      <c r="E3831" s="2">
        <f t="shared" ca="1" si="419"/>
        <v>12042</v>
      </c>
      <c r="F3831" s="2">
        <f t="shared" ca="1" si="420"/>
        <v>15915</v>
      </c>
      <c r="G3831" s="2">
        <f t="shared" ca="1" si="421"/>
        <v>927</v>
      </c>
    </row>
    <row r="3832" spans="1:7" x14ac:dyDescent="0.3">
      <c r="A3832" s="5" t="str">
        <f t="shared" si="422"/>
        <v>Adidas</v>
      </c>
      <c r="B3832" s="5" t="str">
        <f t="shared" si="417"/>
        <v>Gazelle</v>
      </c>
      <c r="C3832" s="3">
        <f t="shared" si="423"/>
        <v>45913</v>
      </c>
      <c r="D3832" s="4">
        <f t="shared" ca="1" si="418"/>
        <v>47</v>
      </c>
      <c r="E3832" s="2">
        <f t="shared" ca="1" si="419"/>
        <v>7895</v>
      </c>
      <c r="F3832" s="2">
        <f t="shared" ca="1" si="420"/>
        <v>16128</v>
      </c>
      <c r="G3832" s="2">
        <f t="shared" ca="1" si="421"/>
        <v>433</v>
      </c>
    </row>
    <row r="3833" spans="1:7" x14ac:dyDescent="0.3">
      <c r="A3833" s="5" t="str">
        <f t="shared" si="422"/>
        <v>Puma</v>
      </c>
      <c r="B3833" s="5" t="str">
        <f t="shared" si="417"/>
        <v>Slipstream</v>
      </c>
      <c r="C3833" s="3">
        <f t="shared" si="423"/>
        <v>45913</v>
      </c>
      <c r="D3833" s="4">
        <f t="shared" ca="1" si="418"/>
        <v>192</v>
      </c>
      <c r="E3833" s="2">
        <f t="shared" ca="1" si="419"/>
        <v>1880</v>
      </c>
      <c r="F3833" s="2">
        <f t="shared" ca="1" si="420"/>
        <v>13336</v>
      </c>
      <c r="G3833" s="2">
        <f t="shared" ca="1" si="421"/>
        <v>629</v>
      </c>
    </row>
    <row r="3834" spans="1:7" x14ac:dyDescent="0.3">
      <c r="A3834" s="5" t="str">
        <f t="shared" si="422"/>
        <v>New Balance</v>
      </c>
      <c r="B3834" s="5" t="str">
        <f t="shared" si="417"/>
        <v>550</v>
      </c>
      <c r="C3834" s="3">
        <f t="shared" si="423"/>
        <v>45913</v>
      </c>
      <c r="D3834" s="4">
        <f t="shared" ca="1" si="418"/>
        <v>20</v>
      </c>
      <c r="E3834" s="2">
        <f t="shared" ca="1" si="419"/>
        <v>3683</v>
      </c>
      <c r="F3834" s="2">
        <f t="shared" ca="1" si="420"/>
        <v>25449</v>
      </c>
      <c r="G3834" s="2">
        <f t="shared" ca="1" si="421"/>
        <v>1972</v>
      </c>
    </row>
    <row r="3835" spans="1:7" x14ac:dyDescent="0.3">
      <c r="A3835" s="5" t="str">
        <f t="shared" si="422"/>
        <v>Reebok</v>
      </c>
      <c r="B3835" s="5" t="str">
        <f t="shared" si="417"/>
        <v>Classic Leather</v>
      </c>
      <c r="C3835" s="3">
        <f t="shared" si="423"/>
        <v>45913</v>
      </c>
      <c r="D3835" s="4">
        <f t="shared" ca="1" si="418"/>
        <v>148</v>
      </c>
      <c r="E3835" s="2">
        <f t="shared" ca="1" si="419"/>
        <v>4152</v>
      </c>
      <c r="F3835" s="2">
        <f t="shared" ca="1" si="420"/>
        <v>29734</v>
      </c>
      <c r="G3835" s="2">
        <f t="shared" ca="1" si="421"/>
        <v>2379</v>
      </c>
    </row>
    <row r="3836" spans="1:7" x14ac:dyDescent="0.3">
      <c r="A3836" s="5" t="str">
        <f t="shared" si="422"/>
        <v>Nike</v>
      </c>
      <c r="B3836" s="5" t="str">
        <f t="shared" si="417"/>
        <v>Air Force 1</v>
      </c>
      <c r="C3836" s="3">
        <f t="shared" si="423"/>
        <v>45913</v>
      </c>
      <c r="D3836" s="4">
        <f t="shared" ca="1" si="418"/>
        <v>194</v>
      </c>
      <c r="E3836" s="2">
        <f t="shared" ca="1" si="419"/>
        <v>6264</v>
      </c>
      <c r="F3836" s="2">
        <f t="shared" ca="1" si="420"/>
        <v>27612</v>
      </c>
      <c r="G3836" s="2">
        <f t="shared" ca="1" si="421"/>
        <v>1950</v>
      </c>
    </row>
    <row r="3837" spans="1:7" x14ac:dyDescent="0.3">
      <c r="A3837" s="5" t="str">
        <f t="shared" si="422"/>
        <v>Adidas</v>
      </c>
      <c r="B3837" s="5" t="str">
        <f t="shared" si="417"/>
        <v>Superstar</v>
      </c>
      <c r="C3837" s="3">
        <f t="shared" si="423"/>
        <v>45913</v>
      </c>
      <c r="D3837" s="4">
        <f t="shared" ca="1" si="418"/>
        <v>86</v>
      </c>
      <c r="E3837" s="2">
        <f t="shared" ca="1" si="419"/>
        <v>3422</v>
      </c>
      <c r="F3837" s="2">
        <f t="shared" ca="1" si="420"/>
        <v>13939</v>
      </c>
      <c r="G3837" s="2">
        <f t="shared" ca="1" si="421"/>
        <v>927</v>
      </c>
    </row>
    <row r="3838" spans="1:7" x14ac:dyDescent="0.3">
      <c r="A3838" s="5" t="str">
        <f t="shared" si="422"/>
        <v>Puma</v>
      </c>
      <c r="B3838" s="5" t="str">
        <f t="shared" si="417"/>
        <v>Rider Vintage</v>
      </c>
      <c r="C3838" s="3">
        <f t="shared" si="423"/>
        <v>45913</v>
      </c>
      <c r="D3838" s="4">
        <f t="shared" ca="1" si="418"/>
        <v>68</v>
      </c>
      <c r="E3838" s="2">
        <f t="shared" ca="1" si="419"/>
        <v>2108</v>
      </c>
      <c r="F3838" s="2">
        <f t="shared" ca="1" si="420"/>
        <v>15173</v>
      </c>
      <c r="G3838" s="2">
        <f t="shared" ca="1" si="421"/>
        <v>975</v>
      </c>
    </row>
    <row r="3839" spans="1:7" x14ac:dyDescent="0.3">
      <c r="A3839" s="5" t="str">
        <f t="shared" si="422"/>
        <v>New Balance</v>
      </c>
      <c r="B3839" s="5" t="str">
        <f t="shared" si="417"/>
        <v>327</v>
      </c>
      <c r="C3839" s="3">
        <f t="shared" si="423"/>
        <v>45913</v>
      </c>
      <c r="D3839" s="4">
        <f t="shared" ca="1" si="418"/>
        <v>246</v>
      </c>
      <c r="E3839" s="2">
        <f t="shared" ca="1" si="419"/>
        <v>4890</v>
      </c>
      <c r="F3839" s="2">
        <f t="shared" ca="1" si="420"/>
        <v>14748</v>
      </c>
      <c r="G3839" s="2">
        <f t="shared" ca="1" si="421"/>
        <v>868</v>
      </c>
    </row>
    <row r="3840" spans="1:7" x14ac:dyDescent="0.3">
      <c r="A3840" s="5" t="str">
        <f t="shared" si="422"/>
        <v>Reebok</v>
      </c>
      <c r="B3840" s="5" t="str">
        <f t="shared" si="417"/>
        <v>Question Mid</v>
      </c>
      <c r="C3840" s="3">
        <f t="shared" si="423"/>
        <v>45913</v>
      </c>
      <c r="D3840" s="4">
        <f t="shared" ca="1" si="418"/>
        <v>233</v>
      </c>
      <c r="E3840" s="2">
        <f t="shared" ca="1" si="419"/>
        <v>6943</v>
      </c>
      <c r="F3840" s="2">
        <f t="shared" ca="1" si="420"/>
        <v>18833</v>
      </c>
      <c r="G3840" s="2">
        <f t="shared" ca="1" si="421"/>
        <v>585</v>
      </c>
    </row>
    <row r="3841" spans="1:7" x14ac:dyDescent="0.3">
      <c r="A3841" s="5" t="str">
        <f t="shared" si="422"/>
        <v>Nike</v>
      </c>
      <c r="B3841" s="5" t="str">
        <f t="shared" si="417"/>
        <v>Air Max 270</v>
      </c>
      <c r="C3841" s="3">
        <f t="shared" si="423"/>
        <v>45913</v>
      </c>
      <c r="D3841" s="4">
        <f t="shared" ca="1" si="418"/>
        <v>62</v>
      </c>
      <c r="E3841" s="2">
        <f t="shared" ca="1" si="419"/>
        <v>9440</v>
      </c>
      <c r="F3841" s="2">
        <f t="shared" ca="1" si="420"/>
        <v>19124</v>
      </c>
      <c r="G3841" s="2">
        <f t="shared" ca="1" si="421"/>
        <v>1499</v>
      </c>
    </row>
    <row r="3842" spans="1:7" x14ac:dyDescent="0.3">
      <c r="A3842" s="5" t="str">
        <f t="shared" si="422"/>
        <v>Adidas</v>
      </c>
      <c r="B3842" s="5" t="str">
        <f t="shared" si="417"/>
        <v>Stan Smith</v>
      </c>
      <c r="C3842" s="3">
        <f t="shared" si="423"/>
        <v>45914</v>
      </c>
      <c r="D3842" s="4">
        <f t="shared" ca="1" si="418"/>
        <v>44</v>
      </c>
      <c r="E3842" s="2">
        <f t="shared" ca="1" si="419"/>
        <v>4455</v>
      </c>
      <c r="F3842" s="2">
        <f t="shared" ca="1" si="420"/>
        <v>11657</v>
      </c>
      <c r="G3842" s="2">
        <f t="shared" ca="1" si="421"/>
        <v>844</v>
      </c>
    </row>
    <row r="3843" spans="1:7" x14ac:dyDescent="0.3">
      <c r="A3843" s="5" t="str">
        <f t="shared" si="422"/>
        <v>Puma</v>
      </c>
      <c r="B3843" s="5" t="str">
        <f t="shared" ref="B3843:B3906" si="424">IF(A3843="Nike",CHOOSE(MOD(ROW(A3842),6)+1,"Air Max 270","Air Force 1","Pegasus 40","Vaporfly 3","Cortez","Jordan 1"),
 IF(A3843="Adidas",CHOOSE(MOD(ROW(A3842),6)+1,"Ultraboost 23","Stan Smith","Superstar","Gazelle","Samba","NMD S1"),
 IF(A3843="Puma",CHOOSE(MOD(ROW(A3842),6)+1,"Suede Classic","RS-X","Cali Dream","Rider Vintage","Slipstream","Mayze"),
 IF(A3843="New Balance",CHOOSE(MOD(ROW(A3842),6)+1,"574 Core","990v6","2002R","9060","327","550"),
 IF(A3843="Reebok",CHOOSE(MOD(ROW(A3842),6)+1,"Classic Leather","Club C 85","Nano X3","Instapump Fury","Zig Kinetica","Question Mid"),"")))))</f>
        <v>Cali Dream</v>
      </c>
      <c r="C3843" s="3">
        <f t="shared" si="423"/>
        <v>45914</v>
      </c>
      <c r="D3843" s="4">
        <f t="shared" ref="D3843:D3906" ca="1" si="425">RANDBETWEEN(20,250)</f>
        <v>87</v>
      </c>
      <c r="E3843" s="2">
        <f t="shared" ref="E3843:E3906" ca="1" si="426">ROUND(RANDBETWEEN(1500,12000)+(RANDBETWEEN(-200,200)),2)</f>
        <v>11817</v>
      </c>
      <c r="F3843" s="2">
        <f t="shared" ref="F3843:F3906" ca="1" si="427">RANDBETWEEN(5000,35000)</f>
        <v>25565</v>
      </c>
      <c r="G3843" s="2">
        <f t="shared" ref="G3843:G3906" ca="1" si="428">RANDBETWEEN(ROUND(F3843*0.02,0),ROUND(F3843*0.08,0))</f>
        <v>1957</v>
      </c>
    </row>
    <row r="3844" spans="1:7" x14ac:dyDescent="0.3">
      <c r="A3844" s="5" t="str">
        <f t="shared" si="422"/>
        <v>New Balance</v>
      </c>
      <c r="B3844" s="5" t="str">
        <f t="shared" si="424"/>
        <v>9060</v>
      </c>
      <c r="C3844" s="3">
        <f t="shared" si="423"/>
        <v>45914</v>
      </c>
      <c r="D3844" s="4">
        <f t="shared" ca="1" si="425"/>
        <v>118</v>
      </c>
      <c r="E3844" s="2">
        <f t="shared" ca="1" si="426"/>
        <v>6264</v>
      </c>
      <c r="F3844" s="2">
        <f t="shared" ca="1" si="427"/>
        <v>15605</v>
      </c>
      <c r="G3844" s="2">
        <f t="shared" ca="1" si="428"/>
        <v>894</v>
      </c>
    </row>
    <row r="3845" spans="1:7" x14ac:dyDescent="0.3">
      <c r="A3845" s="5" t="str">
        <f t="shared" si="422"/>
        <v>Reebok</v>
      </c>
      <c r="B3845" s="5" t="str">
        <f t="shared" si="424"/>
        <v>Zig Kinetica</v>
      </c>
      <c r="C3845" s="3">
        <f t="shared" si="423"/>
        <v>45914</v>
      </c>
      <c r="D3845" s="4">
        <f t="shared" ca="1" si="425"/>
        <v>225</v>
      </c>
      <c r="E3845" s="2">
        <f t="shared" ca="1" si="426"/>
        <v>10710</v>
      </c>
      <c r="F3845" s="2">
        <f t="shared" ca="1" si="427"/>
        <v>7728</v>
      </c>
      <c r="G3845" s="2">
        <f t="shared" ca="1" si="428"/>
        <v>234</v>
      </c>
    </row>
    <row r="3846" spans="1:7" x14ac:dyDescent="0.3">
      <c r="A3846" s="5" t="str">
        <f t="shared" si="422"/>
        <v>Nike</v>
      </c>
      <c r="B3846" s="5" t="str">
        <f t="shared" si="424"/>
        <v>Jordan 1</v>
      </c>
      <c r="C3846" s="3">
        <f t="shared" si="423"/>
        <v>45914</v>
      </c>
      <c r="D3846" s="4">
        <f t="shared" ca="1" si="425"/>
        <v>164</v>
      </c>
      <c r="E3846" s="2">
        <f t="shared" ca="1" si="426"/>
        <v>10384</v>
      </c>
      <c r="F3846" s="2">
        <f t="shared" ca="1" si="427"/>
        <v>33357</v>
      </c>
      <c r="G3846" s="2">
        <f t="shared" ca="1" si="428"/>
        <v>1365</v>
      </c>
    </row>
    <row r="3847" spans="1:7" x14ac:dyDescent="0.3">
      <c r="A3847" s="5" t="str">
        <f t="shared" si="422"/>
        <v>Adidas</v>
      </c>
      <c r="B3847" s="5" t="str">
        <f t="shared" si="424"/>
        <v>Ultraboost 23</v>
      </c>
      <c r="C3847" s="3">
        <f t="shared" si="423"/>
        <v>45914</v>
      </c>
      <c r="D3847" s="4">
        <f t="shared" ca="1" si="425"/>
        <v>53</v>
      </c>
      <c r="E3847" s="2">
        <f t="shared" ca="1" si="426"/>
        <v>11298</v>
      </c>
      <c r="F3847" s="2">
        <f t="shared" ca="1" si="427"/>
        <v>5329</v>
      </c>
      <c r="G3847" s="2">
        <f t="shared" ca="1" si="428"/>
        <v>366</v>
      </c>
    </row>
    <row r="3848" spans="1:7" x14ac:dyDescent="0.3">
      <c r="A3848" s="5" t="str">
        <f t="shared" si="422"/>
        <v>Puma</v>
      </c>
      <c r="B3848" s="5" t="str">
        <f t="shared" si="424"/>
        <v>RS-X</v>
      </c>
      <c r="C3848" s="3">
        <f t="shared" si="423"/>
        <v>45914</v>
      </c>
      <c r="D3848" s="4">
        <f t="shared" ca="1" si="425"/>
        <v>140</v>
      </c>
      <c r="E3848" s="2">
        <f t="shared" ca="1" si="426"/>
        <v>1573</v>
      </c>
      <c r="F3848" s="2">
        <f t="shared" ca="1" si="427"/>
        <v>14524</v>
      </c>
      <c r="G3848" s="2">
        <f t="shared" ca="1" si="428"/>
        <v>917</v>
      </c>
    </row>
    <row r="3849" spans="1:7" x14ac:dyDescent="0.3">
      <c r="A3849" s="5" t="str">
        <f t="shared" si="422"/>
        <v>New Balance</v>
      </c>
      <c r="B3849" s="5" t="str">
        <f t="shared" si="424"/>
        <v>2002R</v>
      </c>
      <c r="C3849" s="3">
        <f t="shared" si="423"/>
        <v>45914</v>
      </c>
      <c r="D3849" s="4">
        <f t="shared" ca="1" si="425"/>
        <v>22</v>
      </c>
      <c r="E3849" s="2">
        <f t="shared" ca="1" si="426"/>
        <v>7376</v>
      </c>
      <c r="F3849" s="2">
        <f t="shared" ca="1" si="427"/>
        <v>12146</v>
      </c>
      <c r="G3849" s="2">
        <f t="shared" ca="1" si="428"/>
        <v>352</v>
      </c>
    </row>
    <row r="3850" spans="1:7" x14ac:dyDescent="0.3">
      <c r="A3850" s="5" t="str">
        <f t="shared" si="422"/>
        <v>Reebok</v>
      </c>
      <c r="B3850" s="5" t="str">
        <f t="shared" si="424"/>
        <v>Instapump Fury</v>
      </c>
      <c r="C3850" s="3">
        <f t="shared" si="423"/>
        <v>45914</v>
      </c>
      <c r="D3850" s="4">
        <f t="shared" ca="1" si="425"/>
        <v>184</v>
      </c>
      <c r="E3850" s="2">
        <f t="shared" ca="1" si="426"/>
        <v>4493</v>
      </c>
      <c r="F3850" s="2">
        <f t="shared" ca="1" si="427"/>
        <v>6960</v>
      </c>
      <c r="G3850" s="2">
        <f t="shared" ca="1" si="428"/>
        <v>261</v>
      </c>
    </row>
    <row r="3851" spans="1:7" x14ac:dyDescent="0.3">
      <c r="A3851" s="5" t="str">
        <f t="shared" si="422"/>
        <v>Nike</v>
      </c>
      <c r="B3851" s="5" t="str">
        <f t="shared" si="424"/>
        <v>Cortez</v>
      </c>
      <c r="C3851" s="3">
        <f t="shared" si="423"/>
        <v>45914</v>
      </c>
      <c r="D3851" s="4">
        <f t="shared" ca="1" si="425"/>
        <v>83</v>
      </c>
      <c r="E3851" s="2">
        <f t="shared" ca="1" si="426"/>
        <v>1541</v>
      </c>
      <c r="F3851" s="2">
        <f t="shared" ca="1" si="427"/>
        <v>24476</v>
      </c>
      <c r="G3851" s="2">
        <f t="shared" ca="1" si="428"/>
        <v>1019</v>
      </c>
    </row>
    <row r="3852" spans="1:7" x14ac:dyDescent="0.3">
      <c r="A3852" s="5" t="str">
        <f t="shared" si="422"/>
        <v>Adidas</v>
      </c>
      <c r="B3852" s="5" t="str">
        <f t="shared" si="424"/>
        <v>NMD S1</v>
      </c>
      <c r="C3852" s="3">
        <f t="shared" si="423"/>
        <v>45914</v>
      </c>
      <c r="D3852" s="4">
        <f t="shared" ca="1" si="425"/>
        <v>48</v>
      </c>
      <c r="E3852" s="2">
        <f t="shared" ca="1" si="426"/>
        <v>5516</v>
      </c>
      <c r="F3852" s="2">
        <f t="shared" ca="1" si="427"/>
        <v>33996</v>
      </c>
      <c r="G3852" s="2">
        <f t="shared" ca="1" si="428"/>
        <v>1050</v>
      </c>
    </row>
    <row r="3853" spans="1:7" x14ac:dyDescent="0.3">
      <c r="A3853" s="5" t="str">
        <f t="shared" si="422"/>
        <v>Puma</v>
      </c>
      <c r="B3853" s="5" t="str">
        <f t="shared" si="424"/>
        <v>Suede Classic</v>
      </c>
      <c r="C3853" s="3">
        <f t="shared" si="423"/>
        <v>45914</v>
      </c>
      <c r="D3853" s="4">
        <f t="shared" ca="1" si="425"/>
        <v>52</v>
      </c>
      <c r="E3853" s="2">
        <f t="shared" ca="1" si="426"/>
        <v>4199</v>
      </c>
      <c r="F3853" s="2">
        <f t="shared" ca="1" si="427"/>
        <v>24486</v>
      </c>
      <c r="G3853" s="2">
        <f t="shared" ca="1" si="428"/>
        <v>1913</v>
      </c>
    </row>
    <row r="3854" spans="1:7" x14ac:dyDescent="0.3">
      <c r="A3854" s="5" t="str">
        <f t="shared" si="422"/>
        <v>New Balance</v>
      </c>
      <c r="B3854" s="5" t="str">
        <f t="shared" si="424"/>
        <v>990v6</v>
      </c>
      <c r="C3854" s="3">
        <f t="shared" si="423"/>
        <v>45914</v>
      </c>
      <c r="D3854" s="4">
        <f t="shared" ca="1" si="425"/>
        <v>234</v>
      </c>
      <c r="E3854" s="2">
        <f t="shared" ca="1" si="426"/>
        <v>5373</v>
      </c>
      <c r="F3854" s="2">
        <f t="shared" ca="1" si="427"/>
        <v>9449</v>
      </c>
      <c r="G3854" s="2">
        <f t="shared" ca="1" si="428"/>
        <v>565</v>
      </c>
    </row>
    <row r="3855" spans="1:7" x14ac:dyDescent="0.3">
      <c r="A3855" s="5" t="str">
        <f t="shared" si="422"/>
        <v>Reebok</v>
      </c>
      <c r="B3855" s="5" t="str">
        <f t="shared" si="424"/>
        <v>Nano X3</v>
      </c>
      <c r="C3855" s="3">
        <f t="shared" si="423"/>
        <v>45914</v>
      </c>
      <c r="D3855" s="4">
        <f t="shared" ca="1" si="425"/>
        <v>224</v>
      </c>
      <c r="E3855" s="2">
        <f t="shared" ca="1" si="426"/>
        <v>7290</v>
      </c>
      <c r="F3855" s="2">
        <f t="shared" ca="1" si="427"/>
        <v>22507</v>
      </c>
      <c r="G3855" s="2">
        <f t="shared" ca="1" si="428"/>
        <v>750</v>
      </c>
    </row>
    <row r="3856" spans="1:7" x14ac:dyDescent="0.3">
      <c r="A3856" s="5" t="str">
        <f t="shared" si="422"/>
        <v>Nike</v>
      </c>
      <c r="B3856" s="5" t="str">
        <f t="shared" si="424"/>
        <v>Vaporfly 3</v>
      </c>
      <c r="C3856" s="3">
        <f t="shared" si="423"/>
        <v>45914</v>
      </c>
      <c r="D3856" s="4">
        <f t="shared" ca="1" si="425"/>
        <v>177</v>
      </c>
      <c r="E3856" s="2">
        <f t="shared" ca="1" si="426"/>
        <v>8631</v>
      </c>
      <c r="F3856" s="2">
        <f t="shared" ca="1" si="427"/>
        <v>33974</v>
      </c>
      <c r="G3856" s="2">
        <f t="shared" ca="1" si="428"/>
        <v>1872</v>
      </c>
    </row>
    <row r="3857" spans="1:7" x14ac:dyDescent="0.3">
      <c r="A3857" s="5" t="str">
        <f t="shared" si="422"/>
        <v>Adidas</v>
      </c>
      <c r="B3857" s="5" t="str">
        <f t="shared" si="424"/>
        <v>Samba</v>
      </c>
      <c r="C3857" s="3">
        <f t="shared" si="423"/>
        <v>45915</v>
      </c>
      <c r="D3857" s="4">
        <f t="shared" ca="1" si="425"/>
        <v>89</v>
      </c>
      <c r="E3857" s="2">
        <f t="shared" ca="1" si="426"/>
        <v>6421</v>
      </c>
      <c r="F3857" s="2">
        <f t="shared" ca="1" si="427"/>
        <v>31043</v>
      </c>
      <c r="G3857" s="2">
        <f t="shared" ca="1" si="428"/>
        <v>2130</v>
      </c>
    </row>
    <row r="3858" spans="1:7" x14ac:dyDescent="0.3">
      <c r="A3858" s="5" t="str">
        <f t="shared" si="422"/>
        <v>Puma</v>
      </c>
      <c r="B3858" s="5" t="str">
        <f t="shared" si="424"/>
        <v>Mayze</v>
      </c>
      <c r="C3858" s="3">
        <f t="shared" si="423"/>
        <v>45915</v>
      </c>
      <c r="D3858" s="4">
        <f t="shared" ca="1" si="425"/>
        <v>122</v>
      </c>
      <c r="E3858" s="2">
        <f t="shared" ca="1" si="426"/>
        <v>8842</v>
      </c>
      <c r="F3858" s="2">
        <f t="shared" ca="1" si="427"/>
        <v>19270</v>
      </c>
      <c r="G3858" s="2">
        <f t="shared" ca="1" si="428"/>
        <v>512</v>
      </c>
    </row>
    <row r="3859" spans="1:7" x14ac:dyDescent="0.3">
      <c r="A3859" s="5" t="str">
        <f t="shared" si="422"/>
        <v>New Balance</v>
      </c>
      <c r="B3859" s="5" t="str">
        <f t="shared" si="424"/>
        <v>574 Core</v>
      </c>
      <c r="C3859" s="3">
        <f t="shared" si="423"/>
        <v>45915</v>
      </c>
      <c r="D3859" s="4">
        <f t="shared" ca="1" si="425"/>
        <v>231</v>
      </c>
      <c r="E3859" s="2">
        <f t="shared" ca="1" si="426"/>
        <v>10123</v>
      </c>
      <c r="F3859" s="2">
        <f t="shared" ca="1" si="427"/>
        <v>20438</v>
      </c>
      <c r="G3859" s="2">
        <f t="shared" ca="1" si="428"/>
        <v>567</v>
      </c>
    </row>
    <row r="3860" spans="1:7" x14ac:dyDescent="0.3">
      <c r="A3860" s="5" t="str">
        <f t="shared" si="422"/>
        <v>Reebok</v>
      </c>
      <c r="B3860" s="5" t="str">
        <f t="shared" si="424"/>
        <v>Club C 85</v>
      </c>
      <c r="C3860" s="3">
        <f t="shared" si="423"/>
        <v>45915</v>
      </c>
      <c r="D3860" s="4">
        <f t="shared" ca="1" si="425"/>
        <v>239</v>
      </c>
      <c r="E3860" s="2">
        <f t="shared" ca="1" si="426"/>
        <v>6535</v>
      </c>
      <c r="F3860" s="2">
        <f t="shared" ca="1" si="427"/>
        <v>14812</v>
      </c>
      <c r="G3860" s="2">
        <f t="shared" ca="1" si="428"/>
        <v>639</v>
      </c>
    </row>
    <row r="3861" spans="1:7" x14ac:dyDescent="0.3">
      <c r="A3861" s="5" t="str">
        <f t="shared" si="422"/>
        <v>Nike</v>
      </c>
      <c r="B3861" s="5" t="str">
        <f t="shared" si="424"/>
        <v>Pegasus 40</v>
      </c>
      <c r="C3861" s="3">
        <f t="shared" si="423"/>
        <v>45915</v>
      </c>
      <c r="D3861" s="4">
        <f t="shared" ca="1" si="425"/>
        <v>43</v>
      </c>
      <c r="E3861" s="2">
        <f t="shared" ca="1" si="426"/>
        <v>11835</v>
      </c>
      <c r="F3861" s="2">
        <f t="shared" ca="1" si="427"/>
        <v>24148</v>
      </c>
      <c r="G3861" s="2">
        <f t="shared" ca="1" si="428"/>
        <v>1671</v>
      </c>
    </row>
    <row r="3862" spans="1:7" x14ac:dyDescent="0.3">
      <c r="A3862" s="5" t="str">
        <f t="shared" si="422"/>
        <v>Adidas</v>
      </c>
      <c r="B3862" s="5" t="str">
        <f t="shared" si="424"/>
        <v>Gazelle</v>
      </c>
      <c r="C3862" s="3">
        <f t="shared" si="423"/>
        <v>45915</v>
      </c>
      <c r="D3862" s="4">
        <f t="shared" ca="1" si="425"/>
        <v>79</v>
      </c>
      <c r="E3862" s="2">
        <f t="shared" ca="1" si="426"/>
        <v>5779</v>
      </c>
      <c r="F3862" s="2">
        <f t="shared" ca="1" si="427"/>
        <v>13752</v>
      </c>
      <c r="G3862" s="2">
        <f t="shared" ca="1" si="428"/>
        <v>741</v>
      </c>
    </row>
    <row r="3863" spans="1:7" x14ac:dyDescent="0.3">
      <c r="A3863" s="5" t="str">
        <f t="shared" si="422"/>
        <v>Puma</v>
      </c>
      <c r="B3863" s="5" t="str">
        <f t="shared" si="424"/>
        <v>Slipstream</v>
      </c>
      <c r="C3863" s="3">
        <f t="shared" si="423"/>
        <v>45915</v>
      </c>
      <c r="D3863" s="4">
        <f t="shared" ca="1" si="425"/>
        <v>79</v>
      </c>
      <c r="E3863" s="2">
        <f t="shared" ca="1" si="426"/>
        <v>2851</v>
      </c>
      <c r="F3863" s="2">
        <f t="shared" ca="1" si="427"/>
        <v>23520</v>
      </c>
      <c r="G3863" s="2">
        <f t="shared" ca="1" si="428"/>
        <v>1847</v>
      </c>
    </row>
    <row r="3864" spans="1:7" x14ac:dyDescent="0.3">
      <c r="A3864" s="5" t="str">
        <f t="shared" si="422"/>
        <v>New Balance</v>
      </c>
      <c r="B3864" s="5" t="str">
        <f t="shared" si="424"/>
        <v>550</v>
      </c>
      <c r="C3864" s="3">
        <f t="shared" si="423"/>
        <v>45915</v>
      </c>
      <c r="D3864" s="4">
        <f t="shared" ca="1" si="425"/>
        <v>49</v>
      </c>
      <c r="E3864" s="2">
        <f t="shared" ca="1" si="426"/>
        <v>10922</v>
      </c>
      <c r="F3864" s="2">
        <f t="shared" ca="1" si="427"/>
        <v>29192</v>
      </c>
      <c r="G3864" s="2">
        <f t="shared" ca="1" si="428"/>
        <v>1888</v>
      </c>
    </row>
    <row r="3865" spans="1:7" x14ac:dyDescent="0.3">
      <c r="A3865" s="5" t="str">
        <f t="shared" si="422"/>
        <v>Reebok</v>
      </c>
      <c r="B3865" s="5" t="str">
        <f t="shared" si="424"/>
        <v>Classic Leather</v>
      </c>
      <c r="C3865" s="3">
        <f t="shared" si="423"/>
        <v>45915</v>
      </c>
      <c r="D3865" s="4">
        <f t="shared" ca="1" si="425"/>
        <v>114</v>
      </c>
      <c r="E3865" s="2">
        <f t="shared" ca="1" si="426"/>
        <v>7219</v>
      </c>
      <c r="F3865" s="2">
        <f t="shared" ca="1" si="427"/>
        <v>27938</v>
      </c>
      <c r="G3865" s="2">
        <f t="shared" ca="1" si="428"/>
        <v>1851</v>
      </c>
    </row>
    <row r="3866" spans="1:7" x14ac:dyDescent="0.3">
      <c r="A3866" s="5" t="str">
        <f t="shared" si="422"/>
        <v>Nike</v>
      </c>
      <c r="B3866" s="5" t="str">
        <f t="shared" si="424"/>
        <v>Air Force 1</v>
      </c>
      <c r="C3866" s="3">
        <f t="shared" si="423"/>
        <v>45915</v>
      </c>
      <c r="D3866" s="4">
        <f t="shared" ca="1" si="425"/>
        <v>176</v>
      </c>
      <c r="E3866" s="2">
        <f t="shared" ca="1" si="426"/>
        <v>1933</v>
      </c>
      <c r="F3866" s="2">
        <f t="shared" ca="1" si="427"/>
        <v>10044</v>
      </c>
      <c r="G3866" s="2">
        <f t="shared" ca="1" si="428"/>
        <v>745</v>
      </c>
    </row>
    <row r="3867" spans="1:7" x14ac:dyDescent="0.3">
      <c r="A3867" s="5" t="str">
        <f t="shared" si="422"/>
        <v>Adidas</v>
      </c>
      <c r="B3867" s="5" t="str">
        <f t="shared" si="424"/>
        <v>Superstar</v>
      </c>
      <c r="C3867" s="3">
        <f t="shared" si="423"/>
        <v>45915</v>
      </c>
      <c r="D3867" s="4">
        <f t="shared" ca="1" si="425"/>
        <v>39</v>
      </c>
      <c r="E3867" s="2">
        <f t="shared" ca="1" si="426"/>
        <v>7448</v>
      </c>
      <c r="F3867" s="2">
        <f t="shared" ca="1" si="427"/>
        <v>10488</v>
      </c>
      <c r="G3867" s="2">
        <f t="shared" ca="1" si="428"/>
        <v>396</v>
      </c>
    </row>
    <row r="3868" spans="1:7" x14ac:dyDescent="0.3">
      <c r="A3868" s="5" t="str">
        <f t="shared" si="422"/>
        <v>Puma</v>
      </c>
      <c r="B3868" s="5" t="str">
        <f t="shared" si="424"/>
        <v>Rider Vintage</v>
      </c>
      <c r="C3868" s="3">
        <f t="shared" si="423"/>
        <v>45915</v>
      </c>
      <c r="D3868" s="4">
        <f t="shared" ca="1" si="425"/>
        <v>143</v>
      </c>
      <c r="E3868" s="2">
        <f t="shared" ca="1" si="426"/>
        <v>3074</v>
      </c>
      <c r="F3868" s="2">
        <f t="shared" ca="1" si="427"/>
        <v>5665</v>
      </c>
      <c r="G3868" s="2">
        <f t="shared" ca="1" si="428"/>
        <v>377</v>
      </c>
    </row>
    <row r="3869" spans="1:7" x14ac:dyDescent="0.3">
      <c r="A3869" s="5" t="str">
        <f t="shared" si="422"/>
        <v>New Balance</v>
      </c>
      <c r="B3869" s="5" t="str">
        <f t="shared" si="424"/>
        <v>327</v>
      </c>
      <c r="C3869" s="3">
        <f t="shared" si="423"/>
        <v>45915</v>
      </c>
      <c r="D3869" s="4">
        <f t="shared" ca="1" si="425"/>
        <v>120</v>
      </c>
      <c r="E3869" s="2">
        <f t="shared" ca="1" si="426"/>
        <v>2378</v>
      </c>
      <c r="F3869" s="2">
        <f t="shared" ca="1" si="427"/>
        <v>10033</v>
      </c>
      <c r="G3869" s="2">
        <f t="shared" ca="1" si="428"/>
        <v>676</v>
      </c>
    </row>
    <row r="3870" spans="1:7" x14ac:dyDescent="0.3">
      <c r="A3870" s="5" t="str">
        <f t="shared" si="422"/>
        <v>Reebok</v>
      </c>
      <c r="B3870" s="5" t="str">
        <f t="shared" si="424"/>
        <v>Question Mid</v>
      </c>
      <c r="C3870" s="3">
        <f t="shared" si="423"/>
        <v>45915</v>
      </c>
      <c r="D3870" s="4">
        <f t="shared" ca="1" si="425"/>
        <v>80</v>
      </c>
      <c r="E3870" s="2">
        <f t="shared" ca="1" si="426"/>
        <v>7987</v>
      </c>
      <c r="F3870" s="2">
        <f t="shared" ca="1" si="427"/>
        <v>23539</v>
      </c>
      <c r="G3870" s="2">
        <f t="shared" ca="1" si="428"/>
        <v>1259</v>
      </c>
    </row>
    <row r="3871" spans="1:7" x14ac:dyDescent="0.3">
      <c r="A3871" s="5" t="str">
        <f t="shared" si="422"/>
        <v>Nike</v>
      </c>
      <c r="B3871" s="5" t="str">
        <f t="shared" si="424"/>
        <v>Air Max 270</v>
      </c>
      <c r="C3871" s="3">
        <f t="shared" si="423"/>
        <v>45915</v>
      </c>
      <c r="D3871" s="4">
        <f t="shared" ca="1" si="425"/>
        <v>158</v>
      </c>
      <c r="E3871" s="2">
        <f t="shared" ca="1" si="426"/>
        <v>2710</v>
      </c>
      <c r="F3871" s="2">
        <f t="shared" ca="1" si="427"/>
        <v>29177</v>
      </c>
      <c r="G3871" s="2">
        <f t="shared" ca="1" si="428"/>
        <v>609</v>
      </c>
    </row>
    <row r="3872" spans="1:7" x14ac:dyDescent="0.3">
      <c r="A3872" s="5" t="str">
        <f t="shared" si="422"/>
        <v>Adidas</v>
      </c>
      <c r="B3872" s="5" t="str">
        <f t="shared" si="424"/>
        <v>Stan Smith</v>
      </c>
      <c r="C3872" s="3">
        <f t="shared" si="423"/>
        <v>45916</v>
      </c>
      <c r="D3872" s="4">
        <f t="shared" ca="1" si="425"/>
        <v>183</v>
      </c>
      <c r="E3872" s="2">
        <f t="shared" ca="1" si="426"/>
        <v>11405</v>
      </c>
      <c r="F3872" s="2">
        <f t="shared" ca="1" si="427"/>
        <v>24201</v>
      </c>
      <c r="G3872" s="2">
        <f t="shared" ca="1" si="428"/>
        <v>517</v>
      </c>
    </row>
    <row r="3873" spans="1:7" x14ac:dyDescent="0.3">
      <c r="A3873" s="5" t="str">
        <f t="shared" si="422"/>
        <v>Puma</v>
      </c>
      <c r="B3873" s="5" t="str">
        <f t="shared" si="424"/>
        <v>Cali Dream</v>
      </c>
      <c r="C3873" s="3">
        <f t="shared" si="423"/>
        <v>45916</v>
      </c>
      <c r="D3873" s="4">
        <f t="shared" ca="1" si="425"/>
        <v>106</v>
      </c>
      <c r="E3873" s="2">
        <f t="shared" ca="1" si="426"/>
        <v>5781</v>
      </c>
      <c r="F3873" s="2">
        <f t="shared" ca="1" si="427"/>
        <v>32127</v>
      </c>
      <c r="G3873" s="2">
        <f t="shared" ca="1" si="428"/>
        <v>2172</v>
      </c>
    </row>
    <row r="3874" spans="1:7" x14ac:dyDescent="0.3">
      <c r="A3874" s="5" t="str">
        <f t="shared" si="422"/>
        <v>New Balance</v>
      </c>
      <c r="B3874" s="5" t="str">
        <f t="shared" si="424"/>
        <v>9060</v>
      </c>
      <c r="C3874" s="3">
        <f t="shared" si="423"/>
        <v>45916</v>
      </c>
      <c r="D3874" s="4">
        <f t="shared" ca="1" si="425"/>
        <v>174</v>
      </c>
      <c r="E3874" s="2">
        <f t="shared" ca="1" si="426"/>
        <v>4804</v>
      </c>
      <c r="F3874" s="2">
        <f t="shared" ca="1" si="427"/>
        <v>11821</v>
      </c>
      <c r="G3874" s="2">
        <f t="shared" ca="1" si="428"/>
        <v>727</v>
      </c>
    </row>
    <row r="3875" spans="1:7" x14ac:dyDescent="0.3">
      <c r="A3875" s="5" t="str">
        <f t="shared" si="422"/>
        <v>Reebok</v>
      </c>
      <c r="B3875" s="5" t="str">
        <f t="shared" si="424"/>
        <v>Zig Kinetica</v>
      </c>
      <c r="C3875" s="3">
        <f t="shared" si="423"/>
        <v>45916</v>
      </c>
      <c r="D3875" s="4">
        <f t="shared" ca="1" si="425"/>
        <v>175</v>
      </c>
      <c r="E3875" s="2">
        <f t="shared" ca="1" si="426"/>
        <v>2196</v>
      </c>
      <c r="F3875" s="2">
        <f t="shared" ca="1" si="427"/>
        <v>25018</v>
      </c>
      <c r="G3875" s="2">
        <f t="shared" ca="1" si="428"/>
        <v>1209</v>
      </c>
    </row>
    <row r="3876" spans="1:7" x14ac:dyDescent="0.3">
      <c r="A3876" s="5" t="str">
        <f t="shared" si="422"/>
        <v>Nike</v>
      </c>
      <c r="B3876" s="5" t="str">
        <f t="shared" si="424"/>
        <v>Jordan 1</v>
      </c>
      <c r="C3876" s="3">
        <f t="shared" si="423"/>
        <v>45916</v>
      </c>
      <c r="D3876" s="4">
        <f t="shared" ca="1" si="425"/>
        <v>173</v>
      </c>
      <c r="E3876" s="2">
        <f t="shared" ca="1" si="426"/>
        <v>8918</v>
      </c>
      <c r="F3876" s="2">
        <f t="shared" ca="1" si="427"/>
        <v>34463</v>
      </c>
      <c r="G3876" s="2">
        <f t="shared" ca="1" si="428"/>
        <v>2226</v>
      </c>
    </row>
    <row r="3877" spans="1:7" x14ac:dyDescent="0.3">
      <c r="A3877" s="5" t="str">
        <f t="shared" si="422"/>
        <v>Adidas</v>
      </c>
      <c r="B3877" s="5" t="str">
        <f t="shared" si="424"/>
        <v>Ultraboost 23</v>
      </c>
      <c r="C3877" s="3">
        <f t="shared" si="423"/>
        <v>45916</v>
      </c>
      <c r="D3877" s="4">
        <f t="shared" ca="1" si="425"/>
        <v>116</v>
      </c>
      <c r="E3877" s="2">
        <f t="shared" ca="1" si="426"/>
        <v>3263</v>
      </c>
      <c r="F3877" s="2">
        <f t="shared" ca="1" si="427"/>
        <v>30458</v>
      </c>
      <c r="G3877" s="2">
        <f t="shared" ca="1" si="428"/>
        <v>2047</v>
      </c>
    </row>
    <row r="3878" spans="1:7" x14ac:dyDescent="0.3">
      <c r="A3878" s="5" t="str">
        <f t="shared" si="422"/>
        <v>Puma</v>
      </c>
      <c r="B3878" s="5" t="str">
        <f t="shared" si="424"/>
        <v>RS-X</v>
      </c>
      <c r="C3878" s="3">
        <f t="shared" si="423"/>
        <v>45916</v>
      </c>
      <c r="D3878" s="4">
        <f t="shared" ca="1" si="425"/>
        <v>119</v>
      </c>
      <c r="E3878" s="2">
        <f t="shared" ca="1" si="426"/>
        <v>3041</v>
      </c>
      <c r="F3878" s="2">
        <f t="shared" ca="1" si="427"/>
        <v>22707</v>
      </c>
      <c r="G3878" s="2">
        <f t="shared" ca="1" si="428"/>
        <v>1664</v>
      </c>
    </row>
    <row r="3879" spans="1:7" x14ac:dyDescent="0.3">
      <c r="A3879" s="5" t="str">
        <f t="shared" si="422"/>
        <v>New Balance</v>
      </c>
      <c r="B3879" s="5" t="str">
        <f t="shared" si="424"/>
        <v>2002R</v>
      </c>
      <c r="C3879" s="3">
        <f t="shared" si="423"/>
        <v>45916</v>
      </c>
      <c r="D3879" s="4">
        <f t="shared" ca="1" si="425"/>
        <v>220</v>
      </c>
      <c r="E3879" s="2">
        <f t="shared" ca="1" si="426"/>
        <v>7395</v>
      </c>
      <c r="F3879" s="2">
        <f t="shared" ca="1" si="427"/>
        <v>22598</v>
      </c>
      <c r="G3879" s="2">
        <f t="shared" ca="1" si="428"/>
        <v>1435</v>
      </c>
    </row>
    <row r="3880" spans="1:7" x14ac:dyDescent="0.3">
      <c r="A3880" s="5" t="str">
        <f t="shared" si="422"/>
        <v>Reebok</v>
      </c>
      <c r="B3880" s="5" t="str">
        <f t="shared" si="424"/>
        <v>Instapump Fury</v>
      </c>
      <c r="C3880" s="3">
        <f t="shared" si="423"/>
        <v>45916</v>
      </c>
      <c r="D3880" s="4">
        <f t="shared" ca="1" si="425"/>
        <v>198</v>
      </c>
      <c r="E3880" s="2">
        <f t="shared" ca="1" si="426"/>
        <v>4448</v>
      </c>
      <c r="F3880" s="2">
        <f t="shared" ca="1" si="427"/>
        <v>23381</v>
      </c>
      <c r="G3880" s="2">
        <f t="shared" ca="1" si="428"/>
        <v>1676</v>
      </c>
    </row>
    <row r="3881" spans="1:7" x14ac:dyDescent="0.3">
      <c r="A3881" s="5" t="str">
        <f t="shared" si="422"/>
        <v>Nike</v>
      </c>
      <c r="B3881" s="5" t="str">
        <f t="shared" si="424"/>
        <v>Cortez</v>
      </c>
      <c r="C3881" s="3">
        <f t="shared" si="423"/>
        <v>45916</v>
      </c>
      <c r="D3881" s="4">
        <f t="shared" ca="1" si="425"/>
        <v>183</v>
      </c>
      <c r="E3881" s="2">
        <f t="shared" ca="1" si="426"/>
        <v>5002</v>
      </c>
      <c r="F3881" s="2">
        <f t="shared" ca="1" si="427"/>
        <v>10381</v>
      </c>
      <c r="G3881" s="2">
        <f t="shared" ca="1" si="428"/>
        <v>322</v>
      </c>
    </row>
    <row r="3882" spans="1:7" x14ac:dyDescent="0.3">
      <c r="A3882" s="5" t="str">
        <f t="shared" si="422"/>
        <v>Adidas</v>
      </c>
      <c r="B3882" s="5" t="str">
        <f t="shared" si="424"/>
        <v>NMD S1</v>
      </c>
      <c r="C3882" s="3">
        <f t="shared" si="423"/>
        <v>45916</v>
      </c>
      <c r="D3882" s="4">
        <f t="shared" ca="1" si="425"/>
        <v>247</v>
      </c>
      <c r="E3882" s="2">
        <f t="shared" ca="1" si="426"/>
        <v>10926</v>
      </c>
      <c r="F3882" s="2">
        <f t="shared" ca="1" si="427"/>
        <v>29659</v>
      </c>
      <c r="G3882" s="2">
        <f t="shared" ca="1" si="428"/>
        <v>1923</v>
      </c>
    </row>
    <row r="3883" spans="1:7" x14ac:dyDescent="0.3">
      <c r="A3883" s="5" t="str">
        <f t="shared" ref="A3883:A3946" si="429">CHOOSE(MOD(ROW(A3882),5)+1,"Nike","Adidas","Puma","New Balance","Reebok")</f>
        <v>Puma</v>
      </c>
      <c r="B3883" s="5" t="str">
        <f t="shared" si="424"/>
        <v>Suede Classic</v>
      </c>
      <c r="C3883" s="3">
        <f t="shared" ref="C3883:C3946" si="430">DATE(2025,1,1)+INT((ROW(A3883)-2)/15)</f>
        <v>45916</v>
      </c>
      <c r="D3883" s="4">
        <f t="shared" ca="1" si="425"/>
        <v>94</v>
      </c>
      <c r="E3883" s="2">
        <f t="shared" ca="1" si="426"/>
        <v>6685</v>
      </c>
      <c r="F3883" s="2">
        <f t="shared" ca="1" si="427"/>
        <v>29434</v>
      </c>
      <c r="G3883" s="2">
        <f t="shared" ca="1" si="428"/>
        <v>1105</v>
      </c>
    </row>
    <row r="3884" spans="1:7" x14ac:dyDescent="0.3">
      <c r="A3884" s="5" t="str">
        <f t="shared" si="429"/>
        <v>New Balance</v>
      </c>
      <c r="B3884" s="5" t="str">
        <f t="shared" si="424"/>
        <v>990v6</v>
      </c>
      <c r="C3884" s="3">
        <f t="shared" si="430"/>
        <v>45916</v>
      </c>
      <c r="D3884" s="4">
        <f t="shared" ca="1" si="425"/>
        <v>23</v>
      </c>
      <c r="E3884" s="2">
        <f t="shared" ca="1" si="426"/>
        <v>3477</v>
      </c>
      <c r="F3884" s="2">
        <f t="shared" ca="1" si="427"/>
        <v>28107</v>
      </c>
      <c r="G3884" s="2">
        <f t="shared" ca="1" si="428"/>
        <v>829</v>
      </c>
    </row>
    <row r="3885" spans="1:7" x14ac:dyDescent="0.3">
      <c r="A3885" s="5" t="str">
        <f t="shared" si="429"/>
        <v>Reebok</v>
      </c>
      <c r="B3885" s="5" t="str">
        <f t="shared" si="424"/>
        <v>Nano X3</v>
      </c>
      <c r="C3885" s="3">
        <f t="shared" si="430"/>
        <v>45916</v>
      </c>
      <c r="D3885" s="4">
        <f t="shared" ca="1" si="425"/>
        <v>141</v>
      </c>
      <c r="E3885" s="2">
        <f t="shared" ca="1" si="426"/>
        <v>2912</v>
      </c>
      <c r="F3885" s="2">
        <f t="shared" ca="1" si="427"/>
        <v>25680</v>
      </c>
      <c r="G3885" s="2">
        <f t="shared" ca="1" si="428"/>
        <v>1551</v>
      </c>
    </row>
    <row r="3886" spans="1:7" x14ac:dyDescent="0.3">
      <c r="A3886" s="5" t="str">
        <f t="shared" si="429"/>
        <v>Nike</v>
      </c>
      <c r="B3886" s="5" t="str">
        <f t="shared" si="424"/>
        <v>Vaporfly 3</v>
      </c>
      <c r="C3886" s="3">
        <f t="shared" si="430"/>
        <v>45916</v>
      </c>
      <c r="D3886" s="4">
        <f t="shared" ca="1" si="425"/>
        <v>171</v>
      </c>
      <c r="E3886" s="2">
        <f t="shared" ca="1" si="426"/>
        <v>8833</v>
      </c>
      <c r="F3886" s="2">
        <f t="shared" ca="1" si="427"/>
        <v>28688</v>
      </c>
      <c r="G3886" s="2">
        <f t="shared" ca="1" si="428"/>
        <v>1960</v>
      </c>
    </row>
    <row r="3887" spans="1:7" x14ac:dyDescent="0.3">
      <c r="A3887" s="5" t="str">
        <f t="shared" si="429"/>
        <v>Adidas</v>
      </c>
      <c r="B3887" s="5" t="str">
        <f t="shared" si="424"/>
        <v>Samba</v>
      </c>
      <c r="C3887" s="3">
        <f t="shared" si="430"/>
        <v>45917</v>
      </c>
      <c r="D3887" s="4">
        <f t="shared" ca="1" si="425"/>
        <v>74</v>
      </c>
      <c r="E3887" s="2">
        <f t="shared" ca="1" si="426"/>
        <v>10268</v>
      </c>
      <c r="F3887" s="2">
        <f t="shared" ca="1" si="427"/>
        <v>6308</v>
      </c>
      <c r="G3887" s="2">
        <f t="shared" ca="1" si="428"/>
        <v>343</v>
      </c>
    </row>
    <row r="3888" spans="1:7" x14ac:dyDescent="0.3">
      <c r="A3888" s="5" t="str">
        <f t="shared" si="429"/>
        <v>Puma</v>
      </c>
      <c r="B3888" s="5" t="str">
        <f t="shared" si="424"/>
        <v>Mayze</v>
      </c>
      <c r="C3888" s="3">
        <f t="shared" si="430"/>
        <v>45917</v>
      </c>
      <c r="D3888" s="4">
        <f t="shared" ca="1" si="425"/>
        <v>131</v>
      </c>
      <c r="E3888" s="2">
        <f t="shared" ca="1" si="426"/>
        <v>11909</v>
      </c>
      <c r="F3888" s="2">
        <f t="shared" ca="1" si="427"/>
        <v>14844</v>
      </c>
      <c r="G3888" s="2">
        <f t="shared" ca="1" si="428"/>
        <v>1088</v>
      </c>
    </row>
    <row r="3889" spans="1:7" x14ac:dyDescent="0.3">
      <c r="A3889" s="5" t="str">
        <f t="shared" si="429"/>
        <v>New Balance</v>
      </c>
      <c r="B3889" s="5" t="str">
        <f t="shared" si="424"/>
        <v>574 Core</v>
      </c>
      <c r="C3889" s="3">
        <f t="shared" si="430"/>
        <v>45917</v>
      </c>
      <c r="D3889" s="4">
        <f t="shared" ca="1" si="425"/>
        <v>160</v>
      </c>
      <c r="E3889" s="2">
        <f t="shared" ca="1" si="426"/>
        <v>9123</v>
      </c>
      <c r="F3889" s="2">
        <f t="shared" ca="1" si="427"/>
        <v>8713</v>
      </c>
      <c r="G3889" s="2">
        <f t="shared" ca="1" si="428"/>
        <v>618</v>
      </c>
    </row>
    <row r="3890" spans="1:7" x14ac:dyDescent="0.3">
      <c r="A3890" s="5" t="str">
        <f t="shared" si="429"/>
        <v>Reebok</v>
      </c>
      <c r="B3890" s="5" t="str">
        <f t="shared" si="424"/>
        <v>Club C 85</v>
      </c>
      <c r="C3890" s="3">
        <f t="shared" si="430"/>
        <v>45917</v>
      </c>
      <c r="D3890" s="4">
        <f t="shared" ca="1" si="425"/>
        <v>100</v>
      </c>
      <c r="E3890" s="2">
        <f t="shared" ca="1" si="426"/>
        <v>1953</v>
      </c>
      <c r="F3890" s="2">
        <f t="shared" ca="1" si="427"/>
        <v>23206</v>
      </c>
      <c r="G3890" s="2">
        <f t="shared" ca="1" si="428"/>
        <v>941</v>
      </c>
    </row>
    <row r="3891" spans="1:7" x14ac:dyDescent="0.3">
      <c r="A3891" s="5" t="str">
        <f t="shared" si="429"/>
        <v>Nike</v>
      </c>
      <c r="B3891" s="5" t="str">
        <f t="shared" si="424"/>
        <v>Pegasus 40</v>
      </c>
      <c r="C3891" s="3">
        <f t="shared" si="430"/>
        <v>45917</v>
      </c>
      <c r="D3891" s="4">
        <f t="shared" ca="1" si="425"/>
        <v>78</v>
      </c>
      <c r="E3891" s="2">
        <f t="shared" ca="1" si="426"/>
        <v>10459</v>
      </c>
      <c r="F3891" s="2">
        <f t="shared" ca="1" si="427"/>
        <v>12094</v>
      </c>
      <c r="G3891" s="2">
        <f t="shared" ca="1" si="428"/>
        <v>367</v>
      </c>
    </row>
    <row r="3892" spans="1:7" x14ac:dyDescent="0.3">
      <c r="A3892" s="5" t="str">
        <f t="shared" si="429"/>
        <v>Adidas</v>
      </c>
      <c r="B3892" s="5" t="str">
        <f t="shared" si="424"/>
        <v>Gazelle</v>
      </c>
      <c r="C3892" s="3">
        <f t="shared" si="430"/>
        <v>45917</v>
      </c>
      <c r="D3892" s="4">
        <f t="shared" ca="1" si="425"/>
        <v>214</v>
      </c>
      <c r="E3892" s="2">
        <f t="shared" ca="1" si="426"/>
        <v>2432</v>
      </c>
      <c r="F3892" s="2">
        <f t="shared" ca="1" si="427"/>
        <v>15782</v>
      </c>
      <c r="G3892" s="2">
        <f t="shared" ca="1" si="428"/>
        <v>858</v>
      </c>
    </row>
    <row r="3893" spans="1:7" x14ac:dyDescent="0.3">
      <c r="A3893" s="5" t="str">
        <f t="shared" si="429"/>
        <v>Puma</v>
      </c>
      <c r="B3893" s="5" t="str">
        <f t="shared" si="424"/>
        <v>Slipstream</v>
      </c>
      <c r="C3893" s="3">
        <f t="shared" si="430"/>
        <v>45917</v>
      </c>
      <c r="D3893" s="4">
        <f t="shared" ca="1" si="425"/>
        <v>32</v>
      </c>
      <c r="E3893" s="2">
        <f t="shared" ca="1" si="426"/>
        <v>11821</v>
      </c>
      <c r="F3893" s="2">
        <f t="shared" ca="1" si="427"/>
        <v>27381</v>
      </c>
      <c r="G3893" s="2">
        <f t="shared" ca="1" si="428"/>
        <v>1314</v>
      </c>
    </row>
    <row r="3894" spans="1:7" x14ac:dyDescent="0.3">
      <c r="A3894" s="5" t="str">
        <f t="shared" si="429"/>
        <v>New Balance</v>
      </c>
      <c r="B3894" s="5" t="str">
        <f t="shared" si="424"/>
        <v>550</v>
      </c>
      <c r="C3894" s="3">
        <f t="shared" si="430"/>
        <v>45917</v>
      </c>
      <c r="D3894" s="4">
        <f t="shared" ca="1" si="425"/>
        <v>103</v>
      </c>
      <c r="E3894" s="2">
        <f t="shared" ca="1" si="426"/>
        <v>3153</v>
      </c>
      <c r="F3894" s="2">
        <f t="shared" ca="1" si="427"/>
        <v>26595</v>
      </c>
      <c r="G3894" s="2">
        <f t="shared" ca="1" si="428"/>
        <v>629</v>
      </c>
    </row>
    <row r="3895" spans="1:7" x14ac:dyDescent="0.3">
      <c r="A3895" s="5" t="str">
        <f t="shared" si="429"/>
        <v>Reebok</v>
      </c>
      <c r="B3895" s="5" t="str">
        <f t="shared" si="424"/>
        <v>Classic Leather</v>
      </c>
      <c r="C3895" s="3">
        <f t="shared" si="430"/>
        <v>45917</v>
      </c>
      <c r="D3895" s="4">
        <f t="shared" ca="1" si="425"/>
        <v>112</v>
      </c>
      <c r="E3895" s="2">
        <f t="shared" ca="1" si="426"/>
        <v>5330</v>
      </c>
      <c r="F3895" s="2">
        <f t="shared" ca="1" si="427"/>
        <v>7491</v>
      </c>
      <c r="G3895" s="2">
        <f t="shared" ca="1" si="428"/>
        <v>320</v>
      </c>
    </row>
    <row r="3896" spans="1:7" x14ac:dyDescent="0.3">
      <c r="A3896" s="5" t="str">
        <f t="shared" si="429"/>
        <v>Nike</v>
      </c>
      <c r="B3896" s="5" t="str">
        <f t="shared" si="424"/>
        <v>Air Force 1</v>
      </c>
      <c r="C3896" s="3">
        <f t="shared" si="430"/>
        <v>45917</v>
      </c>
      <c r="D3896" s="4">
        <f t="shared" ca="1" si="425"/>
        <v>148</v>
      </c>
      <c r="E3896" s="2">
        <f t="shared" ca="1" si="426"/>
        <v>6754</v>
      </c>
      <c r="F3896" s="2">
        <f t="shared" ca="1" si="427"/>
        <v>13692</v>
      </c>
      <c r="G3896" s="2">
        <f t="shared" ca="1" si="428"/>
        <v>447</v>
      </c>
    </row>
    <row r="3897" spans="1:7" x14ac:dyDescent="0.3">
      <c r="A3897" s="5" t="str">
        <f t="shared" si="429"/>
        <v>Adidas</v>
      </c>
      <c r="B3897" s="5" t="str">
        <f t="shared" si="424"/>
        <v>Superstar</v>
      </c>
      <c r="C3897" s="3">
        <f t="shared" si="430"/>
        <v>45917</v>
      </c>
      <c r="D3897" s="4">
        <f t="shared" ca="1" si="425"/>
        <v>222</v>
      </c>
      <c r="E3897" s="2">
        <f t="shared" ca="1" si="426"/>
        <v>2752</v>
      </c>
      <c r="F3897" s="2">
        <f t="shared" ca="1" si="427"/>
        <v>30987</v>
      </c>
      <c r="G3897" s="2">
        <f t="shared" ca="1" si="428"/>
        <v>801</v>
      </c>
    </row>
    <row r="3898" spans="1:7" x14ac:dyDescent="0.3">
      <c r="A3898" s="5" t="str">
        <f t="shared" si="429"/>
        <v>Puma</v>
      </c>
      <c r="B3898" s="5" t="str">
        <f t="shared" si="424"/>
        <v>Rider Vintage</v>
      </c>
      <c r="C3898" s="3">
        <f t="shared" si="430"/>
        <v>45917</v>
      </c>
      <c r="D3898" s="4">
        <f t="shared" ca="1" si="425"/>
        <v>37</v>
      </c>
      <c r="E3898" s="2">
        <f t="shared" ca="1" si="426"/>
        <v>11015</v>
      </c>
      <c r="F3898" s="2">
        <f t="shared" ca="1" si="427"/>
        <v>27244</v>
      </c>
      <c r="G3898" s="2">
        <f t="shared" ca="1" si="428"/>
        <v>1944</v>
      </c>
    </row>
    <row r="3899" spans="1:7" x14ac:dyDescent="0.3">
      <c r="A3899" s="5" t="str">
        <f t="shared" si="429"/>
        <v>New Balance</v>
      </c>
      <c r="B3899" s="5" t="str">
        <f t="shared" si="424"/>
        <v>327</v>
      </c>
      <c r="C3899" s="3">
        <f t="shared" si="430"/>
        <v>45917</v>
      </c>
      <c r="D3899" s="4">
        <f t="shared" ca="1" si="425"/>
        <v>183</v>
      </c>
      <c r="E3899" s="2">
        <f t="shared" ca="1" si="426"/>
        <v>10677</v>
      </c>
      <c r="F3899" s="2">
        <f t="shared" ca="1" si="427"/>
        <v>31092</v>
      </c>
      <c r="G3899" s="2">
        <f t="shared" ca="1" si="428"/>
        <v>2352</v>
      </c>
    </row>
    <row r="3900" spans="1:7" x14ac:dyDescent="0.3">
      <c r="A3900" s="5" t="str">
        <f t="shared" si="429"/>
        <v>Reebok</v>
      </c>
      <c r="B3900" s="5" t="str">
        <f t="shared" si="424"/>
        <v>Question Mid</v>
      </c>
      <c r="C3900" s="3">
        <f t="shared" si="430"/>
        <v>45917</v>
      </c>
      <c r="D3900" s="4">
        <f t="shared" ca="1" si="425"/>
        <v>178</v>
      </c>
      <c r="E3900" s="2">
        <f t="shared" ca="1" si="426"/>
        <v>2184</v>
      </c>
      <c r="F3900" s="2">
        <f t="shared" ca="1" si="427"/>
        <v>15471</v>
      </c>
      <c r="G3900" s="2">
        <f t="shared" ca="1" si="428"/>
        <v>884</v>
      </c>
    </row>
    <row r="3901" spans="1:7" x14ac:dyDescent="0.3">
      <c r="A3901" s="5" t="str">
        <f t="shared" si="429"/>
        <v>Nike</v>
      </c>
      <c r="B3901" s="5" t="str">
        <f t="shared" si="424"/>
        <v>Air Max 270</v>
      </c>
      <c r="C3901" s="3">
        <f t="shared" si="430"/>
        <v>45917</v>
      </c>
      <c r="D3901" s="4">
        <f t="shared" ca="1" si="425"/>
        <v>152</v>
      </c>
      <c r="E3901" s="2">
        <f t="shared" ca="1" si="426"/>
        <v>2843</v>
      </c>
      <c r="F3901" s="2">
        <f t="shared" ca="1" si="427"/>
        <v>21016</v>
      </c>
      <c r="G3901" s="2">
        <f t="shared" ca="1" si="428"/>
        <v>1321</v>
      </c>
    </row>
    <row r="3902" spans="1:7" x14ac:dyDescent="0.3">
      <c r="A3902" s="5" t="str">
        <f t="shared" si="429"/>
        <v>Adidas</v>
      </c>
      <c r="B3902" s="5" t="str">
        <f t="shared" si="424"/>
        <v>Stan Smith</v>
      </c>
      <c r="C3902" s="3">
        <f t="shared" si="430"/>
        <v>45918</v>
      </c>
      <c r="D3902" s="4">
        <f t="shared" ca="1" si="425"/>
        <v>177</v>
      </c>
      <c r="E3902" s="2">
        <f t="shared" ca="1" si="426"/>
        <v>11820</v>
      </c>
      <c r="F3902" s="2">
        <f t="shared" ca="1" si="427"/>
        <v>18160</v>
      </c>
      <c r="G3902" s="2">
        <f t="shared" ca="1" si="428"/>
        <v>797</v>
      </c>
    </row>
    <row r="3903" spans="1:7" x14ac:dyDescent="0.3">
      <c r="A3903" s="5" t="str">
        <f t="shared" si="429"/>
        <v>Puma</v>
      </c>
      <c r="B3903" s="5" t="str">
        <f t="shared" si="424"/>
        <v>Cali Dream</v>
      </c>
      <c r="C3903" s="3">
        <f t="shared" si="430"/>
        <v>45918</v>
      </c>
      <c r="D3903" s="4">
        <f t="shared" ca="1" si="425"/>
        <v>85</v>
      </c>
      <c r="E3903" s="2">
        <f t="shared" ca="1" si="426"/>
        <v>10601</v>
      </c>
      <c r="F3903" s="2">
        <f t="shared" ca="1" si="427"/>
        <v>20139</v>
      </c>
      <c r="G3903" s="2">
        <f t="shared" ca="1" si="428"/>
        <v>924</v>
      </c>
    </row>
    <row r="3904" spans="1:7" x14ac:dyDescent="0.3">
      <c r="A3904" s="5" t="str">
        <f t="shared" si="429"/>
        <v>New Balance</v>
      </c>
      <c r="B3904" s="5" t="str">
        <f t="shared" si="424"/>
        <v>9060</v>
      </c>
      <c r="C3904" s="3">
        <f t="shared" si="430"/>
        <v>45918</v>
      </c>
      <c r="D3904" s="4">
        <f t="shared" ca="1" si="425"/>
        <v>42</v>
      </c>
      <c r="E3904" s="2">
        <f t="shared" ca="1" si="426"/>
        <v>5065</v>
      </c>
      <c r="F3904" s="2">
        <f t="shared" ca="1" si="427"/>
        <v>31153</v>
      </c>
      <c r="G3904" s="2">
        <f t="shared" ca="1" si="428"/>
        <v>1790</v>
      </c>
    </row>
    <row r="3905" spans="1:7" x14ac:dyDescent="0.3">
      <c r="A3905" s="5" t="str">
        <f t="shared" si="429"/>
        <v>Reebok</v>
      </c>
      <c r="B3905" s="5" t="str">
        <f t="shared" si="424"/>
        <v>Zig Kinetica</v>
      </c>
      <c r="C3905" s="3">
        <f t="shared" si="430"/>
        <v>45918</v>
      </c>
      <c r="D3905" s="4">
        <f t="shared" ca="1" si="425"/>
        <v>94</v>
      </c>
      <c r="E3905" s="2">
        <f t="shared" ca="1" si="426"/>
        <v>9765</v>
      </c>
      <c r="F3905" s="2">
        <f t="shared" ca="1" si="427"/>
        <v>16020</v>
      </c>
      <c r="G3905" s="2">
        <f t="shared" ca="1" si="428"/>
        <v>904</v>
      </c>
    </row>
    <row r="3906" spans="1:7" x14ac:dyDescent="0.3">
      <c r="A3906" s="5" t="str">
        <f t="shared" si="429"/>
        <v>Nike</v>
      </c>
      <c r="B3906" s="5" t="str">
        <f t="shared" si="424"/>
        <v>Jordan 1</v>
      </c>
      <c r="C3906" s="3">
        <f t="shared" si="430"/>
        <v>45918</v>
      </c>
      <c r="D3906" s="4">
        <f t="shared" ca="1" si="425"/>
        <v>237</v>
      </c>
      <c r="E3906" s="2">
        <f t="shared" ca="1" si="426"/>
        <v>8540</v>
      </c>
      <c r="F3906" s="2">
        <f t="shared" ca="1" si="427"/>
        <v>27751</v>
      </c>
      <c r="G3906" s="2">
        <f t="shared" ca="1" si="428"/>
        <v>983</v>
      </c>
    </row>
    <row r="3907" spans="1:7" x14ac:dyDescent="0.3">
      <c r="A3907" s="5" t="str">
        <f t="shared" si="429"/>
        <v>Adidas</v>
      </c>
      <c r="B3907" s="5" t="str">
        <f t="shared" ref="B3907:B3970" si="431">IF(A3907="Nike",CHOOSE(MOD(ROW(A3906),6)+1,"Air Max 270","Air Force 1","Pegasus 40","Vaporfly 3","Cortez","Jordan 1"),
 IF(A3907="Adidas",CHOOSE(MOD(ROW(A3906),6)+1,"Ultraboost 23","Stan Smith","Superstar","Gazelle","Samba","NMD S1"),
 IF(A3907="Puma",CHOOSE(MOD(ROW(A3906),6)+1,"Suede Classic","RS-X","Cali Dream","Rider Vintage","Slipstream","Mayze"),
 IF(A3907="New Balance",CHOOSE(MOD(ROW(A3906),6)+1,"574 Core","990v6","2002R","9060","327","550"),
 IF(A3907="Reebok",CHOOSE(MOD(ROW(A3906),6)+1,"Classic Leather","Club C 85","Nano X3","Instapump Fury","Zig Kinetica","Question Mid"),"")))))</f>
        <v>Ultraboost 23</v>
      </c>
      <c r="C3907" s="3">
        <f t="shared" si="430"/>
        <v>45918</v>
      </c>
      <c r="D3907" s="4">
        <f t="shared" ref="D3907:D3970" ca="1" si="432">RANDBETWEEN(20,250)</f>
        <v>179</v>
      </c>
      <c r="E3907" s="2">
        <f t="shared" ref="E3907:E3970" ca="1" si="433">ROUND(RANDBETWEEN(1500,12000)+(RANDBETWEEN(-200,200)),2)</f>
        <v>7420</v>
      </c>
      <c r="F3907" s="2">
        <f t="shared" ref="F3907:F3970" ca="1" si="434">RANDBETWEEN(5000,35000)</f>
        <v>12184</v>
      </c>
      <c r="G3907" s="2">
        <f t="shared" ref="G3907:G3970" ca="1" si="435">RANDBETWEEN(ROUND(F3907*0.02,0),ROUND(F3907*0.08,0))</f>
        <v>362</v>
      </c>
    </row>
    <row r="3908" spans="1:7" x14ac:dyDescent="0.3">
      <c r="A3908" s="5" t="str">
        <f t="shared" si="429"/>
        <v>Puma</v>
      </c>
      <c r="B3908" s="5" t="str">
        <f t="shared" si="431"/>
        <v>RS-X</v>
      </c>
      <c r="C3908" s="3">
        <f t="shared" si="430"/>
        <v>45918</v>
      </c>
      <c r="D3908" s="4">
        <f t="shared" ca="1" si="432"/>
        <v>41</v>
      </c>
      <c r="E3908" s="2">
        <f t="shared" ca="1" si="433"/>
        <v>2688</v>
      </c>
      <c r="F3908" s="2">
        <f t="shared" ca="1" si="434"/>
        <v>24686</v>
      </c>
      <c r="G3908" s="2">
        <f t="shared" ca="1" si="435"/>
        <v>604</v>
      </c>
    </row>
    <row r="3909" spans="1:7" x14ac:dyDescent="0.3">
      <c r="A3909" s="5" t="str">
        <f t="shared" si="429"/>
        <v>New Balance</v>
      </c>
      <c r="B3909" s="5" t="str">
        <f t="shared" si="431"/>
        <v>2002R</v>
      </c>
      <c r="C3909" s="3">
        <f t="shared" si="430"/>
        <v>45918</v>
      </c>
      <c r="D3909" s="4">
        <f t="shared" ca="1" si="432"/>
        <v>85</v>
      </c>
      <c r="E3909" s="2">
        <f t="shared" ca="1" si="433"/>
        <v>5321</v>
      </c>
      <c r="F3909" s="2">
        <f t="shared" ca="1" si="434"/>
        <v>18097</v>
      </c>
      <c r="G3909" s="2">
        <f t="shared" ca="1" si="435"/>
        <v>1128</v>
      </c>
    </row>
    <row r="3910" spans="1:7" x14ac:dyDescent="0.3">
      <c r="A3910" s="5" t="str">
        <f t="shared" si="429"/>
        <v>Reebok</v>
      </c>
      <c r="B3910" s="5" t="str">
        <f t="shared" si="431"/>
        <v>Instapump Fury</v>
      </c>
      <c r="C3910" s="3">
        <f t="shared" si="430"/>
        <v>45918</v>
      </c>
      <c r="D3910" s="4">
        <f t="shared" ca="1" si="432"/>
        <v>210</v>
      </c>
      <c r="E3910" s="2">
        <f t="shared" ca="1" si="433"/>
        <v>1391</v>
      </c>
      <c r="F3910" s="2">
        <f t="shared" ca="1" si="434"/>
        <v>22450</v>
      </c>
      <c r="G3910" s="2">
        <f t="shared" ca="1" si="435"/>
        <v>1254</v>
      </c>
    </row>
    <row r="3911" spans="1:7" x14ac:dyDescent="0.3">
      <c r="A3911" s="5" t="str">
        <f t="shared" si="429"/>
        <v>Nike</v>
      </c>
      <c r="B3911" s="5" t="str">
        <f t="shared" si="431"/>
        <v>Cortez</v>
      </c>
      <c r="C3911" s="3">
        <f t="shared" si="430"/>
        <v>45918</v>
      </c>
      <c r="D3911" s="4">
        <f t="shared" ca="1" si="432"/>
        <v>97</v>
      </c>
      <c r="E3911" s="2">
        <f t="shared" ca="1" si="433"/>
        <v>10277</v>
      </c>
      <c r="F3911" s="2">
        <f t="shared" ca="1" si="434"/>
        <v>27589</v>
      </c>
      <c r="G3911" s="2">
        <f t="shared" ca="1" si="435"/>
        <v>1849</v>
      </c>
    </row>
    <row r="3912" spans="1:7" x14ac:dyDescent="0.3">
      <c r="A3912" s="5" t="str">
        <f t="shared" si="429"/>
        <v>Adidas</v>
      </c>
      <c r="B3912" s="5" t="str">
        <f t="shared" si="431"/>
        <v>NMD S1</v>
      </c>
      <c r="C3912" s="3">
        <f t="shared" si="430"/>
        <v>45918</v>
      </c>
      <c r="D3912" s="4">
        <f t="shared" ca="1" si="432"/>
        <v>135</v>
      </c>
      <c r="E3912" s="2">
        <f t="shared" ca="1" si="433"/>
        <v>11701</v>
      </c>
      <c r="F3912" s="2">
        <f t="shared" ca="1" si="434"/>
        <v>28578</v>
      </c>
      <c r="G3912" s="2">
        <f t="shared" ca="1" si="435"/>
        <v>989</v>
      </c>
    </row>
    <row r="3913" spans="1:7" x14ac:dyDescent="0.3">
      <c r="A3913" s="5" t="str">
        <f t="shared" si="429"/>
        <v>Puma</v>
      </c>
      <c r="B3913" s="5" t="str">
        <f t="shared" si="431"/>
        <v>Suede Classic</v>
      </c>
      <c r="C3913" s="3">
        <f t="shared" si="430"/>
        <v>45918</v>
      </c>
      <c r="D3913" s="4">
        <f t="shared" ca="1" si="432"/>
        <v>225</v>
      </c>
      <c r="E3913" s="2">
        <f t="shared" ca="1" si="433"/>
        <v>3278</v>
      </c>
      <c r="F3913" s="2">
        <f t="shared" ca="1" si="434"/>
        <v>34068</v>
      </c>
      <c r="G3913" s="2">
        <f t="shared" ca="1" si="435"/>
        <v>1262</v>
      </c>
    </row>
    <row r="3914" spans="1:7" x14ac:dyDescent="0.3">
      <c r="A3914" s="5" t="str">
        <f t="shared" si="429"/>
        <v>New Balance</v>
      </c>
      <c r="B3914" s="5" t="str">
        <f t="shared" si="431"/>
        <v>990v6</v>
      </c>
      <c r="C3914" s="3">
        <f t="shared" si="430"/>
        <v>45918</v>
      </c>
      <c r="D3914" s="4">
        <f t="shared" ca="1" si="432"/>
        <v>247</v>
      </c>
      <c r="E3914" s="2">
        <f t="shared" ca="1" si="433"/>
        <v>6792</v>
      </c>
      <c r="F3914" s="2">
        <f t="shared" ca="1" si="434"/>
        <v>30425</v>
      </c>
      <c r="G3914" s="2">
        <f t="shared" ca="1" si="435"/>
        <v>1974</v>
      </c>
    </row>
    <row r="3915" spans="1:7" x14ac:dyDescent="0.3">
      <c r="A3915" s="5" t="str">
        <f t="shared" si="429"/>
        <v>Reebok</v>
      </c>
      <c r="B3915" s="5" t="str">
        <f t="shared" si="431"/>
        <v>Nano X3</v>
      </c>
      <c r="C3915" s="3">
        <f t="shared" si="430"/>
        <v>45918</v>
      </c>
      <c r="D3915" s="4">
        <f t="shared" ca="1" si="432"/>
        <v>179</v>
      </c>
      <c r="E3915" s="2">
        <f t="shared" ca="1" si="433"/>
        <v>4313</v>
      </c>
      <c r="F3915" s="2">
        <f t="shared" ca="1" si="434"/>
        <v>9564</v>
      </c>
      <c r="G3915" s="2">
        <f t="shared" ca="1" si="435"/>
        <v>505</v>
      </c>
    </row>
    <row r="3916" spans="1:7" x14ac:dyDescent="0.3">
      <c r="A3916" s="5" t="str">
        <f t="shared" si="429"/>
        <v>Nike</v>
      </c>
      <c r="B3916" s="5" t="str">
        <f t="shared" si="431"/>
        <v>Vaporfly 3</v>
      </c>
      <c r="C3916" s="3">
        <f t="shared" si="430"/>
        <v>45918</v>
      </c>
      <c r="D3916" s="4">
        <f t="shared" ca="1" si="432"/>
        <v>54</v>
      </c>
      <c r="E3916" s="2">
        <f t="shared" ca="1" si="433"/>
        <v>7069</v>
      </c>
      <c r="F3916" s="2">
        <f t="shared" ca="1" si="434"/>
        <v>20985</v>
      </c>
      <c r="G3916" s="2">
        <f t="shared" ca="1" si="435"/>
        <v>1096</v>
      </c>
    </row>
    <row r="3917" spans="1:7" x14ac:dyDescent="0.3">
      <c r="A3917" s="5" t="str">
        <f t="shared" si="429"/>
        <v>Adidas</v>
      </c>
      <c r="B3917" s="5" t="str">
        <f t="shared" si="431"/>
        <v>Samba</v>
      </c>
      <c r="C3917" s="3">
        <f t="shared" si="430"/>
        <v>45919</v>
      </c>
      <c r="D3917" s="4">
        <f t="shared" ca="1" si="432"/>
        <v>119</v>
      </c>
      <c r="E3917" s="2">
        <f t="shared" ca="1" si="433"/>
        <v>8381</v>
      </c>
      <c r="F3917" s="2">
        <f t="shared" ca="1" si="434"/>
        <v>6041</v>
      </c>
      <c r="G3917" s="2">
        <f t="shared" ca="1" si="435"/>
        <v>437</v>
      </c>
    </row>
    <row r="3918" spans="1:7" x14ac:dyDescent="0.3">
      <c r="A3918" s="5" t="str">
        <f t="shared" si="429"/>
        <v>Puma</v>
      </c>
      <c r="B3918" s="5" t="str">
        <f t="shared" si="431"/>
        <v>Mayze</v>
      </c>
      <c r="C3918" s="3">
        <f t="shared" si="430"/>
        <v>45919</v>
      </c>
      <c r="D3918" s="4">
        <f t="shared" ca="1" si="432"/>
        <v>215</v>
      </c>
      <c r="E3918" s="2">
        <f t="shared" ca="1" si="433"/>
        <v>3617</v>
      </c>
      <c r="F3918" s="2">
        <f t="shared" ca="1" si="434"/>
        <v>10180</v>
      </c>
      <c r="G3918" s="2">
        <f t="shared" ca="1" si="435"/>
        <v>433</v>
      </c>
    </row>
    <row r="3919" spans="1:7" x14ac:dyDescent="0.3">
      <c r="A3919" s="5" t="str">
        <f t="shared" si="429"/>
        <v>New Balance</v>
      </c>
      <c r="B3919" s="5" t="str">
        <f t="shared" si="431"/>
        <v>574 Core</v>
      </c>
      <c r="C3919" s="3">
        <f t="shared" si="430"/>
        <v>45919</v>
      </c>
      <c r="D3919" s="4">
        <f t="shared" ca="1" si="432"/>
        <v>249</v>
      </c>
      <c r="E3919" s="2">
        <f t="shared" ca="1" si="433"/>
        <v>3899</v>
      </c>
      <c r="F3919" s="2">
        <f t="shared" ca="1" si="434"/>
        <v>13114</v>
      </c>
      <c r="G3919" s="2">
        <f t="shared" ca="1" si="435"/>
        <v>783</v>
      </c>
    </row>
    <row r="3920" spans="1:7" x14ac:dyDescent="0.3">
      <c r="A3920" s="5" t="str">
        <f t="shared" si="429"/>
        <v>Reebok</v>
      </c>
      <c r="B3920" s="5" t="str">
        <f t="shared" si="431"/>
        <v>Club C 85</v>
      </c>
      <c r="C3920" s="3">
        <f t="shared" si="430"/>
        <v>45919</v>
      </c>
      <c r="D3920" s="4">
        <f t="shared" ca="1" si="432"/>
        <v>37</v>
      </c>
      <c r="E3920" s="2">
        <f t="shared" ca="1" si="433"/>
        <v>3866</v>
      </c>
      <c r="F3920" s="2">
        <f t="shared" ca="1" si="434"/>
        <v>32049</v>
      </c>
      <c r="G3920" s="2">
        <f t="shared" ca="1" si="435"/>
        <v>2323</v>
      </c>
    </row>
    <row r="3921" spans="1:7" x14ac:dyDescent="0.3">
      <c r="A3921" s="5" t="str">
        <f t="shared" si="429"/>
        <v>Nike</v>
      </c>
      <c r="B3921" s="5" t="str">
        <f t="shared" si="431"/>
        <v>Pegasus 40</v>
      </c>
      <c r="C3921" s="3">
        <f t="shared" si="430"/>
        <v>45919</v>
      </c>
      <c r="D3921" s="4">
        <f t="shared" ca="1" si="432"/>
        <v>65</v>
      </c>
      <c r="E3921" s="2">
        <f t="shared" ca="1" si="433"/>
        <v>3175</v>
      </c>
      <c r="F3921" s="2">
        <f t="shared" ca="1" si="434"/>
        <v>32909</v>
      </c>
      <c r="G3921" s="2">
        <f t="shared" ca="1" si="435"/>
        <v>1321</v>
      </c>
    </row>
    <row r="3922" spans="1:7" x14ac:dyDescent="0.3">
      <c r="A3922" s="5" t="str">
        <f t="shared" si="429"/>
        <v>Adidas</v>
      </c>
      <c r="B3922" s="5" t="str">
        <f t="shared" si="431"/>
        <v>Gazelle</v>
      </c>
      <c r="C3922" s="3">
        <f t="shared" si="430"/>
        <v>45919</v>
      </c>
      <c r="D3922" s="4">
        <f t="shared" ca="1" si="432"/>
        <v>206</v>
      </c>
      <c r="E3922" s="2">
        <f t="shared" ca="1" si="433"/>
        <v>6305</v>
      </c>
      <c r="F3922" s="2">
        <f t="shared" ca="1" si="434"/>
        <v>16649</v>
      </c>
      <c r="G3922" s="2">
        <f t="shared" ca="1" si="435"/>
        <v>480</v>
      </c>
    </row>
    <row r="3923" spans="1:7" x14ac:dyDescent="0.3">
      <c r="A3923" s="5" t="str">
        <f t="shared" si="429"/>
        <v>Puma</v>
      </c>
      <c r="B3923" s="5" t="str">
        <f t="shared" si="431"/>
        <v>Slipstream</v>
      </c>
      <c r="C3923" s="3">
        <f t="shared" si="430"/>
        <v>45919</v>
      </c>
      <c r="D3923" s="4">
        <f t="shared" ca="1" si="432"/>
        <v>101</v>
      </c>
      <c r="E3923" s="2">
        <f t="shared" ca="1" si="433"/>
        <v>11594</v>
      </c>
      <c r="F3923" s="2">
        <f t="shared" ca="1" si="434"/>
        <v>14661</v>
      </c>
      <c r="G3923" s="2">
        <f t="shared" ca="1" si="435"/>
        <v>745</v>
      </c>
    </row>
    <row r="3924" spans="1:7" x14ac:dyDescent="0.3">
      <c r="A3924" s="5" t="str">
        <f t="shared" si="429"/>
        <v>New Balance</v>
      </c>
      <c r="B3924" s="5" t="str">
        <f t="shared" si="431"/>
        <v>550</v>
      </c>
      <c r="C3924" s="3">
        <f t="shared" si="430"/>
        <v>45919</v>
      </c>
      <c r="D3924" s="4">
        <f t="shared" ca="1" si="432"/>
        <v>169</v>
      </c>
      <c r="E3924" s="2">
        <f t="shared" ca="1" si="433"/>
        <v>3487</v>
      </c>
      <c r="F3924" s="2">
        <f t="shared" ca="1" si="434"/>
        <v>17062</v>
      </c>
      <c r="G3924" s="2">
        <f t="shared" ca="1" si="435"/>
        <v>1019</v>
      </c>
    </row>
    <row r="3925" spans="1:7" x14ac:dyDescent="0.3">
      <c r="A3925" s="5" t="str">
        <f t="shared" si="429"/>
        <v>Reebok</v>
      </c>
      <c r="B3925" s="5" t="str">
        <f t="shared" si="431"/>
        <v>Classic Leather</v>
      </c>
      <c r="C3925" s="3">
        <f t="shared" si="430"/>
        <v>45919</v>
      </c>
      <c r="D3925" s="4">
        <f t="shared" ca="1" si="432"/>
        <v>107</v>
      </c>
      <c r="E3925" s="2">
        <f t="shared" ca="1" si="433"/>
        <v>8902</v>
      </c>
      <c r="F3925" s="2">
        <f t="shared" ca="1" si="434"/>
        <v>6537</v>
      </c>
      <c r="G3925" s="2">
        <f t="shared" ca="1" si="435"/>
        <v>511</v>
      </c>
    </row>
    <row r="3926" spans="1:7" x14ac:dyDescent="0.3">
      <c r="A3926" s="5" t="str">
        <f t="shared" si="429"/>
        <v>Nike</v>
      </c>
      <c r="B3926" s="5" t="str">
        <f t="shared" si="431"/>
        <v>Air Force 1</v>
      </c>
      <c r="C3926" s="3">
        <f t="shared" si="430"/>
        <v>45919</v>
      </c>
      <c r="D3926" s="4">
        <f t="shared" ca="1" si="432"/>
        <v>29</v>
      </c>
      <c r="E3926" s="2">
        <f t="shared" ca="1" si="433"/>
        <v>12188</v>
      </c>
      <c r="F3926" s="2">
        <f t="shared" ca="1" si="434"/>
        <v>7055</v>
      </c>
      <c r="G3926" s="2">
        <f t="shared" ca="1" si="435"/>
        <v>206</v>
      </c>
    </row>
    <row r="3927" spans="1:7" x14ac:dyDescent="0.3">
      <c r="A3927" s="5" t="str">
        <f t="shared" si="429"/>
        <v>Adidas</v>
      </c>
      <c r="B3927" s="5" t="str">
        <f t="shared" si="431"/>
        <v>Superstar</v>
      </c>
      <c r="C3927" s="3">
        <f t="shared" si="430"/>
        <v>45919</v>
      </c>
      <c r="D3927" s="4">
        <f t="shared" ca="1" si="432"/>
        <v>246</v>
      </c>
      <c r="E3927" s="2">
        <f t="shared" ca="1" si="433"/>
        <v>4269</v>
      </c>
      <c r="F3927" s="2">
        <f t="shared" ca="1" si="434"/>
        <v>20191</v>
      </c>
      <c r="G3927" s="2">
        <f t="shared" ca="1" si="435"/>
        <v>667</v>
      </c>
    </row>
    <row r="3928" spans="1:7" x14ac:dyDescent="0.3">
      <c r="A3928" s="5" t="str">
        <f t="shared" si="429"/>
        <v>Puma</v>
      </c>
      <c r="B3928" s="5" t="str">
        <f t="shared" si="431"/>
        <v>Rider Vintage</v>
      </c>
      <c r="C3928" s="3">
        <f t="shared" si="430"/>
        <v>45919</v>
      </c>
      <c r="D3928" s="4">
        <f t="shared" ca="1" si="432"/>
        <v>54</v>
      </c>
      <c r="E3928" s="2">
        <f t="shared" ca="1" si="433"/>
        <v>5942</v>
      </c>
      <c r="F3928" s="2">
        <f t="shared" ca="1" si="434"/>
        <v>15134</v>
      </c>
      <c r="G3928" s="2">
        <f t="shared" ca="1" si="435"/>
        <v>324</v>
      </c>
    </row>
    <row r="3929" spans="1:7" x14ac:dyDescent="0.3">
      <c r="A3929" s="5" t="str">
        <f t="shared" si="429"/>
        <v>New Balance</v>
      </c>
      <c r="B3929" s="5" t="str">
        <f t="shared" si="431"/>
        <v>327</v>
      </c>
      <c r="C3929" s="3">
        <f t="shared" si="430"/>
        <v>45919</v>
      </c>
      <c r="D3929" s="4">
        <f t="shared" ca="1" si="432"/>
        <v>135</v>
      </c>
      <c r="E3929" s="2">
        <f t="shared" ca="1" si="433"/>
        <v>2548</v>
      </c>
      <c r="F3929" s="2">
        <f t="shared" ca="1" si="434"/>
        <v>31869</v>
      </c>
      <c r="G3929" s="2">
        <f t="shared" ca="1" si="435"/>
        <v>1369</v>
      </c>
    </row>
    <row r="3930" spans="1:7" x14ac:dyDescent="0.3">
      <c r="A3930" s="5" t="str">
        <f t="shared" si="429"/>
        <v>Reebok</v>
      </c>
      <c r="B3930" s="5" t="str">
        <f t="shared" si="431"/>
        <v>Question Mid</v>
      </c>
      <c r="C3930" s="3">
        <f t="shared" si="430"/>
        <v>45919</v>
      </c>
      <c r="D3930" s="4">
        <f t="shared" ca="1" si="432"/>
        <v>250</v>
      </c>
      <c r="E3930" s="2">
        <f t="shared" ca="1" si="433"/>
        <v>2974</v>
      </c>
      <c r="F3930" s="2">
        <f t="shared" ca="1" si="434"/>
        <v>22230</v>
      </c>
      <c r="G3930" s="2">
        <f t="shared" ca="1" si="435"/>
        <v>830</v>
      </c>
    </row>
    <row r="3931" spans="1:7" x14ac:dyDescent="0.3">
      <c r="A3931" s="5" t="str">
        <f t="shared" si="429"/>
        <v>Nike</v>
      </c>
      <c r="B3931" s="5" t="str">
        <f t="shared" si="431"/>
        <v>Air Max 270</v>
      </c>
      <c r="C3931" s="3">
        <f t="shared" si="430"/>
        <v>45919</v>
      </c>
      <c r="D3931" s="4">
        <f t="shared" ca="1" si="432"/>
        <v>80</v>
      </c>
      <c r="E3931" s="2">
        <f t="shared" ca="1" si="433"/>
        <v>10826</v>
      </c>
      <c r="F3931" s="2">
        <f t="shared" ca="1" si="434"/>
        <v>18724</v>
      </c>
      <c r="G3931" s="2">
        <f t="shared" ca="1" si="435"/>
        <v>1031</v>
      </c>
    </row>
    <row r="3932" spans="1:7" x14ac:dyDescent="0.3">
      <c r="A3932" s="5" t="str">
        <f t="shared" si="429"/>
        <v>Adidas</v>
      </c>
      <c r="B3932" s="5" t="str">
        <f t="shared" si="431"/>
        <v>Stan Smith</v>
      </c>
      <c r="C3932" s="3">
        <f t="shared" si="430"/>
        <v>45920</v>
      </c>
      <c r="D3932" s="4">
        <f t="shared" ca="1" si="432"/>
        <v>74</v>
      </c>
      <c r="E3932" s="2">
        <f t="shared" ca="1" si="433"/>
        <v>3852</v>
      </c>
      <c r="F3932" s="2">
        <f t="shared" ca="1" si="434"/>
        <v>32459</v>
      </c>
      <c r="G3932" s="2">
        <f t="shared" ca="1" si="435"/>
        <v>1269</v>
      </c>
    </row>
    <row r="3933" spans="1:7" x14ac:dyDescent="0.3">
      <c r="A3933" s="5" t="str">
        <f t="shared" si="429"/>
        <v>Puma</v>
      </c>
      <c r="B3933" s="5" t="str">
        <f t="shared" si="431"/>
        <v>Cali Dream</v>
      </c>
      <c r="C3933" s="3">
        <f t="shared" si="430"/>
        <v>45920</v>
      </c>
      <c r="D3933" s="4">
        <f t="shared" ca="1" si="432"/>
        <v>180</v>
      </c>
      <c r="E3933" s="2">
        <f t="shared" ca="1" si="433"/>
        <v>9752</v>
      </c>
      <c r="F3933" s="2">
        <f t="shared" ca="1" si="434"/>
        <v>6662</v>
      </c>
      <c r="G3933" s="2">
        <f t="shared" ca="1" si="435"/>
        <v>423</v>
      </c>
    </row>
    <row r="3934" spans="1:7" x14ac:dyDescent="0.3">
      <c r="A3934" s="5" t="str">
        <f t="shared" si="429"/>
        <v>New Balance</v>
      </c>
      <c r="B3934" s="5" t="str">
        <f t="shared" si="431"/>
        <v>9060</v>
      </c>
      <c r="C3934" s="3">
        <f t="shared" si="430"/>
        <v>45920</v>
      </c>
      <c r="D3934" s="4">
        <f t="shared" ca="1" si="432"/>
        <v>187</v>
      </c>
      <c r="E3934" s="2">
        <f t="shared" ca="1" si="433"/>
        <v>2417</v>
      </c>
      <c r="F3934" s="2">
        <f t="shared" ca="1" si="434"/>
        <v>30355</v>
      </c>
      <c r="G3934" s="2">
        <f t="shared" ca="1" si="435"/>
        <v>1922</v>
      </c>
    </row>
    <row r="3935" spans="1:7" x14ac:dyDescent="0.3">
      <c r="A3935" s="5" t="str">
        <f t="shared" si="429"/>
        <v>Reebok</v>
      </c>
      <c r="B3935" s="5" t="str">
        <f t="shared" si="431"/>
        <v>Zig Kinetica</v>
      </c>
      <c r="C3935" s="3">
        <f t="shared" si="430"/>
        <v>45920</v>
      </c>
      <c r="D3935" s="4">
        <f t="shared" ca="1" si="432"/>
        <v>206</v>
      </c>
      <c r="E3935" s="2">
        <f t="shared" ca="1" si="433"/>
        <v>8772</v>
      </c>
      <c r="F3935" s="2">
        <f t="shared" ca="1" si="434"/>
        <v>11313</v>
      </c>
      <c r="G3935" s="2">
        <f t="shared" ca="1" si="435"/>
        <v>640</v>
      </c>
    </row>
    <row r="3936" spans="1:7" x14ac:dyDescent="0.3">
      <c r="A3936" s="5" t="str">
        <f t="shared" si="429"/>
        <v>Nike</v>
      </c>
      <c r="B3936" s="5" t="str">
        <f t="shared" si="431"/>
        <v>Jordan 1</v>
      </c>
      <c r="C3936" s="3">
        <f t="shared" si="430"/>
        <v>45920</v>
      </c>
      <c r="D3936" s="4">
        <f t="shared" ca="1" si="432"/>
        <v>203</v>
      </c>
      <c r="E3936" s="2">
        <f t="shared" ca="1" si="433"/>
        <v>2531</v>
      </c>
      <c r="F3936" s="2">
        <f t="shared" ca="1" si="434"/>
        <v>11018</v>
      </c>
      <c r="G3936" s="2">
        <f t="shared" ca="1" si="435"/>
        <v>799</v>
      </c>
    </row>
    <row r="3937" spans="1:7" x14ac:dyDescent="0.3">
      <c r="A3937" s="5" t="str">
        <f t="shared" si="429"/>
        <v>Adidas</v>
      </c>
      <c r="B3937" s="5" t="str">
        <f t="shared" si="431"/>
        <v>Ultraboost 23</v>
      </c>
      <c r="C3937" s="3">
        <f t="shared" si="430"/>
        <v>45920</v>
      </c>
      <c r="D3937" s="4">
        <f t="shared" ca="1" si="432"/>
        <v>52</v>
      </c>
      <c r="E3937" s="2">
        <f t="shared" ca="1" si="433"/>
        <v>4067</v>
      </c>
      <c r="F3937" s="2">
        <f t="shared" ca="1" si="434"/>
        <v>13230</v>
      </c>
      <c r="G3937" s="2">
        <f t="shared" ca="1" si="435"/>
        <v>561</v>
      </c>
    </row>
    <row r="3938" spans="1:7" x14ac:dyDescent="0.3">
      <c r="A3938" s="5" t="str">
        <f t="shared" si="429"/>
        <v>Puma</v>
      </c>
      <c r="B3938" s="5" t="str">
        <f t="shared" si="431"/>
        <v>RS-X</v>
      </c>
      <c r="C3938" s="3">
        <f t="shared" si="430"/>
        <v>45920</v>
      </c>
      <c r="D3938" s="4">
        <f t="shared" ca="1" si="432"/>
        <v>235</v>
      </c>
      <c r="E3938" s="2">
        <f t="shared" ca="1" si="433"/>
        <v>9983</v>
      </c>
      <c r="F3938" s="2">
        <f t="shared" ca="1" si="434"/>
        <v>34244</v>
      </c>
      <c r="G3938" s="2">
        <f t="shared" ca="1" si="435"/>
        <v>2388</v>
      </c>
    </row>
    <row r="3939" spans="1:7" x14ac:dyDescent="0.3">
      <c r="A3939" s="5" t="str">
        <f t="shared" si="429"/>
        <v>New Balance</v>
      </c>
      <c r="B3939" s="5" t="str">
        <f t="shared" si="431"/>
        <v>2002R</v>
      </c>
      <c r="C3939" s="3">
        <f t="shared" si="430"/>
        <v>45920</v>
      </c>
      <c r="D3939" s="4">
        <f t="shared" ca="1" si="432"/>
        <v>177</v>
      </c>
      <c r="E3939" s="2">
        <f t="shared" ca="1" si="433"/>
        <v>9620</v>
      </c>
      <c r="F3939" s="2">
        <f t="shared" ca="1" si="434"/>
        <v>23040</v>
      </c>
      <c r="G3939" s="2">
        <f t="shared" ca="1" si="435"/>
        <v>920</v>
      </c>
    </row>
    <row r="3940" spans="1:7" x14ac:dyDescent="0.3">
      <c r="A3940" s="5" t="str">
        <f t="shared" si="429"/>
        <v>Reebok</v>
      </c>
      <c r="B3940" s="5" t="str">
        <f t="shared" si="431"/>
        <v>Instapump Fury</v>
      </c>
      <c r="C3940" s="3">
        <f t="shared" si="430"/>
        <v>45920</v>
      </c>
      <c r="D3940" s="4">
        <f t="shared" ca="1" si="432"/>
        <v>242</v>
      </c>
      <c r="E3940" s="2">
        <f t="shared" ca="1" si="433"/>
        <v>9459</v>
      </c>
      <c r="F3940" s="2">
        <f t="shared" ca="1" si="434"/>
        <v>25964</v>
      </c>
      <c r="G3940" s="2">
        <f t="shared" ca="1" si="435"/>
        <v>1731</v>
      </c>
    </row>
    <row r="3941" spans="1:7" x14ac:dyDescent="0.3">
      <c r="A3941" s="5" t="str">
        <f t="shared" si="429"/>
        <v>Nike</v>
      </c>
      <c r="B3941" s="5" t="str">
        <f t="shared" si="431"/>
        <v>Cortez</v>
      </c>
      <c r="C3941" s="3">
        <f t="shared" si="430"/>
        <v>45920</v>
      </c>
      <c r="D3941" s="4">
        <f t="shared" ca="1" si="432"/>
        <v>42</v>
      </c>
      <c r="E3941" s="2">
        <f t="shared" ca="1" si="433"/>
        <v>10804</v>
      </c>
      <c r="F3941" s="2">
        <f t="shared" ca="1" si="434"/>
        <v>19042</v>
      </c>
      <c r="G3941" s="2">
        <f t="shared" ca="1" si="435"/>
        <v>1066</v>
      </c>
    </row>
    <row r="3942" spans="1:7" x14ac:dyDescent="0.3">
      <c r="A3942" s="5" t="str">
        <f t="shared" si="429"/>
        <v>Adidas</v>
      </c>
      <c r="B3942" s="5" t="str">
        <f t="shared" si="431"/>
        <v>NMD S1</v>
      </c>
      <c r="C3942" s="3">
        <f t="shared" si="430"/>
        <v>45920</v>
      </c>
      <c r="D3942" s="4">
        <f t="shared" ca="1" si="432"/>
        <v>59</v>
      </c>
      <c r="E3942" s="2">
        <f t="shared" ca="1" si="433"/>
        <v>6946</v>
      </c>
      <c r="F3942" s="2">
        <f t="shared" ca="1" si="434"/>
        <v>32598</v>
      </c>
      <c r="G3942" s="2">
        <f t="shared" ca="1" si="435"/>
        <v>897</v>
      </c>
    </row>
    <row r="3943" spans="1:7" x14ac:dyDescent="0.3">
      <c r="A3943" s="5" t="str">
        <f t="shared" si="429"/>
        <v>Puma</v>
      </c>
      <c r="B3943" s="5" t="str">
        <f t="shared" si="431"/>
        <v>Suede Classic</v>
      </c>
      <c r="C3943" s="3">
        <f t="shared" si="430"/>
        <v>45920</v>
      </c>
      <c r="D3943" s="4">
        <f t="shared" ca="1" si="432"/>
        <v>57</v>
      </c>
      <c r="E3943" s="2">
        <f t="shared" ca="1" si="433"/>
        <v>7453</v>
      </c>
      <c r="F3943" s="2">
        <f t="shared" ca="1" si="434"/>
        <v>14327</v>
      </c>
      <c r="G3943" s="2">
        <f t="shared" ca="1" si="435"/>
        <v>821</v>
      </c>
    </row>
    <row r="3944" spans="1:7" x14ac:dyDescent="0.3">
      <c r="A3944" s="5" t="str">
        <f t="shared" si="429"/>
        <v>New Balance</v>
      </c>
      <c r="B3944" s="5" t="str">
        <f t="shared" si="431"/>
        <v>990v6</v>
      </c>
      <c r="C3944" s="3">
        <f t="shared" si="430"/>
        <v>45920</v>
      </c>
      <c r="D3944" s="4">
        <f t="shared" ca="1" si="432"/>
        <v>32</v>
      </c>
      <c r="E3944" s="2">
        <f t="shared" ca="1" si="433"/>
        <v>5920</v>
      </c>
      <c r="F3944" s="2">
        <f t="shared" ca="1" si="434"/>
        <v>19361</v>
      </c>
      <c r="G3944" s="2">
        <f t="shared" ca="1" si="435"/>
        <v>552</v>
      </c>
    </row>
    <row r="3945" spans="1:7" x14ac:dyDescent="0.3">
      <c r="A3945" s="5" t="str">
        <f t="shared" si="429"/>
        <v>Reebok</v>
      </c>
      <c r="B3945" s="5" t="str">
        <f t="shared" si="431"/>
        <v>Nano X3</v>
      </c>
      <c r="C3945" s="3">
        <f t="shared" si="430"/>
        <v>45920</v>
      </c>
      <c r="D3945" s="4">
        <f t="shared" ca="1" si="432"/>
        <v>37</v>
      </c>
      <c r="E3945" s="2">
        <f t="shared" ca="1" si="433"/>
        <v>7605</v>
      </c>
      <c r="F3945" s="2">
        <f t="shared" ca="1" si="434"/>
        <v>30978</v>
      </c>
      <c r="G3945" s="2">
        <f t="shared" ca="1" si="435"/>
        <v>823</v>
      </c>
    </row>
    <row r="3946" spans="1:7" x14ac:dyDescent="0.3">
      <c r="A3946" s="5" t="str">
        <f t="shared" si="429"/>
        <v>Nike</v>
      </c>
      <c r="B3946" s="5" t="str">
        <f t="shared" si="431"/>
        <v>Vaporfly 3</v>
      </c>
      <c r="C3946" s="3">
        <f t="shared" si="430"/>
        <v>45920</v>
      </c>
      <c r="D3946" s="4">
        <f t="shared" ca="1" si="432"/>
        <v>21</v>
      </c>
      <c r="E3946" s="2">
        <f t="shared" ca="1" si="433"/>
        <v>3195</v>
      </c>
      <c r="F3946" s="2">
        <f t="shared" ca="1" si="434"/>
        <v>29194</v>
      </c>
      <c r="G3946" s="2">
        <f t="shared" ca="1" si="435"/>
        <v>1411</v>
      </c>
    </row>
    <row r="3947" spans="1:7" x14ac:dyDescent="0.3">
      <c r="A3947" s="5" t="str">
        <f t="shared" ref="A3947:A4010" si="436">CHOOSE(MOD(ROW(A3946),5)+1,"Nike","Adidas","Puma","New Balance","Reebok")</f>
        <v>Adidas</v>
      </c>
      <c r="B3947" s="5" t="str">
        <f t="shared" si="431"/>
        <v>Samba</v>
      </c>
      <c r="C3947" s="3">
        <f t="shared" ref="C3947:C4010" si="437">DATE(2025,1,1)+INT((ROW(A3947)-2)/15)</f>
        <v>45921</v>
      </c>
      <c r="D3947" s="4">
        <f t="shared" ca="1" si="432"/>
        <v>192</v>
      </c>
      <c r="E3947" s="2">
        <f t="shared" ca="1" si="433"/>
        <v>11959</v>
      </c>
      <c r="F3947" s="2">
        <f t="shared" ca="1" si="434"/>
        <v>33471</v>
      </c>
      <c r="G3947" s="2">
        <f t="shared" ca="1" si="435"/>
        <v>2250</v>
      </c>
    </row>
    <row r="3948" spans="1:7" x14ac:dyDescent="0.3">
      <c r="A3948" s="5" t="str">
        <f t="shared" si="436"/>
        <v>Puma</v>
      </c>
      <c r="B3948" s="5" t="str">
        <f t="shared" si="431"/>
        <v>Mayze</v>
      </c>
      <c r="C3948" s="3">
        <f t="shared" si="437"/>
        <v>45921</v>
      </c>
      <c r="D3948" s="4">
        <f t="shared" ca="1" si="432"/>
        <v>148</v>
      </c>
      <c r="E3948" s="2">
        <f t="shared" ca="1" si="433"/>
        <v>3549</v>
      </c>
      <c r="F3948" s="2">
        <f t="shared" ca="1" si="434"/>
        <v>5382</v>
      </c>
      <c r="G3948" s="2">
        <f t="shared" ca="1" si="435"/>
        <v>428</v>
      </c>
    </row>
    <row r="3949" spans="1:7" x14ac:dyDescent="0.3">
      <c r="A3949" s="5" t="str">
        <f t="shared" si="436"/>
        <v>New Balance</v>
      </c>
      <c r="B3949" s="5" t="str">
        <f t="shared" si="431"/>
        <v>574 Core</v>
      </c>
      <c r="C3949" s="3">
        <f t="shared" si="437"/>
        <v>45921</v>
      </c>
      <c r="D3949" s="4">
        <f t="shared" ca="1" si="432"/>
        <v>196</v>
      </c>
      <c r="E3949" s="2">
        <f t="shared" ca="1" si="433"/>
        <v>8634</v>
      </c>
      <c r="F3949" s="2">
        <f t="shared" ca="1" si="434"/>
        <v>28019</v>
      </c>
      <c r="G3949" s="2">
        <f t="shared" ca="1" si="435"/>
        <v>1054</v>
      </c>
    </row>
    <row r="3950" spans="1:7" x14ac:dyDescent="0.3">
      <c r="A3950" s="5" t="str">
        <f t="shared" si="436"/>
        <v>Reebok</v>
      </c>
      <c r="B3950" s="5" t="str">
        <f t="shared" si="431"/>
        <v>Club C 85</v>
      </c>
      <c r="C3950" s="3">
        <f t="shared" si="437"/>
        <v>45921</v>
      </c>
      <c r="D3950" s="4">
        <f t="shared" ca="1" si="432"/>
        <v>85</v>
      </c>
      <c r="E3950" s="2">
        <f t="shared" ca="1" si="433"/>
        <v>2081</v>
      </c>
      <c r="F3950" s="2">
        <f t="shared" ca="1" si="434"/>
        <v>17445</v>
      </c>
      <c r="G3950" s="2">
        <f t="shared" ca="1" si="435"/>
        <v>1080</v>
      </c>
    </row>
    <row r="3951" spans="1:7" x14ac:dyDescent="0.3">
      <c r="A3951" s="5" t="str">
        <f t="shared" si="436"/>
        <v>Nike</v>
      </c>
      <c r="B3951" s="5" t="str">
        <f t="shared" si="431"/>
        <v>Pegasus 40</v>
      </c>
      <c r="C3951" s="3">
        <f t="shared" si="437"/>
        <v>45921</v>
      </c>
      <c r="D3951" s="4">
        <f t="shared" ca="1" si="432"/>
        <v>103</v>
      </c>
      <c r="E3951" s="2">
        <f t="shared" ca="1" si="433"/>
        <v>3405</v>
      </c>
      <c r="F3951" s="2">
        <f t="shared" ca="1" si="434"/>
        <v>24771</v>
      </c>
      <c r="G3951" s="2">
        <f t="shared" ca="1" si="435"/>
        <v>755</v>
      </c>
    </row>
    <row r="3952" spans="1:7" x14ac:dyDescent="0.3">
      <c r="A3952" s="5" t="str">
        <f t="shared" si="436"/>
        <v>Adidas</v>
      </c>
      <c r="B3952" s="5" t="str">
        <f t="shared" si="431"/>
        <v>Gazelle</v>
      </c>
      <c r="C3952" s="3">
        <f t="shared" si="437"/>
        <v>45921</v>
      </c>
      <c r="D3952" s="4">
        <f t="shared" ca="1" si="432"/>
        <v>126</v>
      </c>
      <c r="E3952" s="2">
        <f t="shared" ca="1" si="433"/>
        <v>1600</v>
      </c>
      <c r="F3952" s="2">
        <f t="shared" ca="1" si="434"/>
        <v>32120</v>
      </c>
      <c r="G3952" s="2">
        <f t="shared" ca="1" si="435"/>
        <v>1645</v>
      </c>
    </row>
    <row r="3953" spans="1:7" x14ac:dyDescent="0.3">
      <c r="A3953" s="5" t="str">
        <f t="shared" si="436"/>
        <v>Puma</v>
      </c>
      <c r="B3953" s="5" t="str">
        <f t="shared" si="431"/>
        <v>Slipstream</v>
      </c>
      <c r="C3953" s="3">
        <f t="shared" si="437"/>
        <v>45921</v>
      </c>
      <c r="D3953" s="4">
        <f t="shared" ca="1" si="432"/>
        <v>59</v>
      </c>
      <c r="E3953" s="2">
        <f t="shared" ca="1" si="433"/>
        <v>3931</v>
      </c>
      <c r="F3953" s="2">
        <f t="shared" ca="1" si="434"/>
        <v>6244</v>
      </c>
      <c r="G3953" s="2">
        <f t="shared" ca="1" si="435"/>
        <v>464</v>
      </c>
    </row>
    <row r="3954" spans="1:7" x14ac:dyDescent="0.3">
      <c r="A3954" s="5" t="str">
        <f t="shared" si="436"/>
        <v>New Balance</v>
      </c>
      <c r="B3954" s="5" t="str">
        <f t="shared" si="431"/>
        <v>550</v>
      </c>
      <c r="C3954" s="3">
        <f t="shared" si="437"/>
        <v>45921</v>
      </c>
      <c r="D3954" s="4">
        <f t="shared" ca="1" si="432"/>
        <v>163</v>
      </c>
      <c r="E3954" s="2">
        <f t="shared" ca="1" si="433"/>
        <v>5175</v>
      </c>
      <c r="F3954" s="2">
        <f t="shared" ca="1" si="434"/>
        <v>32190</v>
      </c>
      <c r="G3954" s="2">
        <f t="shared" ca="1" si="435"/>
        <v>950</v>
      </c>
    </row>
    <row r="3955" spans="1:7" x14ac:dyDescent="0.3">
      <c r="A3955" s="5" t="str">
        <f t="shared" si="436"/>
        <v>Reebok</v>
      </c>
      <c r="B3955" s="5" t="str">
        <f t="shared" si="431"/>
        <v>Classic Leather</v>
      </c>
      <c r="C3955" s="3">
        <f t="shared" si="437"/>
        <v>45921</v>
      </c>
      <c r="D3955" s="4">
        <f t="shared" ca="1" si="432"/>
        <v>110</v>
      </c>
      <c r="E3955" s="2">
        <f t="shared" ca="1" si="433"/>
        <v>3888</v>
      </c>
      <c r="F3955" s="2">
        <f t="shared" ca="1" si="434"/>
        <v>9399</v>
      </c>
      <c r="G3955" s="2">
        <f t="shared" ca="1" si="435"/>
        <v>374</v>
      </c>
    </row>
    <row r="3956" spans="1:7" x14ac:dyDescent="0.3">
      <c r="A3956" s="5" t="str">
        <f t="shared" si="436"/>
        <v>Nike</v>
      </c>
      <c r="B3956" s="5" t="str">
        <f t="shared" si="431"/>
        <v>Air Force 1</v>
      </c>
      <c r="C3956" s="3">
        <f t="shared" si="437"/>
        <v>45921</v>
      </c>
      <c r="D3956" s="4">
        <f t="shared" ca="1" si="432"/>
        <v>121</v>
      </c>
      <c r="E3956" s="2">
        <f t="shared" ca="1" si="433"/>
        <v>8513</v>
      </c>
      <c r="F3956" s="2">
        <f t="shared" ca="1" si="434"/>
        <v>31051</v>
      </c>
      <c r="G3956" s="2">
        <f t="shared" ca="1" si="435"/>
        <v>2097</v>
      </c>
    </row>
    <row r="3957" spans="1:7" x14ac:dyDescent="0.3">
      <c r="A3957" s="5" t="str">
        <f t="shared" si="436"/>
        <v>Adidas</v>
      </c>
      <c r="B3957" s="5" t="str">
        <f t="shared" si="431"/>
        <v>Superstar</v>
      </c>
      <c r="C3957" s="3">
        <f t="shared" si="437"/>
        <v>45921</v>
      </c>
      <c r="D3957" s="4">
        <f t="shared" ca="1" si="432"/>
        <v>123</v>
      </c>
      <c r="E3957" s="2">
        <f t="shared" ca="1" si="433"/>
        <v>10011</v>
      </c>
      <c r="F3957" s="2">
        <f t="shared" ca="1" si="434"/>
        <v>10057</v>
      </c>
      <c r="G3957" s="2">
        <f t="shared" ca="1" si="435"/>
        <v>596</v>
      </c>
    </row>
    <row r="3958" spans="1:7" x14ac:dyDescent="0.3">
      <c r="A3958" s="5" t="str">
        <f t="shared" si="436"/>
        <v>Puma</v>
      </c>
      <c r="B3958" s="5" t="str">
        <f t="shared" si="431"/>
        <v>Rider Vintage</v>
      </c>
      <c r="C3958" s="3">
        <f t="shared" si="437"/>
        <v>45921</v>
      </c>
      <c r="D3958" s="4">
        <f t="shared" ca="1" si="432"/>
        <v>111</v>
      </c>
      <c r="E3958" s="2">
        <f t="shared" ca="1" si="433"/>
        <v>10447</v>
      </c>
      <c r="F3958" s="2">
        <f t="shared" ca="1" si="434"/>
        <v>5761</v>
      </c>
      <c r="G3958" s="2">
        <f t="shared" ca="1" si="435"/>
        <v>298</v>
      </c>
    </row>
    <row r="3959" spans="1:7" x14ac:dyDescent="0.3">
      <c r="A3959" s="5" t="str">
        <f t="shared" si="436"/>
        <v>New Balance</v>
      </c>
      <c r="B3959" s="5" t="str">
        <f t="shared" si="431"/>
        <v>327</v>
      </c>
      <c r="C3959" s="3">
        <f t="shared" si="437"/>
        <v>45921</v>
      </c>
      <c r="D3959" s="4">
        <f t="shared" ca="1" si="432"/>
        <v>29</v>
      </c>
      <c r="E3959" s="2">
        <f t="shared" ca="1" si="433"/>
        <v>4949</v>
      </c>
      <c r="F3959" s="2">
        <f t="shared" ca="1" si="434"/>
        <v>10129</v>
      </c>
      <c r="G3959" s="2">
        <f t="shared" ca="1" si="435"/>
        <v>243</v>
      </c>
    </row>
    <row r="3960" spans="1:7" x14ac:dyDescent="0.3">
      <c r="A3960" s="5" t="str">
        <f t="shared" si="436"/>
        <v>Reebok</v>
      </c>
      <c r="B3960" s="5" t="str">
        <f t="shared" si="431"/>
        <v>Question Mid</v>
      </c>
      <c r="C3960" s="3">
        <f t="shared" si="437"/>
        <v>45921</v>
      </c>
      <c r="D3960" s="4">
        <f t="shared" ca="1" si="432"/>
        <v>177</v>
      </c>
      <c r="E3960" s="2">
        <f t="shared" ca="1" si="433"/>
        <v>11722</v>
      </c>
      <c r="F3960" s="2">
        <f t="shared" ca="1" si="434"/>
        <v>15699</v>
      </c>
      <c r="G3960" s="2">
        <f t="shared" ca="1" si="435"/>
        <v>952</v>
      </c>
    </row>
    <row r="3961" spans="1:7" x14ac:dyDescent="0.3">
      <c r="A3961" s="5" t="str">
        <f t="shared" si="436"/>
        <v>Nike</v>
      </c>
      <c r="B3961" s="5" t="str">
        <f t="shared" si="431"/>
        <v>Air Max 270</v>
      </c>
      <c r="C3961" s="3">
        <f t="shared" si="437"/>
        <v>45921</v>
      </c>
      <c r="D3961" s="4">
        <f t="shared" ca="1" si="432"/>
        <v>62</v>
      </c>
      <c r="E3961" s="2">
        <f t="shared" ca="1" si="433"/>
        <v>8304</v>
      </c>
      <c r="F3961" s="2">
        <f t="shared" ca="1" si="434"/>
        <v>17126</v>
      </c>
      <c r="G3961" s="2">
        <f t="shared" ca="1" si="435"/>
        <v>352</v>
      </c>
    </row>
    <row r="3962" spans="1:7" x14ac:dyDescent="0.3">
      <c r="A3962" s="5" t="str">
        <f t="shared" si="436"/>
        <v>Adidas</v>
      </c>
      <c r="B3962" s="5" t="str">
        <f t="shared" si="431"/>
        <v>Stan Smith</v>
      </c>
      <c r="C3962" s="3">
        <f t="shared" si="437"/>
        <v>45922</v>
      </c>
      <c r="D3962" s="4">
        <f t="shared" ca="1" si="432"/>
        <v>202</v>
      </c>
      <c r="E3962" s="2">
        <f t="shared" ca="1" si="433"/>
        <v>11229</v>
      </c>
      <c r="F3962" s="2">
        <f t="shared" ca="1" si="434"/>
        <v>23140</v>
      </c>
      <c r="G3962" s="2">
        <f t="shared" ca="1" si="435"/>
        <v>1689</v>
      </c>
    </row>
    <row r="3963" spans="1:7" x14ac:dyDescent="0.3">
      <c r="A3963" s="5" t="str">
        <f t="shared" si="436"/>
        <v>Puma</v>
      </c>
      <c r="B3963" s="5" t="str">
        <f t="shared" si="431"/>
        <v>Cali Dream</v>
      </c>
      <c r="C3963" s="3">
        <f t="shared" si="437"/>
        <v>45922</v>
      </c>
      <c r="D3963" s="4">
        <f t="shared" ca="1" si="432"/>
        <v>131</v>
      </c>
      <c r="E3963" s="2">
        <f t="shared" ca="1" si="433"/>
        <v>3380</v>
      </c>
      <c r="F3963" s="2">
        <f t="shared" ca="1" si="434"/>
        <v>24225</v>
      </c>
      <c r="G3963" s="2">
        <f t="shared" ca="1" si="435"/>
        <v>1273</v>
      </c>
    </row>
    <row r="3964" spans="1:7" x14ac:dyDescent="0.3">
      <c r="A3964" s="5" t="str">
        <f t="shared" si="436"/>
        <v>New Balance</v>
      </c>
      <c r="B3964" s="5" t="str">
        <f t="shared" si="431"/>
        <v>9060</v>
      </c>
      <c r="C3964" s="3">
        <f t="shared" si="437"/>
        <v>45922</v>
      </c>
      <c r="D3964" s="4">
        <f t="shared" ca="1" si="432"/>
        <v>71</v>
      </c>
      <c r="E3964" s="2">
        <f t="shared" ca="1" si="433"/>
        <v>10516</v>
      </c>
      <c r="F3964" s="2">
        <f t="shared" ca="1" si="434"/>
        <v>8985</v>
      </c>
      <c r="G3964" s="2">
        <f t="shared" ca="1" si="435"/>
        <v>692</v>
      </c>
    </row>
    <row r="3965" spans="1:7" x14ac:dyDescent="0.3">
      <c r="A3965" s="5" t="str">
        <f t="shared" si="436"/>
        <v>Reebok</v>
      </c>
      <c r="B3965" s="5" t="str">
        <f t="shared" si="431"/>
        <v>Zig Kinetica</v>
      </c>
      <c r="C3965" s="3">
        <f t="shared" si="437"/>
        <v>45922</v>
      </c>
      <c r="D3965" s="4">
        <f t="shared" ca="1" si="432"/>
        <v>237</v>
      </c>
      <c r="E3965" s="2">
        <f t="shared" ca="1" si="433"/>
        <v>11456</v>
      </c>
      <c r="F3965" s="2">
        <f t="shared" ca="1" si="434"/>
        <v>5569</v>
      </c>
      <c r="G3965" s="2">
        <f t="shared" ca="1" si="435"/>
        <v>403</v>
      </c>
    </row>
    <row r="3966" spans="1:7" x14ac:dyDescent="0.3">
      <c r="A3966" s="5" t="str">
        <f t="shared" si="436"/>
        <v>Nike</v>
      </c>
      <c r="B3966" s="5" t="str">
        <f t="shared" si="431"/>
        <v>Jordan 1</v>
      </c>
      <c r="C3966" s="3">
        <f t="shared" si="437"/>
        <v>45922</v>
      </c>
      <c r="D3966" s="4">
        <f t="shared" ca="1" si="432"/>
        <v>161</v>
      </c>
      <c r="E3966" s="2">
        <f t="shared" ca="1" si="433"/>
        <v>6813</v>
      </c>
      <c r="F3966" s="2">
        <f t="shared" ca="1" si="434"/>
        <v>8870</v>
      </c>
      <c r="G3966" s="2">
        <f t="shared" ca="1" si="435"/>
        <v>471</v>
      </c>
    </row>
    <row r="3967" spans="1:7" x14ac:dyDescent="0.3">
      <c r="A3967" s="5" t="str">
        <f t="shared" si="436"/>
        <v>Adidas</v>
      </c>
      <c r="B3967" s="5" t="str">
        <f t="shared" si="431"/>
        <v>Ultraboost 23</v>
      </c>
      <c r="C3967" s="3">
        <f t="shared" si="437"/>
        <v>45922</v>
      </c>
      <c r="D3967" s="4">
        <f t="shared" ca="1" si="432"/>
        <v>26</v>
      </c>
      <c r="E3967" s="2">
        <f t="shared" ca="1" si="433"/>
        <v>8837</v>
      </c>
      <c r="F3967" s="2">
        <f t="shared" ca="1" si="434"/>
        <v>33954</v>
      </c>
      <c r="G3967" s="2">
        <f t="shared" ca="1" si="435"/>
        <v>1726</v>
      </c>
    </row>
    <row r="3968" spans="1:7" x14ac:dyDescent="0.3">
      <c r="A3968" s="5" t="str">
        <f t="shared" si="436"/>
        <v>Puma</v>
      </c>
      <c r="B3968" s="5" t="str">
        <f t="shared" si="431"/>
        <v>RS-X</v>
      </c>
      <c r="C3968" s="3">
        <f t="shared" si="437"/>
        <v>45922</v>
      </c>
      <c r="D3968" s="4">
        <f t="shared" ca="1" si="432"/>
        <v>132</v>
      </c>
      <c r="E3968" s="2">
        <f t="shared" ca="1" si="433"/>
        <v>6792</v>
      </c>
      <c r="F3968" s="2">
        <f t="shared" ca="1" si="434"/>
        <v>12923</v>
      </c>
      <c r="G3968" s="2">
        <f t="shared" ca="1" si="435"/>
        <v>691</v>
      </c>
    </row>
    <row r="3969" spans="1:7" x14ac:dyDescent="0.3">
      <c r="A3969" s="5" t="str">
        <f t="shared" si="436"/>
        <v>New Balance</v>
      </c>
      <c r="B3969" s="5" t="str">
        <f t="shared" si="431"/>
        <v>2002R</v>
      </c>
      <c r="C3969" s="3">
        <f t="shared" si="437"/>
        <v>45922</v>
      </c>
      <c r="D3969" s="4">
        <f t="shared" ca="1" si="432"/>
        <v>212</v>
      </c>
      <c r="E3969" s="2">
        <f t="shared" ca="1" si="433"/>
        <v>7800</v>
      </c>
      <c r="F3969" s="2">
        <f t="shared" ca="1" si="434"/>
        <v>34041</v>
      </c>
      <c r="G3969" s="2">
        <f t="shared" ca="1" si="435"/>
        <v>965</v>
      </c>
    </row>
    <row r="3970" spans="1:7" x14ac:dyDescent="0.3">
      <c r="A3970" s="5" t="str">
        <f t="shared" si="436"/>
        <v>Reebok</v>
      </c>
      <c r="B3970" s="5" t="str">
        <f t="shared" si="431"/>
        <v>Instapump Fury</v>
      </c>
      <c r="C3970" s="3">
        <f t="shared" si="437"/>
        <v>45922</v>
      </c>
      <c r="D3970" s="4">
        <f t="shared" ca="1" si="432"/>
        <v>82</v>
      </c>
      <c r="E3970" s="2">
        <f t="shared" ca="1" si="433"/>
        <v>10091</v>
      </c>
      <c r="F3970" s="2">
        <f t="shared" ca="1" si="434"/>
        <v>30867</v>
      </c>
      <c r="G3970" s="2">
        <f t="shared" ca="1" si="435"/>
        <v>1736</v>
      </c>
    </row>
    <row r="3971" spans="1:7" x14ac:dyDescent="0.3">
      <c r="A3971" s="5" t="str">
        <f t="shared" si="436"/>
        <v>Nike</v>
      </c>
      <c r="B3971" s="5" t="str">
        <f t="shared" ref="B3971:B4034" si="438">IF(A3971="Nike",CHOOSE(MOD(ROW(A3970),6)+1,"Air Max 270","Air Force 1","Pegasus 40","Vaporfly 3","Cortez","Jordan 1"),
 IF(A3971="Adidas",CHOOSE(MOD(ROW(A3970),6)+1,"Ultraboost 23","Stan Smith","Superstar","Gazelle","Samba","NMD S1"),
 IF(A3971="Puma",CHOOSE(MOD(ROW(A3970),6)+1,"Suede Classic","RS-X","Cali Dream","Rider Vintage","Slipstream","Mayze"),
 IF(A3971="New Balance",CHOOSE(MOD(ROW(A3970),6)+1,"574 Core","990v6","2002R","9060","327","550"),
 IF(A3971="Reebok",CHOOSE(MOD(ROW(A3970),6)+1,"Classic Leather","Club C 85","Nano X3","Instapump Fury","Zig Kinetica","Question Mid"),"")))))</f>
        <v>Cortez</v>
      </c>
      <c r="C3971" s="3">
        <f t="shared" si="437"/>
        <v>45922</v>
      </c>
      <c r="D3971" s="4">
        <f t="shared" ref="D3971:D4034" ca="1" si="439">RANDBETWEEN(20,250)</f>
        <v>187</v>
      </c>
      <c r="E3971" s="2">
        <f t="shared" ref="E3971:E4034" ca="1" si="440">ROUND(RANDBETWEEN(1500,12000)+(RANDBETWEEN(-200,200)),2)</f>
        <v>1660</v>
      </c>
      <c r="F3971" s="2">
        <f t="shared" ref="F3971:F4034" ca="1" si="441">RANDBETWEEN(5000,35000)</f>
        <v>23379</v>
      </c>
      <c r="G3971" s="2">
        <f t="shared" ref="G3971:G4034" ca="1" si="442">RANDBETWEEN(ROUND(F3971*0.02,0),ROUND(F3971*0.08,0))</f>
        <v>1120</v>
      </c>
    </row>
    <row r="3972" spans="1:7" x14ac:dyDescent="0.3">
      <c r="A3972" s="5" t="str">
        <f t="shared" si="436"/>
        <v>Adidas</v>
      </c>
      <c r="B3972" s="5" t="str">
        <f t="shared" si="438"/>
        <v>NMD S1</v>
      </c>
      <c r="C3972" s="3">
        <f t="shared" si="437"/>
        <v>45922</v>
      </c>
      <c r="D3972" s="4">
        <f t="shared" ca="1" si="439"/>
        <v>54</v>
      </c>
      <c r="E3972" s="2">
        <f t="shared" ca="1" si="440"/>
        <v>6455</v>
      </c>
      <c r="F3972" s="2">
        <f t="shared" ca="1" si="441"/>
        <v>29557</v>
      </c>
      <c r="G3972" s="2">
        <f t="shared" ca="1" si="442"/>
        <v>631</v>
      </c>
    </row>
    <row r="3973" spans="1:7" x14ac:dyDescent="0.3">
      <c r="A3973" s="5" t="str">
        <f t="shared" si="436"/>
        <v>Puma</v>
      </c>
      <c r="B3973" s="5" t="str">
        <f t="shared" si="438"/>
        <v>Suede Classic</v>
      </c>
      <c r="C3973" s="3">
        <f t="shared" si="437"/>
        <v>45922</v>
      </c>
      <c r="D3973" s="4">
        <f t="shared" ca="1" si="439"/>
        <v>72</v>
      </c>
      <c r="E3973" s="2">
        <f t="shared" ca="1" si="440"/>
        <v>9442</v>
      </c>
      <c r="F3973" s="2">
        <f t="shared" ca="1" si="441"/>
        <v>16472</v>
      </c>
      <c r="G3973" s="2">
        <f t="shared" ca="1" si="442"/>
        <v>1293</v>
      </c>
    </row>
    <row r="3974" spans="1:7" x14ac:dyDescent="0.3">
      <c r="A3974" s="5" t="str">
        <f t="shared" si="436"/>
        <v>New Balance</v>
      </c>
      <c r="B3974" s="5" t="str">
        <f t="shared" si="438"/>
        <v>990v6</v>
      </c>
      <c r="C3974" s="3">
        <f t="shared" si="437"/>
        <v>45922</v>
      </c>
      <c r="D3974" s="4">
        <f t="shared" ca="1" si="439"/>
        <v>42</v>
      </c>
      <c r="E3974" s="2">
        <f t="shared" ca="1" si="440"/>
        <v>2468</v>
      </c>
      <c r="F3974" s="2">
        <f t="shared" ca="1" si="441"/>
        <v>18224</v>
      </c>
      <c r="G3974" s="2">
        <f t="shared" ca="1" si="442"/>
        <v>1294</v>
      </c>
    </row>
    <row r="3975" spans="1:7" x14ac:dyDescent="0.3">
      <c r="A3975" s="5" t="str">
        <f t="shared" si="436"/>
        <v>Reebok</v>
      </c>
      <c r="B3975" s="5" t="str">
        <f t="shared" si="438"/>
        <v>Nano X3</v>
      </c>
      <c r="C3975" s="3">
        <f t="shared" si="437"/>
        <v>45922</v>
      </c>
      <c r="D3975" s="4">
        <f t="shared" ca="1" si="439"/>
        <v>123</v>
      </c>
      <c r="E3975" s="2">
        <f t="shared" ca="1" si="440"/>
        <v>2215</v>
      </c>
      <c r="F3975" s="2">
        <f t="shared" ca="1" si="441"/>
        <v>17919</v>
      </c>
      <c r="G3975" s="2">
        <f t="shared" ca="1" si="442"/>
        <v>1084</v>
      </c>
    </row>
    <row r="3976" spans="1:7" x14ac:dyDescent="0.3">
      <c r="A3976" s="5" t="str">
        <f t="shared" si="436"/>
        <v>Nike</v>
      </c>
      <c r="B3976" s="5" t="str">
        <f t="shared" si="438"/>
        <v>Vaporfly 3</v>
      </c>
      <c r="C3976" s="3">
        <f t="shared" si="437"/>
        <v>45922</v>
      </c>
      <c r="D3976" s="4">
        <f t="shared" ca="1" si="439"/>
        <v>143</v>
      </c>
      <c r="E3976" s="2">
        <f t="shared" ca="1" si="440"/>
        <v>2084</v>
      </c>
      <c r="F3976" s="2">
        <f t="shared" ca="1" si="441"/>
        <v>32735</v>
      </c>
      <c r="G3976" s="2">
        <f t="shared" ca="1" si="442"/>
        <v>1350</v>
      </c>
    </row>
    <row r="3977" spans="1:7" x14ac:dyDescent="0.3">
      <c r="A3977" s="5" t="str">
        <f t="shared" si="436"/>
        <v>Adidas</v>
      </c>
      <c r="B3977" s="5" t="str">
        <f t="shared" si="438"/>
        <v>Samba</v>
      </c>
      <c r="C3977" s="3">
        <f t="shared" si="437"/>
        <v>45923</v>
      </c>
      <c r="D3977" s="4">
        <f t="shared" ca="1" si="439"/>
        <v>53</v>
      </c>
      <c r="E3977" s="2">
        <f t="shared" ca="1" si="440"/>
        <v>7122</v>
      </c>
      <c r="F3977" s="2">
        <f t="shared" ca="1" si="441"/>
        <v>14692</v>
      </c>
      <c r="G3977" s="2">
        <f t="shared" ca="1" si="442"/>
        <v>456</v>
      </c>
    </row>
    <row r="3978" spans="1:7" x14ac:dyDescent="0.3">
      <c r="A3978" s="5" t="str">
        <f t="shared" si="436"/>
        <v>Puma</v>
      </c>
      <c r="B3978" s="5" t="str">
        <f t="shared" si="438"/>
        <v>Mayze</v>
      </c>
      <c r="C3978" s="3">
        <f t="shared" si="437"/>
        <v>45923</v>
      </c>
      <c r="D3978" s="4">
        <f t="shared" ca="1" si="439"/>
        <v>225</v>
      </c>
      <c r="E3978" s="2">
        <f t="shared" ca="1" si="440"/>
        <v>6614</v>
      </c>
      <c r="F3978" s="2">
        <f t="shared" ca="1" si="441"/>
        <v>26892</v>
      </c>
      <c r="G3978" s="2">
        <f t="shared" ca="1" si="442"/>
        <v>1235</v>
      </c>
    </row>
    <row r="3979" spans="1:7" x14ac:dyDescent="0.3">
      <c r="A3979" s="5" t="str">
        <f t="shared" si="436"/>
        <v>New Balance</v>
      </c>
      <c r="B3979" s="5" t="str">
        <f t="shared" si="438"/>
        <v>574 Core</v>
      </c>
      <c r="C3979" s="3">
        <f t="shared" si="437"/>
        <v>45923</v>
      </c>
      <c r="D3979" s="4">
        <f t="shared" ca="1" si="439"/>
        <v>86</v>
      </c>
      <c r="E3979" s="2">
        <f t="shared" ca="1" si="440"/>
        <v>2849</v>
      </c>
      <c r="F3979" s="2">
        <f t="shared" ca="1" si="441"/>
        <v>12080</v>
      </c>
      <c r="G3979" s="2">
        <f t="shared" ca="1" si="442"/>
        <v>311</v>
      </c>
    </row>
    <row r="3980" spans="1:7" x14ac:dyDescent="0.3">
      <c r="A3980" s="5" t="str">
        <f t="shared" si="436"/>
        <v>Reebok</v>
      </c>
      <c r="B3980" s="5" t="str">
        <f t="shared" si="438"/>
        <v>Club C 85</v>
      </c>
      <c r="C3980" s="3">
        <f t="shared" si="437"/>
        <v>45923</v>
      </c>
      <c r="D3980" s="4">
        <f t="shared" ca="1" si="439"/>
        <v>165</v>
      </c>
      <c r="E3980" s="2">
        <f t="shared" ca="1" si="440"/>
        <v>6200</v>
      </c>
      <c r="F3980" s="2">
        <f t="shared" ca="1" si="441"/>
        <v>5611</v>
      </c>
      <c r="G3980" s="2">
        <f t="shared" ca="1" si="442"/>
        <v>142</v>
      </c>
    </row>
    <row r="3981" spans="1:7" x14ac:dyDescent="0.3">
      <c r="A3981" s="5" t="str">
        <f t="shared" si="436"/>
        <v>Nike</v>
      </c>
      <c r="B3981" s="5" t="str">
        <f t="shared" si="438"/>
        <v>Pegasus 40</v>
      </c>
      <c r="C3981" s="3">
        <f t="shared" si="437"/>
        <v>45923</v>
      </c>
      <c r="D3981" s="4">
        <f t="shared" ca="1" si="439"/>
        <v>50</v>
      </c>
      <c r="E3981" s="2">
        <f t="shared" ca="1" si="440"/>
        <v>3604</v>
      </c>
      <c r="F3981" s="2">
        <f t="shared" ca="1" si="441"/>
        <v>32583</v>
      </c>
      <c r="G3981" s="2">
        <f t="shared" ca="1" si="442"/>
        <v>2462</v>
      </c>
    </row>
    <row r="3982" spans="1:7" x14ac:dyDescent="0.3">
      <c r="A3982" s="5" t="str">
        <f t="shared" si="436"/>
        <v>Adidas</v>
      </c>
      <c r="B3982" s="5" t="str">
        <f t="shared" si="438"/>
        <v>Gazelle</v>
      </c>
      <c r="C3982" s="3">
        <f t="shared" si="437"/>
        <v>45923</v>
      </c>
      <c r="D3982" s="4">
        <f t="shared" ca="1" si="439"/>
        <v>86</v>
      </c>
      <c r="E3982" s="2">
        <f t="shared" ca="1" si="440"/>
        <v>11722</v>
      </c>
      <c r="F3982" s="2">
        <f t="shared" ca="1" si="441"/>
        <v>23378</v>
      </c>
      <c r="G3982" s="2">
        <f t="shared" ca="1" si="442"/>
        <v>1207</v>
      </c>
    </row>
    <row r="3983" spans="1:7" x14ac:dyDescent="0.3">
      <c r="A3983" s="5" t="str">
        <f t="shared" si="436"/>
        <v>Puma</v>
      </c>
      <c r="B3983" s="5" t="str">
        <f t="shared" si="438"/>
        <v>Slipstream</v>
      </c>
      <c r="C3983" s="3">
        <f t="shared" si="437"/>
        <v>45923</v>
      </c>
      <c r="D3983" s="4">
        <f t="shared" ca="1" si="439"/>
        <v>28</v>
      </c>
      <c r="E3983" s="2">
        <f t="shared" ca="1" si="440"/>
        <v>9849</v>
      </c>
      <c r="F3983" s="2">
        <f t="shared" ca="1" si="441"/>
        <v>31165</v>
      </c>
      <c r="G3983" s="2">
        <f t="shared" ca="1" si="442"/>
        <v>702</v>
      </c>
    </row>
    <row r="3984" spans="1:7" x14ac:dyDescent="0.3">
      <c r="A3984" s="5" t="str">
        <f t="shared" si="436"/>
        <v>New Balance</v>
      </c>
      <c r="B3984" s="5" t="str">
        <f t="shared" si="438"/>
        <v>550</v>
      </c>
      <c r="C3984" s="3">
        <f t="shared" si="437"/>
        <v>45923</v>
      </c>
      <c r="D3984" s="4">
        <f t="shared" ca="1" si="439"/>
        <v>157</v>
      </c>
      <c r="E3984" s="2">
        <f t="shared" ca="1" si="440"/>
        <v>1747</v>
      </c>
      <c r="F3984" s="2">
        <f t="shared" ca="1" si="441"/>
        <v>22094</v>
      </c>
      <c r="G3984" s="2">
        <f t="shared" ca="1" si="442"/>
        <v>671</v>
      </c>
    </row>
    <row r="3985" spans="1:7" x14ac:dyDescent="0.3">
      <c r="A3985" s="5" t="str">
        <f t="shared" si="436"/>
        <v>Reebok</v>
      </c>
      <c r="B3985" s="5" t="str">
        <f t="shared" si="438"/>
        <v>Classic Leather</v>
      </c>
      <c r="C3985" s="3">
        <f t="shared" si="437"/>
        <v>45923</v>
      </c>
      <c r="D3985" s="4">
        <f t="shared" ca="1" si="439"/>
        <v>63</v>
      </c>
      <c r="E3985" s="2">
        <f t="shared" ca="1" si="440"/>
        <v>9146</v>
      </c>
      <c r="F3985" s="2">
        <f t="shared" ca="1" si="441"/>
        <v>24533</v>
      </c>
      <c r="G3985" s="2">
        <f t="shared" ca="1" si="442"/>
        <v>576</v>
      </c>
    </row>
    <row r="3986" spans="1:7" x14ac:dyDescent="0.3">
      <c r="A3986" s="5" t="str">
        <f t="shared" si="436"/>
        <v>Nike</v>
      </c>
      <c r="B3986" s="5" t="str">
        <f t="shared" si="438"/>
        <v>Air Force 1</v>
      </c>
      <c r="C3986" s="3">
        <f t="shared" si="437"/>
        <v>45923</v>
      </c>
      <c r="D3986" s="4">
        <f t="shared" ca="1" si="439"/>
        <v>106</v>
      </c>
      <c r="E3986" s="2">
        <f t="shared" ca="1" si="440"/>
        <v>8629</v>
      </c>
      <c r="F3986" s="2">
        <f t="shared" ca="1" si="441"/>
        <v>34997</v>
      </c>
      <c r="G3986" s="2">
        <f t="shared" ca="1" si="442"/>
        <v>2625</v>
      </c>
    </row>
    <row r="3987" spans="1:7" x14ac:dyDescent="0.3">
      <c r="A3987" s="5" t="str">
        <f t="shared" si="436"/>
        <v>Adidas</v>
      </c>
      <c r="B3987" s="5" t="str">
        <f t="shared" si="438"/>
        <v>Superstar</v>
      </c>
      <c r="C3987" s="3">
        <f t="shared" si="437"/>
        <v>45923</v>
      </c>
      <c r="D3987" s="4">
        <f t="shared" ca="1" si="439"/>
        <v>236</v>
      </c>
      <c r="E3987" s="2">
        <f t="shared" ca="1" si="440"/>
        <v>6009</v>
      </c>
      <c r="F3987" s="2">
        <f t="shared" ca="1" si="441"/>
        <v>11260</v>
      </c>
      <c r="G3987" s="2">
        <f t="shared" ca="1" si="442"/>
        <v>356</v>
      </c>
    </row>
    <row r="3988" spans="1:7" x14ac:dyDescent="0.3">
      <c r="A3988" s="5" t="str">
        <f t="shared" si="436"/>
        <v>Puma</v>
      </c>
      <c r="B3988" s="5" t="str">
        <f t="shared" si="438"/>
        <v>Rider Vintage</v>
      </c>
      <c r="C3988" s="3">
        <f t="shared" si="437"/>
        <v>45923</v>
      </c>
      <c r="D3988" s="4">
        <f t="shared" ca="1" si="439"/>
        <v>188</v>
      </c>
      <c r="E3988" s="2">
        <f t="shared" ca="1" si="440"/>
        <v>3473</v>
      </c>
      <c r="F3988" s="2">
        <f t="shared" ca="1" si="441"/>
        <v>23928</v>
      </c>
      <c r="G3988" s="2">
        <f t="shared" ca="1" si="442"/>
        <v>1135</v>
      </c>
    </row>
    <row r="3989" spans="1:7" x14ac:dyDescent="0.3">
      <c r="A3989" s="5" t="str">
        <f t="shared" si="436"/>
        <v>New Balance</v>
      </c>
      <c r="B3989" s="5" t="str">
        <f t="shared" si="438"/>
        <v>327</v>
      </c>
      <c r="C3989" s="3">
        <f t="shared" si="437"/>
        <v>45923</v>
      </c>
      <c r="D3989" s="4">
        <f t="shared" ca="1" si="439"/>
        <v>45</v>
      </c>
      <c r="E3989" s="2">
        <f t="shared" ca="1" si="440"/>
        <v>5049</v>
      </c>
      <c r="F3989" s="2">
        <f t="shared" ca="1" si="441"/>
        <v>15741</v>
      </c>
      <c r="G3989" s="2">
        <f t="shared" ca="1" si="442"/>
        <v>1065</v>
      </c>
    </row>
    <row r="3990" spans="1:7" x14ac:dyDescent="0.3">
      <c r="A3990" s="5" t="str">
        <f t="shared" si="436"/>
        <v>Reebok</v>
      </c>
      <c r="B3990" s="5" t="str">
        <f t="shared" si="438"/>
        <v>Question Mid</v>
      </c>
      <c r="C3990" s="3">
        <f t="shared" si="437"/>
        <v>45923</v>
      </c>
      <c r="D3990" s="4">
        <f t="shared" ca="1" si="439"/>
        <v>26</v>
      </c>
      <c r="E3990" s="2">
        <f t="shared" ca="1" si="440"/>
        <v>7947</v>
      </c>
      <c r="F3990" s="2">
        <f t="shared" ca="1" si="441"/>
        <v>34638</v>
      </c>
      <c r="G3990" s="2">
        <f t="shared" ca="1" si="442"/>
        <v>2668</v>
      </c>
    </row>
    <row r="3991" spans="1:7" x14ac:dyDescent="0.3">
      <c r="A3991" s="5" t="str">
        <f t="shared" si="436"/>
        <v>Nike</v>
      </c>
      <c r="B3991" s="5" t="str">
        <f t="shared" si="438"/>
        <v>Air Max 270</v>
      </c>
      <c r="C3991" s="3">
        <f t="shared" si="437"/>
        <v>45923</v>
      </c>
      <c r="D3991" s="4">
        <f t="shared" ca="1" si="439"/>
        <v>167</v>
      </c>
      <c r="E3991" s="2">
        <f t="shared" ca="1" si="440"/>
        <v>11362</v>
      </c>
      <c r="F3991" s="2">
        <f t="shared" ca="1" si="441"/>
        <v>5372</v>
      </c>
      <c r="G3991" s="2">
        <f t="shared" ca="1" si="442"/>
        <v>413</v>
      </c>
    </row>
    <row r="3992" spans="1:7" x14ac:dyDescent="0.3">
      <c r="A3992" s="5" t="str">
        <f t="shared" si="436"/>
        <v>Adidas</v>
      </c>
      <c r="B3992" s="5" t="str">
        <f t="shared" si="438"/>
        <v>Stan Smith</v>
      </c>
      <c r="C3992" s="3">
        <f t="shared" si="437"/>
        <v>45924</v>
      </c>
      <c r="D3992" s="4">
        <f t="shared" ca="1" si="439"/>
        <v>206</v>
      </c>
      <c r="E3992" s="2">
        <f t="shared" ca="1" si="440"/>
        <v>11277</v>
      </c>
      <c r="F3992" s="2">
        <f t="shared" ca="1" si="441"/>
        <v>28607</v>
      </c>
      <c r="G3992" s="2">
        <f t="shared" ca="1" si="442"/>
        <v>2126</v>
      </c>
    </row>
    <row r="3993" spans="1:7" x14ac:dyDescent="0.3">
      <c r="A3993" s="5" t="str">
        <f t="shared" si="436"/>
        <v>Puma</v>
      </c>
      <c r="B3993" s="5" t="str">
        <f t="shared" si="438"/>
        <v>Cali Dream</v>
      </c>
      <c r="C3993" s="3">
        <f t="shared" si="437"/>
        <v>45924</v>
      </c>
      <c r="D3993" s="4">
        <f t="shared" ca="1" si="439"/>
        <v>194</v>
      </c>
      <c r="E3993" s="2">
        <f t="shared" ca="1" si="440"/>
        <v>4888</v>
      </c>
      <c r="F3993" s="2">
        <f t="shared" ca="1" si="441"/>
        <v>20044</v>
      </c>
      <c r="G3993" s="2">
        <f t="shared" ca="1" si="442"/>
        <v>1336</v>
      </c>
    </row>
    <row r="3994" spans="1:7" x14ac:dyDescent="0.3">
      <c r="A3994" s="5" t="str">
        <f t="shared" si="436"/>
        <v>New Balance</v>
      </c>
      <c r="B3994" s="5" t="str">
        <f t="shared" si="438"/>
        <v>9060</v>
      </c>
      <c r="C3994" s="3">
        <f t="shared" si="437"/>
        <v>45924</v>
      </c>
      <c r="D3994" s="4">
        <f t="shared" ca="1" si="439"/>
        <v>27</v>
      </c>
      <c r="E3994" s="2">
        <f t="shared" ca="1" si="440"/>
        <v>10541</v>
      </c>
      <c r="F3994" s="2">
        <f t="shared" ca="1" si="441"/>
        <v>13283</v>
      </c>
      <c r="G3994" s="2">
        <f t="shared" ca="1" si="442"/>
        <v>639</v>
      </c>
    </row>
    <row r="3995" spans="1:7" x14ac:dyDescent="0.3">
      <c r="A3995" s="5" t="str">
        <f t="shared" si="436"/>
        <v>Reebok</v>
      </c>
      <c r="B3995" s="5" t="str">
        <f t="shared" si="438"/>
        <v>Zig Kinetica</v>
      </c>
      <c r="C3995" s="3">
        <f t="shared" si="437"/>
        <v>45924</v>
      </c>
      <c r="D3995" s="4">
        <f t="shared" ca="1" si="439"/>
        <v>138</v>
      </c>
      <c r="E3995" s="2">
        <f t="shared" ca="1" si="440"/>
        <v>10996</v>
      </c>
      <c r="F3995" s="2">
        <f t="shared" ca="1" si="441"/>
        <v>6874</v>
      </c>
      <c r="G3995" s="2">
        <f t="shared" ca="1" si="442"/>
        <v>485</v>
      </c>
    </row>
    <row r="3996" spans="1:7" x14ac:dyDescent="0.3">
      <c r="A3996" s="5" t="str">
        <f t="shared" si="436"/>
        <v>Nike</v>
      </c>
      <c r="B3996" s="5" t="str">
        <f t="shared" si="438"/>
        <v>Jordan 1</v>
      </c>
      <c r="C3996" s="3">
        <f t="shared" si="437"/>
        <v>45924</v>
      </c>
      <c r="D3996" s="4">
        <f t="shared" ca="1" si="439"/>
        <v>158</v>
      </c>
      <c r="E3996" s="2">
        <f t="shared" ca="1" si="440"/>
        <v>4915</v>
      </c>
      <c r="F3996" s="2">
        <f t="shared" ca="1" si="441"/>
        <v>32869</v>
      </c>
      <c r="G3996" s="2">
        <f t="shared" ca="1" si="442"/>
        <v>932</v>
      </c>
    </row>
    <row r="3997" spans="1:7" x14ac:dyDescent="0.3">
      <c r="A3997" s="5" t="str">
        <f t="shared" si="436"/>
        <v>Adidas</v>
      </c>
      <c r="B3997" s="5" t="str">
        <f t="shared" si="438"/>
        <v>Ultraboost 23</v>
      </c>
      <c r="C3997" s="3">
        <f t="shared" si="437"/>
        <v>45924</v>
      </c>
      <c r="D3997" s="4">
        <f t="shared" ca="1" si="439"/>
        <v>121</v>
      </c>
      <c r="E3997" s="2">
        <f t="shared" ca="1" si="440"/>
        <v>10051</v>
      </c>
      <c r="F3997" s="2">
        <f t="shared" ca="1" si="441"/>
        <v>24557</v>
      </c>
      <c r="G3997" s="2">
        <f t="shared" ca="1" si="442"/>
        <v>732</v>
      </c>
    </row>
    <row r="3998" spans="1:7" x14ac:dyDescent="0.3">
      <c r="A3998" s="5" t="str">
        <f t="shared" si="436"/>
        <v>Puma</v>
      </c>
      <c r="B3998" s="5" t="str">
        <f t="shared" si="438"/>
        <v>RS-X</v>
      </c>
      <c r="C3998" s="3">
        <f t="shared" si="437"/>
        <v>45924</v>
      </c>
      <c r="D3998" s="4">
        <f t="shared" ca="1" si="439"/>
        <v>44</v>
      </c>
      <c r="E3998" s="2">
        <f t="shared" ca="1" si="440"/>
        <v>7036</v>
      </c>
      <c r="F3998" s="2">
        <f t="shared" ca="1" si="441"/>
        <v>33470</v>
      </c>
      <c r="G3998" s="2">
        <f t="shared" ca="1" si="442"/>
        <v>694</v>
      </c>
    </row>
    <row r="3999" spans="1:7" x14ac:dyDescent="0.3">
      <c r="A3999" s="5" t="str">
        <f t="shared" si="436"/>
        <v>New Balance</v>
      </c>
      <c r="B3999" s="5" t="str">
        <f t="shared" si="438"/>
        <v>2002R</v>
      </c>
      <c r="C3999" s="3">
        <f t="shared" si="437"/>
        <v>45924</v>
      </c>
      <c r="D3999" s="4">
        <f t="shared" ca="1" si="439"/>
        <v>240</v>
      </c>
      <c r="E3999" s="2">
        <f t="shared" ca="1" si="440"/>
        <v>4063</v>
      </c>
      <c r="F3999" s="2">
        <f t="shared" ca="1" si="441"/>
        <v>33118</v>
      </c>
      <c r="G3999" s="2">
        <f t="shared" ca="1" si="442"/>
        <v>1689</v>
      </c>
    </row>
    <row r="4000" spans="1:7" x14ac:dyDescent="0.3">
      <c r="A4000" s="5" t="str">
        <f t="shared" si="436"/>
        <v>Reebok</v>
      </c>
      <c r="B4000" s="5" t="str">
        <f t="shared" si="438"/>
        <v>Instapump Fury</v>
      </c>
      <c r="C4000" s="3">
        <f t="shared" si="437"/>
        <v>45924</v>
      </c>
      <c r="D4000" s="4">
        <f t="shared" ca="1" si="439"/>
        <v>155</v>
      </c>
      <c r="E4000" s="2">
        <f t="shared" ca="1" si="440"/>
        <v>11724</v>
      </c>
      <c r="F4000" s="2">
        <f t="shared" ca="1" si="441"/>
        <v>23633</v>
      </c>
      <c r="G4000" s="2">
        <f t="shared" ca="1" si="442"/>
        <v>798</v>
      </c>
    </row>
    <row r="4001" spans="1:7" x14ac:dyDescent="0.3">
      <c r="A4001" s="5" t="str">
        <f t="shared" si="436"/>
        <v>Nike</v>
      </c>
      <c r="B4001" s="5" t="str">
        <f t="shared" si="438"/>
        <v>Cortez</v>
      </c>
      <c r="C4001" s="3">
        <f t="shared" si="437"/>
        <v>45924</v>
      </c>
      <c r="D4001" s="4">
        <f t="shared" ca="1" si="439"/>
        <v>51</v>
      </c>
      <c r="E4001" s="2">
        <f t="shared" ca="1" si="440"/>
        <v>2605</v>
      </c>
      <c r="F4001" s="2">
        <f t="shared" ca="1" si="441"/>
        <v>25935</v>
      </c>
      <c r="G4001" s="2">
        <f t="shared" ca="1" si="442"/>
        <v>1253</v>
      </c>
    </row>
    <row r="4002" spans="1:7" x14ac:dyDescent="0.3">
      <c r="A4002" s="5" t="str">
        <f t="shared" si="436"/>
        <v>Adidas</v>
      </c>
      <c r="B4002" s="5" t="str">
        <f t="shared" si="438"/>
        <v>NMD S1</v>
      </c>
      <c r="C4002" s="3">
        <f t="shared" si="437"/>
        <v>45924</v>
      </c>
      <c r="D4002" s="4">
        <f t="shared" ca="1" si="439"/>
        <v>29</v>
      </c>
      <c r="E4002" s="2">
        <f t="shared" ca="1" si="440"/>
        <v>10588</v>
      </c>
      <c r="F4002" s="2">
        <f t="shared" ca="1" si="441"/>
        <v>5025</v>
      </c>
      <c r="G4002" s="2">
        <f t="shared" ca="1" si="442"/>
        <v>187</v>
      </c>
    </row>
    <row r="4003" spans="1:7" x14ac:dyDescent="0.3">
      <c r="A4003" s="5" t="str">
        <f t="shared" si="436"/>
        <v>Puma</v>
      </c>
      <c r="B4003" s="5" t="str">
        <f t="shared" si="438"/>
        <v>Suede Classic</v>
      </c>
      <c r="C4003" s="3">
        <f t="shared" si="437"/>
        <v>45924</v>
      </c>
      <c r="D4003" s="4">
        <f t="shared" ca="1" si="439"/>
        <v>246</v>
      </c>
      <c r="E4003" s="2">
        <f t="shared" ca="1" si="440"/>
        <v>10532</v>
      </c>
      <c r="F4003" s="2">
        <f t="shared" ca="1" si="441"/>
        <v>26302</v>
      </c>
      <c r="G4003" s="2">
        <f t="shared" ca="1" si="442"/>
        <v>1724</v>
      </c>
    </row>
    <row r="4004" spans="1:7" x14ac:dyDescent="0.3">
      <c r="A4004" s="5" t="str">
        <f t="shared" si="436"/>
        <v>New Balance</v>
      </c>
      <c r="B4004" s="5" t="str">
        <f t="shared" si="438"/>
        <v>990v6</v>
      </c>
      <c r="C4004" s="3">
        <f t="shared" si="437"/>
        <v>45924</v>
      </c>
      <c r="D4004" s="4">
        <f t="shared" ca="1" si="439"/>
        <v>150</v>
      </c>
      <c r="E4004" s="2">
        <f t="shared" ca="1" si="440"/>
        <v>5980</v>
      </c>
      <c r="F4004" s="2">
        <f t="shared" ca="1" si="441"/>
        <v>23821</v>
      </c>
      <c r="G4004" s="2">
        <f t="shared" ca="1" si="442"/>
        <v>601</v>
      </c>
    </row>
    <row r="4005" spans="1:7" x14ac:dyDescent="0.3">
      <c r="A4005" s="5" t="str">
        <f t="shared" si="436"/>
        <v>Reebok</v>
      </c>
      <c r="B4005" s="5" t="str">
        <f t="shared" si="438"/>
        <v>Nano X3</v>
      </c>
      <c r="C4005" s="3">
        <f t="shared" si="437"/>
        <v>45924</v>
      </c>
      <c r="D4005" s="4">
        <f t="shared" ca="1" si="439"/>
        <v>245</v>
      </c>
      <c r="E4005" s="2">
        <f t="shared" ca="1" si="440"/>
        <v>9392</v>
      </c>
      <c r="F4005" s="2">
        <f t="shared" ca="1" si="441"/>
        <v>15681</v>
      </c>
      <c r="G4005" s="2">
        <f t="shared" ca="1" si="442"/>
        <v>1236</v>
      </c>
    </row>
    <row r="4006" spans="1:7" x14ac:dyDescent="0.3">
      <c r="A4006" s="5" t="str">
        <f t="shared" si="436"/>
        <v>Nike</v>
      </c>
      <c r="B4006" s="5" t="str">
        <f t="shared" si="438"/>
        <v>Vaporfly 3</v>
      </c>
      <c r="C4006" s="3">
        <f t="shared" si="437"/>
        <v>45924</v>
      </c>
      <c r="D4006" s="4">
        <f t="shared" ca="1" si="439"/>
        <v>167</v>
      </c>
      <c r="E4006" s="2">
        <f t="shared" ca="1" si="440"/>
        <v>3344</v>
      </c>
      <c r="F4006" s="2">
        <f t="shared" ca="1" si="441"/>
        <v>34330</v>
      </c>
      <c r="G4006" s="2">
        <f t="shared" ca="1" si="442"/>
        <v>2602</v>
      </c>
    </row>
    <row r="4007" spans="1:7" x14ac:dyDescent="0.3">
      <c r="A4007" s="5" t="str">
        <f t="shared" si="436"/>
        <v>Adidas</v>
      </c>
      <c r="B4007" s="5" t="str">
        <f t="shared" si="438"/>
        <v>Samba</v>
      </c>
      <c r="C4007" s="3">
        <f t="shared" si="437"/>
        <v>45925</v>
      </c>
      <c r="D4007" s="4">
        <f t="shared" ca="1" si="439"/>
        <v>143</v>
      </c>
      <c r="E4007" s="2">
        <f t="shared" ca="1" si="440"/>
        <v>8146</v>
      </c>
      <c r="F4007" s="2">
        <f t="shared" ca="1" si="441"/>
        <v>15780</v>
      </c>
      <c r="G4007" s="2">
        <f t="shared" ca="1" si="442"/>
        <v>591</v>
      </c>
    </row>
    <row r="4008" spans="1:7" x14ac:dyDescent="0.3">
      <c r="A4008" s="5" t="str">
        <f t="shared" si="436"/>
        <v>Puma</v>
      </c>
      <c r="B4008" s="5" t="str">
        <f t="shared" si="438"/>
        <v>Mayze</v>
      </c>
      <c r="C4008" s="3">
        <f t="shared" si="437"/>
        <v>45925</v>
      </c>
      <c r="D4008" s="4">
        <f t="shared" ca="1" si="439"/>
        <v>147</v>
      </c>
      <c r="E4008" s="2">
        <f t="shared" ca="1" si="440"/>
        <v>1724</v>
      </c>
      <c r="F4008" s="2">
        <f t="shared" ca="1" si="441"/>
        <v>14284</v>
      </c>
      <c r="G4008" s="2">
        <f t="shared" ca="1" si="442"/>
        <v>473</v>
      </c>
    </row>
    <row r="4009" spans="1:7" x14ac:dyDescent="0.3">
      <c r="A4009" s="5" t="str">
        <f t="shared" si="436"/>
        <v>New Balance</v>
      </c>
      <c r="B4009" s="5" t="str">
        <f t="shared" si="438"/>
        <v>574 Core</v>
      </c>
      <c r="C4009" s="3">
        <f t="shared" si="437"/>
        <v>45925</v>
      </c>
      <c r="D4009" s="4">
        <f t="shared" ca="1" si="439"/>
        <v>225</v>
      </c>
      <c r="E4009" s="2">
        <f t="shared" ca="1" si="440"/>
        <v>10144</v>
      </c>
      <c r="F4009" s="2">
        <f t="shared" ca="1" si="441"/>
        <v>21720</v>
      </c>
      <c r="G4009" s="2">
        <f t="shared" ca="1" si="442"/>
        <v>1531</v>
      </c>
    </row>
    <row r="4010" spans="1:7" x14ac:dyDescent="0.3">
      <c r="A4010" s="5" t="str">
        <f t="shared" si="436"/>
        <v>Reebok</v>
      </c>
      <c r="B4010" s="5" t="str">
        <f t="shared" si="438"/>
        <v>Club C 85</v>
      </c>
      <c r="C4010" s="3">
        <f t="shared" si="437"/>
        <v>45925</v>
      </c>
      <c r="D4010" s="4">
        <f t="shared" ca="1" si="439"/>
        <v>178</v>
      </c>
      <c r="E4010" s="2">
        <f t="shared" ca="1" si="440"/>
        <v>6697</v>
      </c>
      <c r="F4010" s="2">
        <f t="shared" ca="1" si="441"/>
        <v>30918</v>
      </c>
      <c r="G4010" s="2">
        <f t="shared" ca="1" si="442"/>
        <v>795</v>
      </c>
    </row>
    <row r="4011" spans="1:7" x14ac:dyDescent="0.3">
      <c r="A4011" s="5" t="str">
        <f t="shared" ref="A4011:A4074" si="443">CHOOSE(MOD(ROW(A4010),5)+1,"Nike","Adidas","Puma","New Balance","Reebok")</f>
        <v>Nike</v>
      </c>
      <c r="B4011" s="5" t="str">
        <f t="shared" si="438"/>
        <v>Pegasus 40</v>
      </c>
      <c r="C4011" s="3">
        <f t="shared" ref="C4011:C4074" si="444">DATE(2025,1,1)+INT((ROW(A4011)-2)/15)</f>
        <v>45925</v>
      </c>
      <c r="D4011" s="4">
        <f t="shared" ca="1" si="439"/>
        <v>124</v>
      </c>
      <c r="E4011" s="2">
        <f t="shared" ca="1" si="440"/>
        <v>6610</v>
      </c>
      <c r="F4011" s="2">
        <f t="shared" ca="1" si="441"/>
        <v>28759</v>
      </c>
      <c r="G4011" s="2">
        <f t="shared" ca="1" si="442"/>
        <v>633</v>
      </c>
    </row>
    <row r="4012" spans="1:7" x14ac:dyDescent="0.3">
      <c r="A4012" s="5" t="str">
        <f t="shared" si="443"/>
        <v>Adidas</v>
      </c>
      <c r="B4012" s="5" t="str">
        <f t="shared" si="438"/>
        <v>Gazelle</v>
      </c>
      <c r="C4012" s="3">
        <f t="shared" si="444"/>
        <v>45925</v>
      </c>
      <c r="D4012" s="4">
        <f t="shared" ca="1" si="439"/>
        <v>181</v>
      </c>
      <c r="E4012" s="2">
        <f t="shared" ca="1" si="440"/>
        <v>11071</v>
      </c>
      <c r="F4012" s="2">
        <f t="shared" ca="1" si="441"/>
        <v>32706</v>
      </c>
      <c r="G4012" s="2">
        <f t="shared" ca="1" si="442"/>
        <v>2476</v>
      </c>
    </row>
    <row r="4013" spans="1:7" x14ac:dyDescent="0.3">
      <c r="A4013" s="5" t="str">
        <f t="shared" si="443"/>
        <v>Puma</v>
      </c>
      <c r="B4013" s="5" t="str">
        <f t="shared" si="438"/>
        <v>Slipstream</v>
      </c>
      <c r="C4013" s="3">
        <f t="shared" si="444"/>
        <v>45925</v>
      </c>
      <c r="D4013" s="4">
        <f t="shared" ca="1" si="439"/>
        <v>241</v>
      </c>
      <c r="E4013" s="2">
        <f t="shared" ca="1" si="440"/>
        <v>4487</v>
      </c>
      <c r="F4013" s="2">
        <f t="shared" ca="1" si="441"/>
        <v>6317</v>
      </c>
      <c r="G4013" s="2">
        <f t="shared" ca="1" si="442"/>
        <v>496</v>
      </c>
    </row>
    <row r="4014" spans="1:7" x14ac:dyDescent="0.3">
      <c r="A4014" s="5" t="str">
        <f t="shared" si="443"/>
        <v>New Balance</v>
      </c>
      <c r="B4014" s="5" t="str">
        <f t="shared" si="438"/>
        <v>550</v>
      </c>
      <c r="C4014" s="3">
        <f t="shared" si="444"/>
        <v>45925</v>
      </c>
      <c r="D4014" s="4">
        <f t="shared" ca="1" si="439"/>
        <v>221</v>
      </c>
      <c r="E4014" s="2">
        <f t="shared" ca="1" si="440"/>
        <v>8647</v>
      </c>
      <c r="F4014" s="2">
        <f t="shared" ca="1" si="441"/>
        <v>13595</v>
      </c>
      <c r="G4014" s="2">
        <f t="shared" ca="1" si="442"/>
        <v>490</v>
      </c>
    </row>
    <row r="4015" spans="1:7" x14ac:dyDescent="0.3">
      <c r="A4015" s="5" t="str">
        <f t="shared" si="443"/>
        <v>Reebok</v>
      </c>
      <c r="B4015" s="5" t="str">
        <f t="shared" si="438"/>
        <v>Classic Leather</v>
      </c>
      <c r="C4015" s="3">
        <f t="shared" si="444"/>
        <v>45925</v>
      </c>
      <c r="D4015" s="4">
        <f t="shared" ca="1" si="439"/>
        <v>117</v>
      </c>
      <c r="E4015" s="2">
        <f t="shared" ca="1" si="440"/>
        <v>11729</v>
      </c>
      <c r="F4015" s="2">
        <f t="shared" ca="1" si="441"/>
        <v>27569</v>
      </c>
      <c r="G4015" s="2">
        <f t="shared" ca="1" si="442"/>
        <v>1641</v>
      </c>
    </row>
    <row r="4016" spans="1:7" x14ac:dyDescent="0.3">
      <c r="A4016" s="5" t="str">
        <f t="shared" si="443"/>
        <v>Nike</v>
      </c>
      <c r="B4016" s="5" t="str">
        <f t="shared" si="438"/>
        <v>Air Force 1</v>
      </c>
      <c r="C4016" s="3">
        <f t="shared" si="444"/>
        <v>45925</v>
      </c>
      <c r="D4016" s="4">
        <f t="shared" ca="1" si="439"/>
        <v>191</v>
      </c>
      <c r="E4016" s="2">
        <f t="shared" ca="1" si="440"/>
        <v>2576</v>
      </c>
      <c r="F4016" s="2">
        <f t="shared" ca="1" si="441"/>
        <v>5945</v>
      </c>
      <c r="G4016" s="2">
        <f t="shared" ca="1" si="442"/>
        <v>308</v>
      </c>
    </row>
    <row r="4017" spans="1:7" x14ac:dyDescent="0.3">
      <c r="A4017" s="5" t="str">
        <f t="shared" si="443"/>
        <v>Adidas</v>
      </c>
      <c r="B4017" s="5" t="str">
        <f t="shared" si="438"/>
        <v>Superstar</v>
      </c>
      <c r="C4017" s="3">
        <f t="shared" si="444"/>
        <v>45925</v>
      </c>
      <c r="D4017" s="4">
        <f t="shared" ca="1" si="439"/>
        <v>72</v>
      </c>
      <c r="E4017" s="2">
        <f t="shared" ca="1" si="440"/>
        <v>8815</v>
      </c>
      <c r="F4017" s="2">
        <f t="shared" ca="1" si="441"/>
        <v>24669</v>
      </c>
      <c r="G4017" s="2">
        <f t="shared" ca="1" si="442"/>
        <v>1892</v>
      </c>
    </row>
    <row r="4018" spans="1:7" x14ac:dyDescent="0.3">
      <c r="A4018" s="5" t="str">
        <f t="shared" si="443"/>
        <v>Puma</v>
      </c>
      <c r="B4018" s="5" t="str">
        <f t="shared" si="438"/>
        <v>Rider Vintage</v>
      </c>
      <c r="C4018" s="3">
        <f t="shared" si="444"/>
        <v>45925</v>
      </c>
      <c r="D4018" s="4">
        <f t="shared" ca="1" si="439"/>
        <v>220</v>
      </c>
      <c r="E4018" s="2">
        <f t="shared" ca="1" si="440"/>
        <v>10785</v>
      </c>
      <c r="F4018" s="2">
        <f t="shared" ca="1" si="441"/>
        <v>17347</v>
      </c>
      <c r="G4018" s="2">
        <f t="shared" ca="1" si="442"/>
        <v>1049</v>
      </c>
    </row>
    <row r="4019" spans="1:7" x14ac:dyDescent="0.3">
      <c r="A4019" s="5" t="str">
        <f t="shared" si="443"/>
        <v>New Balance</v>
      </c>
      <c r="B4019" s="5" t="str">
        <f t="shared" si="438"/>
        <v>327</v>
      </c>
      <c r="C4019" s="3">
        <f t="shared" si="444"/>
        <v>45925</v>
      </c>
      <c r="D4019" s="4">
        <f t="shared" ca="1" si="439"/>
        <v>241</v>
      </c>
      <c r="E4019" s="2">
        <f t="shared" ca="1" si="440"/>
        <v>5200</v>
      </c>
      <c r="F4019" s="2">
        <f t="shared" ca="1" si="441"/>
        <v>20913</v>
      </c>
      <c r="G4019" s="2">
        <f t="shared" ca="1" si="442"/>
        <v>844</v>
      </c>
    </row>
    <row r="4020" spans="1:7" x14ac:dyDescent="0.3">
      <c r="A4020" s="5" t="str">
        <f t="shared" si="443"/>
        <v>Reebok</v>
      </c>
      <c r="B4020" s="5" t="str">
        <f t="shared" si="438"/>
        <v>Question Mid</v>
      </c>
      <c r="C4020" s="3">
        <f t="shared" si="444"/>
        <v>45925</v>
      </c>
      <c r="D4020" s="4">
        <f t="shared" ca="1" si="439"/>
        <v>142</v>
      </c>
      <c r="E4020" s="2">
        <f t="shared" ca="1" si="440"/>
        <v>7574</v>
      </c>
      <c r="F4020" s="2">
        <f t="shared" ca="1" si="441"/>
        <v>28307</v>
      </c>
      <c r="G4020" s="2">
        <f t="shared" ca="1" si="442"/>
        <v>1944</v>
      </c>
    </row>
    <row r="4021" spans="1:7" x14ac:dyDescent="0.3">
      <c r="A4021" s="5" t="str">
        <f t="shared" si="443"/>
        <v>Nike</v>
      </c>
      <c r="B4021" s="5" t="str">
        <f t="shared" si="438"/>
        <v>Air Max 270</v>
      </c>
      <c r="C4021" s="3">
        <f t="shared" si="444"/>
        <v>45925</v>
      </c>
      <c r="D4021" s="4">
        <f t="shared" ca="1" si="439"/>
        <v>160</v>
      </c>
      <c r="E4021" s="2">
        <f t="shared" ca="1" si="440"/>
        <v>5830</v>
      </c>
      <c r="F4021" s="2">
        <f t="shared" ca="1" si="441"/>
        <v>16200</v>
      </c>
      <c r="G4021" s="2">
        <f t="shared" ca="1" si="442"/>
        <v>418</v>
      </c>
    </row>
    <row r="4022" spans="1:7" x14ac:dyDescent="0.3">
      <c r="A4022" s="5" t="str">
        <f t="shared" si="443"/>
        <v>Adidas</v>
      </c>
      <c r="B4022" s="5" t="str">
        <f t="shared" si="438"/>
        <v>Stan Smith</v>
      </c>
      <c r="C4022" s="3">
        <f t="shared" si="444"/>
        <v>45926</v>
      </c>
      <c r="D4022" s="4">
        <f t="shared" ca="1" si="439"/>
        <v>24</v>
      </c>
      <c r="E4022" s="2">
        <f t="shared" ca="1" si="440"/>
        <v>7218</v>
      </c>
      <c r="F4022" s="2">
        <f t="shared" ca="1" si="441"/>
        <v>10647</v>
      </c>
      <c r="G4022" s="2">
        <f t="shared" ca="1" si="442"/>
        <v>558</v>
      </c>
    </row>
    <row r="4023" spans="1:7" x14ac:dyDescent="0.3">
      <c r="A4023" s="5" t="str">
        <f t="shared" si="443"/>
        <v>Puma</v>
      </c>
      <c r="B4023" s="5" t="str">
        <f t="shared" si="438"/>
        <v>Cali Dream</v>
      </c>
      <c r="C4023" s="3">
        <f t="shared" si="444"/>
        <v>45926</v>
      </c>
      <c r="D4023" s="4">
        <f t="shared" ca="1" si="439"/>
        <v>237</v>
      </c>
      <c r="E4023" s="2">
        <f t="shared" ca="1" si="440"/>
        <v>4855</v>
      </c>
      <c r="F4023" s="2">
        <f t="shared" ca="1" si="441"/>
        <v>33597</v>
      </c>
      <c r="G4023" s="2">
        <f t="shared" ca="1" si="442"/>
        <v>2478</v>
      </c>
    </row>
    <row r="4024" spans="1:7" x14ac:dyDescent="0.3">
      <c r="A4024" s="5" t="str">
        <f t="shared" si="443"/>
        <v>New Balance</v>
      </c>
      <c r="B4024" s="5" t="str">
        <f t="shared" si="438"/>
        <v>9060</v>
      </c>
      <c r="C4024" s="3">
        <f t="shared" si="444"/>
        <v>45926</v>
      </c>
      <c r="D4024" s="4">
        <f t="shared" ca="1" si="439"/>
        <v>112</v>
      </c>
      <c r="E4024" s="2">
        <f t="shared" ca="1" si="440"/>
        <v>8980</v>
      </c>
      <c r="F4024" s="2">
        <f t="shared" ca="1" si="441"/>
        <v>8570</v>
      </c>
      <c r="G4024" s="2">
        <f t="shared" ca="1" si="442"/>
        <v>538</v>
      </c>
    </row>
    <row r="4025" spans="1:7" x14ac:dyDescent="0.3">
      <c r="A4025" s="5" t="str">
        <f t="shared" si="443"/>
        <v>Reebok</v>
      </c>
      <c r="B4025" s="5" t="str">
        <f t="shared" si="438"/>
        <v>Zig Kinetica</v>
      </c>
      <c r="C4025" s="3">
        <f t="shared" si="444"/>
        <v>45926</v>
      </c>
      <c r="D4025" s="4">
        <f t="shared" ca="1" si="439"/>
        <v>209</v>
      </c>
      <c r="E4025" s="2">
        <f t="shared" ca="1" si="440"/>
        <v>9172</v>
      </c>
      <c r="F4025" s="2">
        <f t="shared" ca="1" si="441"/>
        <v>14819</v>
      </c>
      <c r="G4025" s="2">
        <f t="shared" ca="1" si="442"/>
        <v>400</v>
      </c>
    </row>
    <row r="4026" spans="1:7" x14ac:dyDescent="0.3">
      <c r="A4026" s="5" t="str">
        <f t="shared" si="443"/>
        <v>Nike</v>
      </c>
      <c r="B4026" s="5" t="str">
        <f t="shared" si="438"/>
        <v>Jordan 1</v>
      </c>
      <c r="C4026" s="3">
        <f t="shared" si="444"/>
        <v>45926</v>
      </c>
      <c r="D4026" s="4">
        <f t="shared" ca="1" si="439"/>
        <v>219</v>
      </c>
      <c r="E4026" s="2">
        <f t="shared" ca="1" si="440"/>
        <v>3954</v>
      </c>
      <c r="F4026" s="2">
        <f t="shared" ca="1" si="441"/>
        <v>29862</v>
      </c>
      <c r="G4026" s="2">
        <f t="shared" ca="1" si="442"/>
        <v>1597</v>
      </c>
    </row>
    <row r="4027" spans="1:7" x14ac:dyDescent="0.3">
      <c r="A4027" s="5" t="str">
        <f t="shared" si="443"/>
        <v>Adidas</v>
      </c>
      <c r="B4027" s="5" t="str">
        <f t="shared" si="438"/>
        <v>Ultraboost 23</v>
      </c>
      <c r="C4027" s="3">
        <f t="shared" si="444"/>
        <v>45926</v>
      </c>
      <c r="D4027" s="4">
        <f t="shared" ca="1" si="439"/>
        <v>113</v>
      </c>
      <c r="E4027" s="2">
        <f t="shared" ca="1" si="440"/>
        <v>6369</v>
      </c>
      <c r="F4027" s="2">
        <f t="shared" ca="1" si="441"/>
        <v>6951</v>
      </c>
      <c r="G4027" s="2">
        <f t="shared" ca="1" si="442"/>
        <v>378</v>
      </c>
    </row>
    <row r="4028" spans="1:7" x14ac:dyDescent="0.3">
      <c r="A4028" s="5" t="str">
        <f t="shared" si="443"/>
        <v>Puma</v>
      </c>
      <c r="B4028" s="5" t="str">
        <f t="shared" si="438"/>
        <v>RS-X</v>
      </c>
      <c r="C4028" s="3">
        <f t="shared" si="444"/>
        <v>45926</v>
      </c>
      <c r="D4028" s="4">
        <f t="shared" ca="1" si="439"/>
        <v>175</v>
      </c>
      <c r="E4028" s="2">
        <f t="shared" ca="1" si="440"/>
        <v>5548</v>
      </c>
      <c r="F4028" s="2">
        <f t="shared" ca="1" si="441"/>
        <v>30900</v>
      </c>
      <c r="G4028" s="2">
        <f t="shared" ca="1" si="442"/>
        <v>2021</v>
      </c>
    </row>
    <row r="4029" spans="1:7" x14ac:dyDescent="0.3">
      <c r="A4029" s="5" t="str">
        <f t="shared" si="443"/>
        <v>New Balance</v>
      </c>
      <c r="B4029" s="5" t="str">
        <f t="shared" si="438"/>
        <v>2002R</v>
      </c>
      <c r="C4029" s="3">
        <f t="shared" si="444"/>
        <v>45926</v>
      </c>
      <c r="D4029" s="4">
        <f t="shared" ca="1" si="439"/>
        <v>238</v>
      </c>
      <c r="E4029" s="2">
        <f t="shared" ca="1" si="440"/>
        <v>10498</v>
      </c>
      <c r="F4029" s="2">
        <f t="shared" ca="1" si="441"/>
        <v>29295</v>
      </c>
      <c r="G4029" s="2">
        <f t="shared" ca="1" si="442"/>
        <v>1387</v>
      </c>
    </row>
    <row r="4030" spans="1:7" x14ac:dyDescent="0.3">
      <c r="A4030" s="5" t="str">
        <f t="shared" si="443"/>
        <v>Reebok</v>
      </c>
      <c r="B4030" s="5" t="str">
        <f t="shared" si="438"/>
        <v>Instapump Fury</v>
      </c>
      <c r="C4030" s="3">
        <f t="shared" si="444"/>
        <v>45926</v>
      </c>
      <c r="D4030" s="4">
        <f t="shared" ca="1" si="439"/>
        <v>131</v>
      </c>
      <c r="E4030" s="2">
        <f t="shared" ca="1" si="440"/>
        <v>3897</v>
      </c>
      <c r="F4030" s="2">
        <f t="shared" ca="1" si="441"/>
        <v>11641</v>
      </c>
      <c r="G4030" s="2">
        <f t="shared" ca="1" si="442"/>
        <v>313</v>
      </c>
    </row>
    <row r="4031" spans="1:7" x14ac:dyDescent="0.3">
      <c r="A4031" s="5" t="str">
        <f t="shared" si="443"/>
        <v>Nike</v>
      </c>
      <c r="B4031" s="5" t="str">
        <f t="shared" si="438"/>
        <v>Cortez</v>
      </c>
      <c r="C4031" s="3">
        <f t="shared" si="444"/>
        <v>45926</v>
      </c>
      <c r="D4031" s="4">
        <f t="shared" ca="1" si="439"/>
        <v>60</v>
      </c>
      <c r="E4031" s="2">
        <f t="shared" ca="1" si="440"/>
        <v>5772</v>
      </c>
      <c r="F4031" s="2">
        <f t="shared" ca="1" si="441"/>
        <v>9408</v>
      </c>
      <c r="G4031" s="2">
        <f t="shared" ca="1" si="442"/>
        <v>563</v>
      </c>
    </row>
    <row r="4032" spans="1:7" x14ac:dyDescent="0.3">
      <c r="A4032" s="5" t="str">
        <f t="shared" si="443"/>
        <v>Adidas</v>
      </c>
      <c r="B4032" s="5" t="str">
        <f t="shared" si="438"/>
        <v>NMD S1</v>
      </c>
      <c r="C4032" s="3">
        <f t="shared" si="444"/>
        <v>45926</v>
      </c>
      <c r="D4032" s="4">
        <f t="shared" ca="1" si="439"/>
        <v>195</v>
      </c>
      <c r="E4032" s="2">
        <f t="shared" ca="1" si="440"/>
        <v>4113</v>
      </c>
      <c r="F4032" s="2">
        <f t="shared" ca="1" si="441"/>
        <v>28940</v>
      </c>
      <c r="G4032" s="2">
        <f t="shared" ca="1" si="442"/>
        <v>2269</v>
      </c>
    </row>
    <row r="4033" spans="1:7" x14ac:dyDescent="0.3">
      <c r="A4033" s="5" t="str">
        <f t="shared" si="443"/>
        <v>Puma</v>
      </c>
      <c r="B4033" s="5" t="str">
        <f t="shared" si="438"/>
        <v>Suede Classic</v>
      </c>
      <c r="C4033" s="3">
        <f t="shared" si="444"/>
        <v>45926</v>
      </c>
      <c r="D4033" s="4">
        <f t="shared" ca="1" si="439"/>
        <v>22</v>
      </c>
      <c r="E4033" s="2">
        <f t="shared" ca="1" si="440"/>
        <v>9259</v>
      </c>
      <c r="F4033" s="2">
        <f t="shared" ca="1" si="441"/>
        <v>22566</v>
      </c>
      <c r="G4033" s="2">
        <f t="shared" ca="1" si="442"/>
        <v>732</v>
      </c>
    </row>
    <row r="4034" spans="1:7" x14ac:dyDescent="0.3">
      <c r="A4034" s="5" t="str">
        <f t="shared" si="443"/>
        <v>New Balance</v>
      </c>
      <c r="B4034" s="5" t="str">
        <f t="shared" si="438"/>
        <v>990v6</v>
      </c>
      <c r="C4034" s="3">
        <f t="shared" si="444"/>
        <v>45926</v>
      </c>
      <c r="D4034" s="4">
        <f t="shared" ca="1" si="439"/>
        <v>153</v>
      </c>
      <c r="E4034" s="2">
        <f t="shared" ca="1" si="440"/>
        <v>3619</v>
      </c>
      <c r="F4034" s="2">
        <f t="shared" ca="1" si="441"/>
        <v>34754</v>
      </c>
      <c r="G4034" s="2">
        <f t="shared" ca="1" si="442"/>
        <v>2554</v>
      </c>
    </row>
    <row r="4035" spans="1:7" x14ac:dyDescent="0.3">
      <c r="A4035" s="5" t="str">
        <f t="shared" si="443"/>
        <v>Reebok</v>
      </c>
      <c r="B4035" s="5" t="str">
        <f t="shared" ref="B4035:B4098" si="445">IF(A4035="Nike",CHOOSE(MOD(ROW(A4034),6)+1,"Air Max 270","Air Force 1","Pegasus 40","Vaporfly 3","Cortez","Jordan 1"),
 IF(A4035="Adidas",CHOOSE(MOD(ROW(A4034),6)+1,"Ultraboost 23","Stan Smith","Superstar","Gazelle","Samba","NMD S1"),
 IF(A4035="Puma",CHOOSE(MOD(ROW(A4034),6)+1,"Suede Classic","RS-X","Cali Dream","Rider Vintage","Slipstream","Mayze"),
 IF(A4035="New Balance",CHOOSE(MOD(ROW(A4034),6)+1,"574 Core","990v6","2002R","9060","327","550"),
 IF(A4035="Reebok",CHOOSE(MOD(ROW(A4034),6)+1,"Classic Leather","Club C 85","Nano X3","Instapump Fury","Zig Kinetica","Question Mid"),"")))))</f>
        <v>Nano X3</v>
      </c>
      <c r="C4035" s="3">
        <f t="shared" si="444"/>
        <v>45926</v>
      </c>
      <c r="D4035" s="4">
        <f t="shared" ref="D4035:D4098" ca="1" si="446">RANDBETWEEN(20,250)</f>
        <v>149</v>
      </c>
      <c r="E4035" s="2">
        <f t="shared" ref="E4035:E4098" ca="1" si="447">ROUND(RANDBETWEEN(1500,12000)+(RANDBETWEEN(-200,200)),2)</f>
        <v>2728</v>
      </c>
      <c r="F4035" s="2">
        <f t="shared" ref="F4035:F4098" ca="1" si="448">RANDBETWEEN(5000,35000)</f>
        <v>24904</v>
      </c>
      <c r="G4035" s="2">
        <f t="shared" ref="G4035:G4098" ca="1" si="449">RANDBETWEEN(ROUND(F4035*0.02,0),ROUND(F4035*0.08,0))</f>
        <v>1088</v>
      </c>
    </row>
    <row r="4036" spans="1:7" x14ac:dyDescent="0.3">
      <c r="A4036" s="5" t="str">
        <f t="shared" si="443"/>
        <v>Nike</v>
      </c>
      <c r="B4036" s="5" t="str">
        <f t="shared" si="445"/>
        <v>Vaporfly 3</v>
      </c>
      <c r="C4036" s="3">
        <f t="shared" si="444"/>
        <v>45926</v>
      </c>
      <c r="D4036" s="4">
        <f t="shared" ca="1" si="446"/>
        <v>155</v>
      </c>
      <c r="E4036" s="2">
        <f t="shared" ca="1" si="447"/>
        <v>8667</v>
      </c>
      <c r="F4036" s="2">
        <f t="shared" ca="1" si="448"/>
        <v>19168</v>
      </c>
      <c r="G4036" s="2">
        <f t="shared" ca="1" si="449"/>
        <v>632</v>
      </c>
    </row>
    <row r="4037" spans="1:7" x14ac:dyDescent="0.3">
      <c r="A4037" s="5" t="str">
        <f t="shared" si="443"/>
        <v>Adidas</v>
      </c>
      <c r="B4037" s="5" t="str">
        <f t="shared" si="445"/>
        <v>Samba</v>
      </c>
      <c r="C4037" s="3">
        <f t="shared" si="444"/>
        <v>45927</v>
      </c>
      <c r="D4037" s="4">
        <f t="shared" ca="1" si="446"/>
        <v>190</v>
      </c>
      <c r="E4037" s="2">
        <f t="shared" ca="1" si="447"/>
        <v>3440</v>
      </c>
      <c r="F4037" s="2">
        <f t="shared" ca="1" si="448"/>
        <v>23384</v>
      </c>
      <c r="G4037" s="2">
        <f t="shared" ca="1" si="449"/>
        <v>1191</v>
      </c>
    </row>
    <row r="4038" spans="1:7" x14ac:dyDescent="0.3">
      <c r="A4038" s="5" t="str">
        <f t="shared" si="443"/>
        <v>Puma</v>
      </c>
      <c r="B4038" s="5" t="str">
        <f t="shared" si="445"/>
        <v>Mayze</v>
      </c>
      <c r="C4038" s="3">
        <f t="shared" si="444"/>
        <v>45927</v>
      </c>
      <c r="D4038" s="4">
        <f t="shared" ca="1" si="446"/>
        <v>202</v>
      </c>
      <c r="E4038" s="2">
        <f t="shared" ca="1" si="447"/>
        <v>9800</v>
      </c>
      <c r="F4038" s="2">
        <f t="shared" ca="1" si="448"/>
        <v>31093</v>
      </c>
      <c r="G4038" s="2">
        <f t="shared" ca="1" si="449"/>
        <v>1115</v>
      </c>
    </row>
    <row r="4039" spans="1:7" x14ac:dyDescent="0.3">
      <c r="A4039" s="5" t="str">
        <f t="shared" si="443"/>
        <v>New Balance</v>
      </c>
      <c r="B4039" s="5" t="str">
        <f t="shared" si="445"/>
        <v>574 Core</v>
      </c>
      <c r="C4039" s="3">
        <f t="shared" si="444"/>
        <v>45927</v>
      </c>
      <c r="D4039" s="4">
        <f t="shared" ca="1" si="446"/>
        <v>169</v>
      </c>
      <c r="E4039" s="2">
        <f t="shared" ca="1" si="447"/>
        <v>11492</v>
      </c>
      <c r="F4039" s="2">
        <f t="shared" ca="1" si="448"/>
        <v>33462</v>
      </c>
      <c r="G4039" s="2">
        <f t="shared" ca="1" si="449"/>
        <v>1994</v>
      </c>
    </row>
    <row r="4040" spans="1:7" x14ac:dyDescent="0.3">
      <c r="A4040" s="5" t="str">
        <f t="shared" si="443"/>
        <v>Reebok</v>
      </c>
      <c r="B4040" s="5" t="str">
        <f t="shared" si="445"/>
        <v>Club C 85</v>
      </c>
      <c r="C4040" s="3">
        <f t="shared" si="444"/>
        <v>45927</v>
      </c>
      <c r="D4040" s="4">
        <f t="shared" ca="1" si="446"/>
        <v>70</v>
      </c>
      <c r="E4040" s="2">
        <f t="shared" ca="1" si="447"/>
        <v>8857</v>
      </c>
      <c r="F4040" s="2">
        <f t="shared" ca="1" si="448"/>
        <v>17347</v>
      </c>
      <c r="G4040" s="2">
        <f t="shared" ca="1" si="449"/>
        <v>756</v>
      </c>
    </row>
    <row r="4041" spans="1:7" x14ac:dyDescent="0.3">
      <c r="A4041" s="5" t="str">
        <f t="shared" si="443"/>
        <v>Nike</v>
      </c>
      <c r="B4041" s="5" t="str">
        <f t="shared" si="445"/>
        <v>Pegasus 40</v>
      </c>
      <c r="C4041" s="3">
        <f t="shared" si="444"/>
        <v>45927</v>
      </c>
      <c r="D4041" s="4">
        <f t="shared" ca="1" si="446"/>
        <v>201</v>
      </c>
      <c r="E4041" s="2">
        <f t="shared" ca="1" si="447"/>
        <v>7912</v>
      </c>
      <c r="F4041" s="2">
        <f t="shared" ca="1" si="448"/>
        <v>11227</v>
      </c>
      <c r="G4041" s="2">
        <f t="shared" ca="1" si="449"/>
        <v>446</v>
      </c>
    </row>
    <row r="4042" spans="1:7" x14ac:dyDescent="0.3">
      <c r="A4042" s="5" t="str">
        <f t="shared" si="443"/>
        <v>Adidas</v>
      </c>
      <c r="B4042" s="5" t="str">
        <f t="shared" si="445"/>
        <v>Gazelle</v>
      </c>
      <c r="C4042" s="3">
        <f t="shared" si="444"/>
        <v>45927</v>
      </c>
      <c r="D4042" s="4">
        <f t="shared" ca="1" si="446"/>
        <v>201</v>
      </c>
      <c r="E4042" s="2">
        <f t="shared" ca="1" si="447"/>
        <v>10323</v>
      </c>
      <c r="F4042" s="2">
        <f t="shared" ca="1" si="448"/>
        <v>29908</v>
      </c>
      <c r="G4042" s="2">
        <f t="shared" ca="1" si="449"/>
        <v>2149</v>
      </c>
    </row>
    <row r="4043" spans="1:7" x14ac:dyDescent="0.3">
      <c r="A4043" s="5" t="str">
        <f t="shared" si="443"/>
        <v>Puma</v>
      </c>
      <c r="B4043" s="5" t="str">
        <f t="shared" si="445"/>
        <v>Slipstream</v>
      </c>
      <c r="C4043" s="3">
        <f t="shared" si="444"/>
        <v>45927</v>
      </c>
      <c r="D4043" s="4">
        <f t="shared" ca="1" si="446"/>
        <v>78</v>
      </c>
      <c r="E4043" s="2">
        <f t="shared" ca="1" si="447"/>
        <v>4765</v>
      </c>
      <c r="F4043" s="2">
        <f t="shared" ca="1" si="448"/>
        <v>29893</v>
      </c>
      <c r="G4043" s="2">
        <f t="shared" ca="1" si="449"/>
        <v>1455</v>
      </c>
    </row>
    <row r="4044" spans="1:7" x14ac:dyDescent="0.3">
      <c r="A4044" s="5" t="str">
        <f t="shared" si="443"/>
        <v>New Balance</v>
      </c>
      <c r="B4044" s="5" t="str">
        <f t="shared" si="445"/>
        <v>550</v>
      </c>
      <c r="C4044" s="3">
        <f t="shared" si="444"/>
        <v>45927</v>
      </c>
      <c r="D4044" s="4">
        <f t="shared" ca="1" si="446"/>
        <v>238</v>
      </c>
      <c r="E4044" s="2">
        <f t="shared" ca="1" si="447"/>
        <v>5331</v>
      </c>
      <c r="F4044" s="2">
        <f t="shared" ca="1" si="448"/>
        <v>8129</v>
      </c>
      <c r="G4044" s="2">
        <f t="shared" ca="1" si="449"/>
        <v>253</v>
      </c>
    </row>
    <row r="4045" spans="1:7" x14ac:dyDescent="0.3">
      <c r="A4045" s="5" t="str">
        <f t="shared" si="443"/>
        <v>Reebok</v>
      </c>
      <c r="B4045" s="5" t="str">
        <f t="shared" si="445"/>
        <v>Classic Leather</v>
      </c>
      <c r="C4045" s="3">
        <f t="shared" si="444"/>
        <v>45927</v>
      </c>
      <c r="D4045" s="4">
        <f t="shared" ca="1" si="446"/>
        <v>32</v>
      </c>
      <c r="E4045" s="2">
        <f t="shared" ca="1" si="447"/>
        <v>7072</v>
      </c>
      <c r="F4045" s="2">
        <f t="shared" ca="1" si="448"/>
        <v>14594</v>
      </c>
      <c r="G4045" s="2">
        <f t="shared" ca="1" si="449"/>
        <v>984</v>
      </c>
    </row>
    <row r="4046" spans="1:7" x14ac:dyDescent="0.3">
      <c r="A4046" s="5" t="str">
        <f t="shared" si="443"/>
        <v>Nike</v>
      </c>
      <c r="B4046" s="5" t="str">
        <f t="shared" si="445"/>
        <v>Air Force 1</v>
      </c>
      <c r="C4046" s="3">
        <f t="shared" si="444"/>
        <v>45927</v>
      </c>
      <c r="D4046" s="4">
        <f t="shared" ca="1" si="446"/>
        <v>213</v>
      </c>
      <c r="E4046" s="2">
        <f t="shared" ca="1" si="447"/>
        <v>11304</v>
      </c>
      <c r="F4046" s="2">
        <f t="shared" ca="1" si="448"/>
        <v>11114</v>
      </c>
      <c r="G4046" s="2">
        <f t="shared" ca="1" si="449"/>
        <v>613</v>
      </c>
    </row>
    <row r="4047" spans="1:7" x14ac:dyDescent="0.3">
      <c r="A4047" s="5" t="str">
        <f t="shared" si="443"/>
        <v>Adidas</v>
      </c>
      <c r="B4047" s="5" t="str">
        <f t="shared" si="445"/>
        <v>Superstar</v>
      </c>
      <c r="C4047" s="3">
        <f t="shared" si="444"/>
        <v>45927</v>
      </c>
      <c r="D4047" s="4">
        <f t="shared" ca="1" si="446"/>
        <v>244</v>
      </c>
      <c r="E4047" s="2">
        <f t="shared" ca="1" si="447"/>
        <v>1857</v>
      </c>
      <c r="F4047" s="2">
        <f t="shared" ca="1" si="448"/>
        <v>34018</v>
      </c>
      <c r="G4047" s="2">
        <f t="shared" ca="1" si="449"/>
        <v>2110</v>
      </c>
    </row>
    <row r="4048" spans="1:7" x14ac:dyDescent="0.3">
      <c r="A4048" s="5" t="str">
        <f t="shared" si="443"/>
        <v>Puma</v>
      </c>
      <c r="B4048" s="5" t="str">
        <f t="shared" si="445"/>
        <v>Rider Vintage</v>
      </c>
      <c r="C4048" s="3">
        <f t="shared" si="444"/>
        <v>45927</v>
      </c>
      <c r="D4048" s="4">
        <f t="shared" ca="1" si="446"/>
        <v>178</v>
      </c>
      <c r="E4048" s="2">
        <f t="shared" ca="1" si="447"/>
        <v>11538</v>
      </c>
      <c r="F4048" s="2">
        <f t="shared" ca="1" si="448"/>
        <v>27298</v>
      </c>
      <c r="G4048" s="2">
        <f t="shared" ca="1" si="449"/>
        <v>1979</v>
      </c>
    </row>
    <row r="4049" spans="1:7" x14ac:dyDescent="0.3">
      <c r="A4049" s="5" t="str">
        <f t="shared" si="443"/>
        <v>New Balance</v>
      </c>
      <c r="B4049" s="5" t="str">
        <f t="shared" si="445"/>
        <v>327</v>
      </c>
      <c r="C4049" s="3">
        <f t="shared" si="444"/>
        <v>45927</v>
      </c>
      <c r="D4049" s="4">
        <f t="shared" ca="1" si="446"/>
        <v>84</v>
      </c>
      <c r="E4049" s="2">
        <f t="shared" ca="1" si="447"/>
        <v>5461</v>
      </c>
      <c r="F4049" s="2">
        <f t="shared" ca="1" si="448"/>
        <v>19396</v>
      </c>
      <c r="G4049" s="2">
        <f t="shared" ca="1" si="449"/>
        <v>1368</v>
      </c>
    </row>
    <row r="4050" spans="1:7" x14ac:dyDescent="0.3">
      <c r="A4050" s="5" t="str">
        <f t="shared" si="443"/>
        <v>Reebok</v>
      </c>
      <c r="B4050" s="5" t="str">
        <f t="shared" si="445"/>
        <v>Question Mid</v>
      </c>
      <c r="C4050" s="3">
        <f t="shared" si="444"/>
        <v>45927</v>
      </c>
      <c r="D4050" s="4">
        <f t="shared" ca="1" si="446"/>
        <v>145</v>
      </c>
      <c r="E4050" s="2">
        <f t="shared" ca="1" si="447"/>
        <v>1957</v>
      </c>
      <c r="F4050" s="2">
        <f t="shared" ca="1" si="448"/>
        <v>22824</v>
      </c>
      <c r="G4050" s="2">
        <f t="shared" ca="1" si="449"/>
        <v>700</v>
      </c>
    </row>
    <row r="4051" spans="1:7" x14ac:dyDescent="0.3">
      <c r="A4051" s="5" t="str">
        <f t="shared" si="443"/>
        <v>Nike</v>
      </c>
      <c r="B4051" s="5" t="str">
        <f t="shared" si="445"/>
        <v>Air Max 270</v>
      </c>
      <c r="C4051" s="3">
        <f t="shared" si="444"/>
        <v>45927</v>
      </c>
      <c r="D4051" s="4">
        <f t="shared" ca="1" si="446"/>
        <v>83</v>
      </c>
      <c r="E4051" s="2">
        <f t="shared" ca="1" si="447"/>
        <v>6316</v>
      </c>
      <c r="F4051" s="2">
        <f t="shared" ca="1" si="448"/>
        <v>32508</v>
      </c>
      <c r="G4051" s="2">
        <f t="shared" ca="1" si="449"/>
        <v>2289</v>
      </c>
    </row>
    <row r="4052" spans="1:7" x14ac:dyDescent="0.3">
      <c r="A4052" s="5" t="str">
        <f t="shared" si="443"/>
        <v>Adidas</v>
      </c>
      <c r="B4052" s="5" t="str">
        <f t="shared" si="445"/>
        <v>Stan Smith</v>
      </c>
      <c r="C4052" s="3">
        <f t="shared" si="444"/>
        <v>45928</v>
      </c>
      <c r="D4052" s="4">
        <f t="shared" ca="1" si="446"/>
        <v>121</v>
      </c>
      <c r="E4052" s="2">
        <f t="shared" ca="1" si="447"/>
        <v>4338</v>
      </c>
      <c r="F4052" s="2">
        <f t="shared" ca="1" si="448"/>
        <v>9655</v>
      </c>
      <c r="G4052" s="2">
        <f t="shared" ca="1" si="449"/>
        <v>393</v>
      </c>
    </row>
    <row r="4053" spans="1:7" x14ac:dyDescent="0.3">
      <c r="A4053" s="5" t="str">
        <f t="shared" si="443"/>
        <v>Puma</v>
      </c>
      <c r="B4053" s="5" t="str">
        <f t="shared" si="445"/>
        <v>Cali Dream</v>
      </c>
      <c r="C4053" s="3">
        <f t="shared" si="444"/>
        <v>45928</v>
      </c>
      <c r="D4053" s="4">
        <f t="shared" ca="1" si="446"/>
        <v>149</v>
      </c>
      <c r="E4053" s="2">
        <f t="shared" ca="1" si="447"/>
        <v>7005</v>
      </c>
      <c r="F4053" s="2">
        <f t="shared" ca="1" si="448"/>
        <v>31181</v>
      </c>
      <c r="G4053" s="2">
        <f t="shared" ca="1" si="449"/>
        <v>2404</v>
      </c>
    </row>
    <row r="4054" spans="1:7" x14ac:dyDescent="0.3">
      <c r="A4054" s="5" t="str">
        <f t="shared" si="443"/>
        <v>New Balance</v>
      </c>
      <c r="B4054" s="5" t="str">
        <f t="shared" si="445"/>
        <v>9060</v>
      </c>
      <c r="C4054" s="3">
        <f t="shared" si="444"/>
        <v>45928</v>
      </c>
      <c r="D4054" s="4">
        <f t="shared" ca="1" si="446"/>
        <v>68</v>
      </c>
      <c r="E4054" s="2">
        <f t="shared" ca="1" si="447"/>
        <v>3744</v>
      </c>
      <c r="F4054" s="2">
        <f t="shared" ca="1" si="448"/>
        <v>18928</v>
      </c>
      <c r="G4054" s="2">
        <f t="shared" ca="1" si="449"/>
        <v>692</v>
      </c>
    </row>
    <row r="4055" spans="1:7" x14ac:dyDescent="0.3">
      <c r="A4055" s="5" t="str">
        <f t="shared" si="443"/>
        <v>Reebok</v>
      </c>
      <c r="B4055" s="5" t="str">
        <f t="shared" si="445"/>
        <v>Zig Kinetica</v>
      </c>
      <c r="C4055" s="3">
        <f t="shared" si="444"/>
        <v>45928</v>
      </c>
      <c r="D4055" s="4">
        <f t="shared" ca="1" si="446"/>
        <v>122</v>
      </c>
      <c r="E4055" s="2">
        <f t="shared" ca="1" si="447"/>
        <v>9472</v>
      </c>
      <c r="F4055" s="2">
        <f t="shared" ca="1" si="448"/>
        <v>12687</v>
      </c>
      <c r="G4055" s="2">
        <f t="shared" ca="1" si="449"/>
        <v>901</v>
      </c>
    </row>
    <row r="4056" spans="1:7" x14ac:dyDescent="0.3">
      <c r="A4056" s="5" t="str">
        <f t="shared" si="443"/>
        <v>Nike</v>
      </c>
      <c r="B4056" s="5" t="str">
        <f t="shared" si="445"/>
        <v>Jordan 1</v>
      </c>
      <c r="C4056" s="3">
        <f t="shared" si="444"/>
        <v>45928</v>
      </c>
      <c r="D4056" s="4">
        <f t="shared" ca="1" si="446"/>
        <v>120</v>
      </c>
      <c r="E4056" s="2">
        <f t="shared" ca="1" si="447"/>
        <v>5072</v>
      </c>
      <c r="F4056" s="2">
        <f t="shared" ca="1" si="448"/>
        <v>27378</v>
      </c>
      <c r="G4056" s="2">
        <f t="shared" ca="1" si="449"/>
        <v>828</v>
      </c>
    </row>
    <row r="4057" spans="1:7" x14ac:dyDescent="0.3">
      <c r="A4057" s="5" t="str">
        <f t="shared" si="443"/>
        <v>Adidas</v>
      </c>
      <c r="B4057" s="5" t="str">
        <f t="shared" si="445"/>
        <v>Ultraboost 23</v>
      </c>
      <c r="C4057" s="3">
        <f t="shared" si="444"/>
        <v>45928</v>
      </c>
      <c r="D4057" s="4">
        <f t="shared" ca="1" si="446"/>
        <v>75</v>
      </c>
      <c r="E4057" s="2">
        <f t="shared" ca="1" si="447"/>
        <v>3289</v>
      </c>
      <c r="F4057" s="2">
        <f t="shared" ca="1" si="448"/>
        <v>30524</v>
      </c>
      <c r="G4057" s="2">
        <f t="shared" ca="1" si="449"/>
        <v>1899</v>
      </c>
    </row>
    <row r="4058" spans="1:7" x14ac:dyDescent="0.3">
      <c r="A4058" s="5" t="str">
        <f t="shared" si="443"/>
        <v>Puma</v>
      </c>
      <c r="B4058" s="5" t="str">
        <f t="shared" si="445"/>
        <v>RS-X</v>
      </c>
      <c r="C4058" s="3">
        <f t="shared" si="444"/>
        <v>45928</v>
      </c>
      <c r="D4058" s="4">
        <f t="shared" ca="1" si="446"/>
        <v>196</v>
      </c>
      <c r="E4058" s="2">
        <f t="shared" ca="1" si="447"/>
        <v>3687</v>
      </c>
      <c r="F4058" s="2">
        <f t="shared" ca="1" si="448"/>
        <v>22106</v>
      </c>
      <c r="G4058" s="2">
        <f t="shared" ca="1" si="449"/>
        <v>557</v>
      </c>
    </row>
    <row r="4059" spans="1:7" x14ac:dyDescent="0.3">
      <c r="A4059" s="5" t="str">
        <f t="shared" si="443"/>
        <v>New Balance</v>
      </c>
      <c r="B4059" s="5" t="str">
        <f t="shared" si="445"/>
        <v>2002R</v>
      </c>
      <c r="C4059" s="3">
        <f t="shared" si="444"/>
        <v>45928</v>
      </c>
      <c r="D4059" s="4">
        <f t="shared" ca="1" si="446"/>
        <v>67</v>
      </c>
      <c r="E4059" s="2">
        <f t="shared" ca="1" si="447"/>
        <v>4912</v>
      </c>
      <c r="F4059" s="2">
        <f t="shared" ca="1" si="448"/>
        <v>17146</v>
      </c>
      <c r="G4059" s="2">
        <f t="shared" ca="1" si="449"/>
        <v>525</v>
      </c>
    </row>
    <row r="4060" spans="1:7" x14ac:dyDescent="0.3">
      <c r="A4060" s="5" t="str">
        <f t="shared" si="443"/>
        <v>Reebok</v>
      </c>
      <c r="B4060" s="5" t="str">
        <f t="shared" si="445"/>
        <v>Instapump Fury</v>
      </c>
      <c r="C4060" s="3">
        <f t="shared" si="444"/>
        <v>45928</v>
      </c>
      <c r="D4060" s="4">
        <f t="shared" ca="1" si="446"/>
        <v>51</v>
      </c>
      <c r="E4060" s="2">
        <f t="shared" ca="1" si="447"/>
        <v>4541</v>
      </c>
      <c r="F4060" s="2">
        <f t="shared" ca="1" si="448"/>
        <v>5988</v>
      </c>
      <c r="G4060" s="2">
        <f t="shared" ca="1" si="449"/>
        <v>223</v>
      </c>
    </row>
    <row r="4061" spans="1:7" x14ac:dyDescent="0.3">
      <c r="A4061" s="5" t="str">
        <f t="shared" si="443"/>
        <v>Nike</v>
      </c>
      <c r="B4061" s="5" t="str">
        <f t="shared" si="445"/>
        <v>Cortez</v>
      </c>
      <c r="C4061" s="3">
        <f t="shared" si="444"/>
        <v>45928</v>
      </c>
      <c r="D4061" s="4">
        <f t="shared" ca="1" si="446"/>
        <v>57</v>
      </c>
      <c r="E4061" s="2">
        <f t="shared" ca="1" si="447"/>
        <v>7112</v>
      </c>
      <c r="F4061" s="2">
        <f t="shared" ca="1" si="448"/>
        <v>16648</v>
      </c>
      <c r="G4061" s="2">
        <f t="shared" ca="1" si="449"/>
        <v>560</v>
      </c>
    </row>
    <row r="4062" spans="1:7" x14ac:dyDescent="0.3">
      <c r="A4062" s="5" t="str">
        <f t="shared" si="443"/>
        <v>Adidas</v>
      </c>
      <c r="B4062" s="5" t="str">
        <f t="shared" si="445"/>
        <v>NMD S1</v>
      </c>
      <c r="C4062" s="3">
        <f t="shared" si="444"/>
        <v>45928</v>
      </c>
      <c r="D4062" s="4">
        <f t="shared" ca="1" si="446"/>
        <v>138</v>
      </c>
      <c r="E4062" s="2">
        <f t="shared" ca="1" si="447"/>
        <v>5002</v>
      </c>
      <c r="F4062" s="2">
        <f t="shared" ca="1" si="448"/>
        <v>30868</v>
      </c>
      <c r="G4062" s="2">
        <f t="shared" ca="1" si="449"/>
        <v>1039</v>
      </c>
    </row>
    <row r="4063" spans="1:7" x14ac:dyDescent="0.3">
      <c r="A4063" s="5" t="str">
        <f t="shared" si="443"/>
        <v>Puma</v>
      </c>
      <c r="B4063" s="5" t="str">
        <f t="shared" si="445"/>
        <v>Suede Classic</v>
      </c>
      <c r="C4063" s="3">
        <f t="shared" si="444"/>
        <v>45928</v>
      </c>
      <c r="D4063" s="4">
        <f t="shared" ca="1" si="446"/>
        <v>101</v>
      </c>
      <c r="E4063" s="2">
        <f t="shared" ca="1" si="447"/>
        <v>11639</v>
      </c>
      <c r="F4063" s="2">
        <f t="shared" ca="1" si="448"/>
        <v>31681</v>
      </c>
      <c r="G4063" s="2">
        <f t="shared" ca="1" si="449"/>
        <v>2137</v>
      </c>
    </row>
    <row r="4064" spans="1:7" x14ac:dyDescent="0.3">
      <c r="A4064" s="5" t="str">
        <f t="shared" si="443"/>
        <v>New Balance</v>
      </c>
      <c r="B4064" s="5" t="str">
        <f t="shared" si="445"/>
        <v>990v6</v>
      </c>
      <c r="C4064" s="3">
        <f t="shared" si="444"/>
        <v>45928</v>
      </c>
      <c r="D4064" s="4">
        <f t="shared" ca="1" si="446"/>
        <v>22</v>
      </c>
      <c r="E4064" s="2">
        <f t="shared" ca="1" si="447"/>
        <v>3491</v>
      </c>
      <c r="F4064" s="2">
        <f t="shared" ca="1" si="448"/>
        <v>5776</v>
      </c>
      <c r="G4064" s="2">
        <f t="shared" ca="1" si="449"/>
        <v>395</v>
      </c>
    </row>
    <row r="4065" spans="1:7" x14ac:dyDescent="0.3">
      <c r="A4065" s="5" t="str">
        <f t="shared" si="443"/>
        <v>Reebok</v>
      </c>
      <c r="B4065" s="5" t="str">
        <f t="shared" si="445"/>
        <v>Nano X3</v>
      </c>
      <c r="C4065" s="3">
        <f t="shared" si="444"/>
        <v>45928</v>
      </c>
      <c r="D4065" s="4">
        <f t="shared" ca="1" si="446"/>
        <v>108</v>
      </c>
      <c r="E4065" s="2">
        <f t="shared" ca="1" si="447"/>
        <v>7682</v>
      </c>
      <c r="F4065" s="2">
        <f t="shared" ca="1" si="448"/>
        <v>16447</v>
      </c>
      <c r="G4065" s="2">
        <f t="shared" ca="1" si="449"/>
        <v>813</v>
      </c>
    </row>
    <row r="4066" spans="1:7" x14ac:dyDescent="0.3">
      <c r="A4066" s="5" t="str">
        <f t="shared" si="443"/>
        <v>Nike</v>
      </c>
      <c r="B4066" s="5" t="str">
        <f t="shared" si="445"/>
        <v>Vaporfly 3</v>
      </c>
      <c r="C4066" s="3">
        <f t="shared" si="444"/>
        <v>45928</v>
      </c>
      <c r="D4066" s="4">
        <f t="shared" ca="1" si="446"/>
        <v>232</v>
      </c>
      <c r="E4066" s="2">
        <f t="shared" ca="1" si="447"/>
        <v>8169</v>
      </c>
      <c r="F4066" s="2">
        <f t="shared" ca="1" si="448"/>
        <v>24228</v>
      </c>
      <c r="G4066" s="2">
        <f t="shared" ca="1" si="449"/>
        <v>1288</v>
      </c>
    </row>
    <row r="4067" spans="1:7" x14ac:dyDescent="0.3">
      <c r="A4067" s="5" t="str">
        <f t="shared" si="443"/>
        <v>Adidas</v>
      </c>
      <c r="B4067" s="5" t="str">
        <f t="shared" si="445"/>
        <v>Samba</v>
      </c>
      <c r="C4067" s="3">
        <f t="shared" si="444"/>
        <v>45929</v>
      </c>
      <c r="D4067" s="4">
        <f t="shared" ca="1" si="446"/>
        <v>218</v>
      </c>
      <c r="E4067" s="2">
        <f t="shared" ca="1" si="447"/>
        <v>5086</v>
      </c>
      <c r="F4067" s="2">
        <f t="shared" ca="1" si="448"/>
        <v>24418</v>
      </c>
      <c r="G4067" s="2">
        <f t="shared" ca="1" si="449"/>
        <v>1734</v>
      </c>
    </row>
    <row r="4068" spans="1:7" x14ac:dyDescent="0.3">
      <c r="A4068" s="5" t="str">
        <f t="shared" si="443"/>
        <v>Puma</v>
      </c>
      <c r="B4068" s="5" t="str">
        <f t="shared" si="445"/>
        <v>Mayze</v>
      </c>
      <c r="C4068" s="3">
        <f t="shared" si="444"/>
        <v>45929</v>
      </c>
      <c r="D4068" s="4">
        <f t="shared" ca="1" si="446"/>
        <v>74</v>
      </c>
      <c r="E4068" s="2">
        <f t="shared" ca="1" si="447"/>
        <v>11556</v>
      </c>
      <c r="F4068" s="2">
        <f t="shared" ca="1" si="448"/>
        <v>18290</v>
      </c>
      <c r="G4068" s="2">
        <f t="shared" ca="1" si="449"/>
        <v>1242</v>
      </c>
    </row>
    <row r="4069" spans="1:7" x14ac:dyDescent="0.3">
      <c r="A4069" s="5" t="str">
        <f t="shared" si="443"/>
        <v>New Balance</v>
      </c>
      <c r="B4069" s="5" t="str">
        <f t="shared" si="445"/>
        <v>574 Core</v>
      </c>
      <c r="C4069" s="3">
        <f t="shared" si="444"/>
        <v>45929</v>
      </c>
      <c r="D4069" s="4">
        <f t="shared" ca="1" si="446"/>
        <v>191</v>
      </c>
      <c r="E4069" s="2">
        <f t="shared" ca="1" si="447"/>
        <v>9197</v>
      </c>
      <c r="F4069" s="2">
        <f t="shared" ca="1" si="448"/>
        <v>28520</v>
      </c>
      <c r="G4069" s="2">
        <f t="shared" ca="1" si="449"/>
        <v>2057</v>
      </c>
    </row>
    <row r="4070" spans="1:7" x14ac:dyDescent="0.3">
      <c r="A4070" s="5" t="str">
        <f t="shared" si="443"/>
        <v>Reebok</v>
      </c>
      <c r="B4070" s="5" t="str">
        <f t="shared" si="445"/>
        <v>Club C 85</v>
      </c>
      <c r="C4070" s="3">
        <f t="shared" si="444"/>
        <v>45929</v>
      </c>
      <c r="D4070" s="4">
        <f t="shared" ca="1" si="446"/>
        <v>235</v>
      </c>
      <c r="E4070" s="2">
        <f t="shared" ca="1" si="447"/>
        <v>2003</v>
      </c>
      <c r="F4070" s="2">
        <f t="shared" ca="1" si="448"/>
        <v>10893</v>
      </c>
      <c r="G4070" s="2">
        <f t="shared" ca="1" si="449"/>
        <v>835</v>
      </c>
    </row>
    <row r="4071" spans="1:7" x14ac:dyDescent="0.3">
      <c r="A4071" s="5" t="str">
        <f t="shared" si="443"/>
        <v>Nike</v>
      </c>
      <c r="B4071" s="5" t="str">
        <f t="shared" si="445"/>
        <v>Pegasus 40</v>
      </c>
      <c r="C4071" s="3">
        <f t="shared" si="444"/>
        <v>45929</v>
      </c>
      <c r="D4071" s="4">
        <f t="shared" ca="1" si="446"/>
        <v>210</v>
      </c>
      <c r="E4071" s="2">
        <f t="shared" ca="1" si="447"/>
        <v>9679</v>
      </c>
      <c r="F4071" s="2">
        <f t="shared" ca="1" si="448"/>
        <v>11504</v>
      </c>
      <c r="G4071" s="2">
        <f t="shared" ca="1" si="449"/>
        <v>896</v>
      </c>
    </row>
    <row r="4072" spans="1:7" x14ac:dyDescent="0.3">
      <c r="A4072" s="5" t="str">
        <f t="shared" si="443"/>
        <v>Adidas</v>
      </c>
      <c r="B4072" s="5" t="str">
        <f t="shared" si="445"/>
        <v>Gazelle</v>
      </c>
      <c r="C4072" s="3">
        <f t="shared" si="444"/>
        <v>45929</v>
      </c>
      <c r="D4072" s="4">
        <f t="shared" ca="1" si="446"/>
        <v>25</v>
      </c>
      <c r="E4072" s="2">
        <f t="shared" ca="1" si="447"/>
        <v>3709</v>
      </c>
      <c r="F4072" s="2">
        <f t="shared" ca="1" si="448"/>
        <v>33385</v>
      </c>
      <c r="G4072" s="2">
        <f t="shared" ca="1" si="449"/>
        <v>1034</v>
      </c>
    </row>
    <row r="4073" spans="1:7" x14ac:dyDescent="0.3">
      <c r="A4073" s="5" t="str">
        <f t="shared" si="443"/>
        <v>Puma</v>
      </c>
      <c r="B4073" s="5" t="str">
        <f t="shared" si="445"/>
        <v>Slipstream</v>
      </c>
      <c r="C4073" s="3">
        <f t="shared" si="444"/>
        <v>45929</v>
      </c>
      <c r="D4073" s="4">
        <f t="shared" ca="1" si="446"/>
        <v>175</v>
      </c>
      <c r="E4073" s="2">
        <f t="shared" ca="1" si="447"/>
        <v>8534</v>
      </c>
      <c r="F4073" s="2">
        <f t="shared" ca="1" si="448"/>
        <v>7269</v>
      </c>
      <c r="G4073" s="2">
        <f t="shared" ca="1" si="449"/>
        <v>234</v>
      </c>
    </row>
    <row r="4074" spans="1:7" x14ac:dyDescent="0.3">
      <c r="A4074" s="5" t="str">
        <f t="shared" si="443"/>
        <v>New Balance</v>
      </c>
      <c r="B4074" s="5" t="str">
        <f t="shared" si="445"/>
        <v>550</v>
      </c>
      <c r="C4074" s="3">
        <f t="shared" si="444"/>
        <v>45929</v>
      </c>
      <c r="D4074" s="4">
        <f t="shared" ca="1" si="446"/>
        <v>206</v>
      </c>
      <c r="E4074" s="2">
        <f t="shared" ca="1" si="447"/>
        <v>2036</v>
      </c>
      <c r="F4074" s="2">
        <f t="shared" ca="1" si="448"/>
        <v>29935</v>
      </c>
      <c r="G4074" s="2">
        <f t="shared" ca="1" si="449"/>
        <v>861</v>
      </c>
    </row>
    <row r="4075" spans="1:7" x14ac:dyDescent="0.3">
      <c r="A4075" s="5" t="str">
        <f t="shared" ref="A4075:A4138" si="450">CHOOSE(MOD(ROW(A4074),5)+1,"Nike","Adidas","Puma","New Balance","Reebok")</f>
        <v>Reebok</v>
      </c>
      <c r="B4075" s="5" t="str">
        <f t="shared" si="445"/>
        <v>Classic Leather</v>
      </c>
      <c r="C4075" s="3">
        <f t="shared" ref="C4075:C4138" si="451">DATE(2025,1,1)+INT((ROW(A4075)-2)/15)</f>
        <v>45929</v>
      </c>
      <c r="D4075" s="4">
        <f t="shared" ca="1" si="446"/>
        <v>57</v>
      </c>
      <c r="E4075" s="2">
        <f t="shared" ca="1" si="447"/>
        <v>3799</v>
      </c>
      <c r="F4075" s="2">
        <f t="shared" ca="1" si="448"/>
        <v>25575</v>
      </c>
      <c r="G4075" s="2">
        <f t="shared" ca="1" si="449"/>
        <v>585</v>
      </c>
    </row>
    <row r="4076" spans="1:7" x14ac:dyDescent="0.3">
      <c r="A4076" s="5" t="str">
        <f t="shared" si="450"/>
        <v>Nike</v>
      </c>
      <c r="B4076" s="5" t="str">
        <f t="shared" si="445"/>
        <v>Air Force 1</v>
      </c>
      <c r="C4076" s="3">
        <f t="shared" si="451"/>
        <v>45929</v>
      </c>
      <c r="D4076" s="4">
        <f t="shared" ca="1" si="446"/>
        <v>228</v>
      </c>
      <c r="E4076" s="2">
        <f t="shared" ca="1" si="447"/>
        <v>6316</v>
      </c>
      <c r="F4076" s="2">
        <f t="shared" ca="1" si="448"/>
        <v>22177</v>
      </c>
      <c r="G4076" s="2">
        <f t="shared" ca="1" si="449"/>
        <v>944</v>
      </c>
    </row>
    <row r="4077" spans="1:7" x14ac:dyDescent="0.3">
      <c r="A4077" s="5" t="str">
        <f t="shared" si="450"/>
        <v>Adidas</v>
      </c>
      <c r="B4077" s="5" t="str">
        <f t="shared" si="445"/>
        <v>Superstar</v>
      </c>
      <c r="C4077" s="3">
        <f t="shared" si="451"/>
        <v>45929</v>
      </c>
      <c r="D4077" s="4">
        <f t="shared" ca="1" si="446"/>
        <v>108</v>
      </c>
      <c r="E4077" s="2">
        <f t="shared" ca="1" si="447"/>
        <v>5979</v>
      </c>
      <c r="F4077" s="2">
        <f t="shared" ca="1" si="448"/>
        <v>21875</v>
      </c>
      <c r="G4077" s="2">
        <f t="shared" ca="1" si="449"/>
        <v>1322</v>
      </c>
    </row>
    <row r="4078" spans="1:7" x14ac:dyDescent="0.3">
      <c r="A4078" s="5" t="str">
        <f t="shared" si="450"/>
        <v>Puma</v>
      </c>
      <c r="B4078" s="5" t="str">
        <f t="shared" si="445"/>
        <v>Rider Vintage</v>
      </c>
      <c r="C4078" s="3">
        <f t="shared" si="451"/>
        <v>45929</v>
      </c>
      <c r="D4078" s="4">
        <f t="shared" ca="1" si="446"/>
        <v>137</v>
      </c>
      <c r="E4078" s="2">
        <f t="shared" ca="1" si="447"/>
        <v>11571</v>
      </c>
      <c r="F4078" s="2">
        <f t="shared" ca="1" si="448"/>
        <v>23457</v>
      </c>
      <c r="G4078" s="2">
        <f t="shared" ca="1" si="449"/>
        <v>1485</v>
      </c>
    </row>
    <row r="4079" spans="1:7" x14ac:dyDescent="0.3">
      <c r="A4079" s="5" t="str">
        <f t="shared" si="450"/>
        <v>New Balance</v>
      </c>
      <c r="B4079" s="5" t="str">
        <f t="shared" si="445"/>
        <v>327</v>
      </c>
      <c r="C4079" s="3">
        <f t="shared" si="451"/>
        <v>45929</v>
      </c>
      <c r="D4079" s="4">
        <f t="shared" ca="1" si="446"/>
        <v>170</v>
      </c>
      <c r="E4079" s="2">
        <f t="shared" ca="1" si="447"/>
        <v>8007</v>
      </c>
      <c r="F4079" s="2">
        <f t="shared" ca="1" si="448"/>
        <v>5489</v>
      </c>
      <c r="G4079" s="2">
        <f t="shared" ca="1" si="449"/>
        <v>262</v>
      </c>
    </row>
    <row r="4080" spans="1:7" x14ac:dyDescent="0.3">
      <c r="A4080" s="5" t="str">
        <f t="shared" si="450"/>
        <v>Reebok</v>
      </c>
      <c r="B4080" s="5" t="str">
        <f t="shared" si="445"/>
        <v>Question Mid</v>
      </c>
      <c r="C4080" s="3">
        <f t="shared" si="451"/>
        <v>45929</v>
      </c>
      <c r="D4080" s="4">
        <f t="shared" ca="1" si="446"/>
        <v>62</v>
      </c>
      <c r="E4080" s="2">
        <f t="shared" ca="1" si="447"/>
        <v>2902</v>
      </c>
      <c r="F4080" s="2">
        <f t="shared" ca="1" si="448"/>
        <v>33206</v>
      </c>
      <c r="G4080" s="2">
        <f t="shared" ca="1" si="449"/>
        <v>2585</v>
      </c>
    </row>
    <row r="4081" spans="1:7" x14ac:dyDescent="0.3">
      <c r="A4081" s="5" t="str">
        <f t="shared" si="450"/>
        <v>Nike</v>
      </c>
      <c r="B4081" s="5" t="str">
        <f t="shared" si="445"/>
        <v>Air Max 270</v>
      </c>
      <c r="C4081" s="3">
        <f t="shared" si="451"/>
        <v>45929</v>
      </c>
      <c r="D4081" s="4">
        <f t="shared" ca="1" si="446"/>
        <v>176</v>
      </c>
      <c r="E4081" s="2">
        <f t="shared" ca="1" si="447"/>
        <v>10234</v>
      </c>
      <c r="F4081" s="2">
        <f t="shared" ca="1" si="448"/>
        <v>27914</v>
      </c>
      <c r="G4081" s="2">
        <f t="shared" ca="1" si="449"/>
        <v>1352</v>
      </c>
    </row>
    <row r="4082" spans="1:7" x14ac:dyDescent="0.3">
      <c r="A4082" s="5" t="str">
        <f t="shared" si="450"/>
        <v>Adidas</v>
      </c>
      <c r="B4082" s="5" t="str">
        <f t="shared" si="445"/>
        <v>Stan Smith</v>
      </c>
      <c r="C4082" s="3">
        <f t="shared" si="451"/>
        <v>45930</v>
      </c>
      <c r="D4082" s="4">
        <f t="shared" ca="1" si="446"/>
        <v>130</v>
      </c>
      <c r="E4082" s="2">
        <f t="shared" ca="1" si="447"/>
        <v>9713</v>
      </c>
      <c r="F4082" s="2">
        <f t="shared" ca="1" si="448"/>
        <v>8912</v>
      </c>
      <c r="G4082" s="2">
        <f t="shared" ca="1" si="449"/>
        <v>256</v>
      </c>
    </row>
    <row r="4083" spans="1:7" x14ac:dyDescent="0.3">
      <c r="A4083" s="5" t="str">
        <f t="shared" si="450"/>
        <v>Puma</v>
      </c>
      <c r="B4083" s="5" t="str">
        <f t="shared" si="445"/>
        <v>Cali Dream</v>
      </c>
      <c r="C4083" s="3">
        <f t="shared" si="451"/>
        <v>45930</v>
      </c>
      <c r="D4083" s="4">
        <f t="shared" ca="1" si="446"/>
        <v>168</v>
      </c>
      <c r="E4083" s="2">
        <f t="shared" ca="1" si="447"/>
        <v>11271</v>
      </c>
      <c r="F4083" s="2">
        <f t="shared" ca="1" si="448"/>
        <v>7392</v>
      </c>
      <c r="G4083" s="2">
        <f t="shared" ca="1" si="449"/>
        <v>370</v>
      </c>
    </row>
    <row r="4084" spans="1:7" x14ac:dyDescent="0.3">
      <c r="A4084" s="5" t="str">
        <f t="shared" si="450"/>
        <v>New Balance</v>
      </c>
      <c r="B4084" s="5" t="str">
        <f t="shared" si="445"/>
        <v>9060</v>
      </c>
      <c r="C4084" s="3">
        <f t="shared" si="451"/>
        <v>45930</v>
      </c>
      <c r="D4084" s="4">
        <f t="shared" ca="1" si="446"/>
        <v>163</v>
      </c>
      <c r="E4084" s="2">
        <f t="shared" ca="1" si="447"/>
        <v>8392</v>
      </c>
      <c r="F4084" s="2">
        <f t="shared" ca="1" si="448"/>
        <v>8067</v>
      </c>
      <c r="G4084" s="2">
        <f t="shared" ca="1" si="449"/>
        <v>499</v>
      </c>
    </row>
    <row r="4085" spans="1:7" x14ac:dyDescent="0.3">
      <c r="A4085" s="5" t="str">
        <f t="shared" si="450"/>
        <v>Reebok</v>
      </c>
      <c r="B4085" s="5" t="str">
        <f t="shared" si="445"/>
        <v>Zig Kinetica</v>
      </c>
      <c r="C4085" s="3">
        <f t="shared" si="451"/>
        <v>45930</v>
      </c>
      <c r="D4085" s="4">
        <f t="shared" ca="1" si="446"/>
        <v>199</v>
      </c>
      <c r="E4085" s="2">
        <f t="shared" ca="1" si="447"/>
        <v>7287</v>
      </c>
      <c r="F4085" s="2">
        <f t="shared" ca="1" si="448"/>
        <v>20822</v>
      </c>
      <c r="G4085" s="2">
        <f t="shared" ca="1" si="449"/>
        <v>1661</v>
      </c>
    </row>
    <row r="4086" spans="1:7" x14ac:dyDescent="0.3">
      <c r="A4086" s="5" t="str">
        <f t="shared" si="450"/>
        <v>Nike</v>
      </c>
      <c r="B4086" s="5" t="str">
        <f t="shared" si="445"/>
        <v>Jordan 1</v>
      </c>
      <c r="C4086" s="3">
        <f t="shared" si="451"/>
        <v>45930</v>
      </c>
      <c r="D4086" s="4">
        <f t="shared" ca="1" si="446"/>
        <v>115</v>
      </c>
      <c r="E4086" s="2">
        <f t="shared" ca="1" si="447"/>
        <v>4226</v>
      </c>
      <c r="F4086" s="2">
        <f t="shared" ca="1" si="448"/>
        <v>30024</v>
      </c>
      <c r="G4086" s="2">
        <f t="shared" ca="1" si="449"/>
        <v>2374</v>
      </c>
    </row>
    <row r="4087" spans="1:7" x14ac:dyDescent="0.3">
      <c r="A4087" s="5" t="str">
        <f t="shared" si="450"/>
        <v>Adidas</v>
      </c>
      <c r="B4087" s="5" t="str">
        <f t="shared" si="445"/>
        <v>Ultraboost 23</v>
      </c>
      <c r="C4087" s="3">
        <f t="shared" si="451"/>
        <v>45930</v>
      </c>
      <c r="D4087" s="4">
        <f t="shared" ca="1" si="446"/>
        <v>164</v>
      </c>
      <c r="E4087" s="2">
        <f t="shared" ca="1" si="447"/>
        <v>3065</v>
      </c>
      <c r="F4087" s="2">
        <f t="shared" ca="1" si="448"/>
        <v>15336</v>
      </c>
      <c r="G4087" s="2">
        <f t="shared" ca="1" si="449"/>
        <v>956</v>
      </c>
    </row>
    <row r="4088" spans="1:7" x14ac:dyDescent="0.3">
      <c r="A4088" s="5" t="str">
        <f t="shared" si="450"/>
        <v>Puma</v>
      </c>
      <c r="B4088" s="5" t="str">
        <f t="shared" si="445"/>
        <v>RS-X</v>
      </c>
      <c r="C4088" s="3">
        <f t="shared" si="451"/>
        <v>45930</v>
      </c>
      <c r="D4088" s="4">
        <f t="shared" ca="1" si="446"/>
        <v>113</v>
      </c>
      <c r="E4088" s="2">
        <f t="shared" ca="1" si="447"/>
        <v>3241</v>
      </c>
      <c r="F4088" s="2">
        <f t="shared" ca="1" si="448"/>
        <v>23112</v>
      </c>
      <c r="G4088" s="2">
        <f t="shared" ca="1" si="449"/>
        <v>1263</v>
      </c>
    </row>
    <row r="4089" spans="1:7" x14ac:dyDescent="0.3">
      <c r="A4089" s="5" t="str">
        <f t="shared" si="450"/>
        <v>New Balance</v>
      </c>
      <c r="B4089" s="5" t="str">
        <f t="shared" si="445"/>
        <v>2002R</v>
      </c>
      <c r="C4089" s="3">
        <f t="shared" si="451"/>
        <v>45930</v>
      </c>
      <c r="D4089" s="4">
        <f t="shared" ca="1" si="446"/>
        <v>42</v>
      </c>
      <c r="E4089" s="2">
        <f t="shared" ca="1" si="447"/>
        <v>1937</v>
      </c>
      <c r="F4089" s="2">
        <f t="shared" ca="1" si="448"/>
        <v>27162</v>
      </c>
      <c r="G4089" s="2">
        <f t="shared" ca="1" si="449"/>
        <v>1172</v>
      </c>
    </row>
    <row r="4090" spans="1:7" x14ac:dyDescent="0.3">
      <c r="A4090" s="5" t="str">
        <f t="shared" si="450"/>
        <v>Reebok</v>
      </c>
      <c r="B4090" s="5" t="str">
        <f t="shared" si="445"/>
        <v>Instapump Fury</v>
      </c>
      <c r="C4090" s="3">
        <f t="shared" si="451"/>
        <v>45930</v>
      </c>
      <c r="D4090" s="4">
        <f t="shared" ca="1" si="446"/>
        <v>161</v>
      </c>
      <c r="E4090" s="2">
        <f t="shared" ca="1" si="447"/>
        <v>4790</v>
      </c>
      <c r="F4090" s="2">
        <f t="shared" ca="1" si="448"/>
        <v>10685</v>
      </c>
      <c r="G4090" s="2">
        <f t="shared" ca="1" si="449"/>
        <v>515</v>
      </c>
    </row>
    <row r="4091" spans="1:7" x14ac:dyDescent="0.3">
      <c r="A4091" s="5" t="str">
        <f t="shared" si="450"/>
        <v>Nike</v>
      </c>
      <c r="B4091" s="5" t="str">
        <f t="shared" si="445"/>
        <v>Cortez</v>
      </c>
      <c r="C4091" s="3">
        <f t="shared" si="451"/>
        <v>45930</v>
      </c>
      <c r="D4091" s="4">
        <f t="shared" ca="1" si="446"/>
        <v>220</v>
      </c>
      <c r="E4091" s="2">
        <f t="shared" ca="1" si="447"/>
        <v>6789</v>
      </c>
      <c r="F4091" s="2">
        <f t="shared" ca="1" si="448"/>
        <v>26529</v>
      </c>
      <c r="G4091" s="2">
        <f t="shared" ca="1" si="449"/>
        <v>978</v>
      </c>
    </row>
    <row r="4092" spans="1:7" x14ac:dyDescent="0.3">
      <c r="A4092" s="5" t="str">
        <f t="shared" si="450"/>
        <v>Adidas</v>
      </c>
      <c r="B4092" s="5" t="str">
        <f t="shared" si="445"/>
        <v>NMD S1</v>
      </c>
      <c r="C4092" s="3">
        <f t="shared" si="451"/>
        <v>45930</v>
      </c>
      <c r="D4092" s="4">
        <f t="shared" ca="1" si="446"/>
        <v>250</v>
      </c>
      <c r="E4092" s="2">
        <f t="shared" ca="1" si="447"/>
        <v>1704</v>
      </c>
      <c r="F4092" s="2">
        <f t="shared" ca="1" si="448"/>
        <v>30406</v>
      </c>
      <c r="G4092" s="2">
        <f t="shared" ca="1" si="449"/>
        <v>1648</v>
      </c>
    </row>
    <row r="4093" spans="1:7" x14ac:dyDescent="0.3">
      <c r="A4093" s="5" t="str">
        <f t="shared" si="450"/>
        <v>Puma</v>
      </c>
      <c r="B4093" s="5" t="str">
        <f t="shared" si="445"/>
        <v>Suede Classic</v>
      </c>
      <c r="C4093" s="3">
        <f t="shared" si="451"/>
        <v>45930</v>
      </c>
      <c r="D4093" s="4">
        <f t="shared" ca="1" si="446"/>
        <v>200</v>
      </c>
      <c r="E4093" s="2">
        <f t="shared" ca="1" si="447"/>
        <v>7848</v>
      </c>
      <c r="F4093" s="2">
        <f t="shared" ca="1" si="448"/>
        <v>14045</v>
      </c>
      <c r="G4093" s="2">
        <f t="shared" ca="1" si="449"/>
        <v>679</v>
      </c>
    </row>
    <row r="4094" spans="1:7" x14ac:dyDescent="0.3">
      <c r="A4094" s="5" t="str">
        <f t="shared" si="450"/>
        <v>New Balance</v>
      </c>
      <c r="B4094" s="5" t="str">
        <f t="shared" si="445"/>
        <v>990v6</v>
      </c>
      <c r="C4094" s="3">
        <f t="shared" si="451"/>
        <v>45930</v>
      </c>
      <c r="D4094" s="4">
        <f t="shared" ca="1" si="446"/>
        <v>99</v>
      </c>
      <c r="E4094" s="2">
        <f t="shared" ca="1" si="447"/>
        <v>7487</v>
      </c>
      <c r="F4094" s="2">
        <f t="shared" ca="1" si="448"/>
        <v>6721</v>
      </c>
      <c r="G4094" s="2">
        <f t="shared" ca="1" si="449"/>
        <v>450</v>
      </c>
    </row>
    <row r="4095" spans="1:7" x14ac:dyDescent="0.3">
      <c r="A4095" s="5" t="str">
        <f t="shared" si="450"/>
        <v>Reebok</v>
      </c>
      <c r="B4095" s="5" t="str">
        <f t="shared" si="445"/>
        <v>Nano X3</v>
      </c>
      <c r="C4095" s="3">
        <f t="shared" si="451"/>
        <v>45930</v>
      </c>
      <c r="D4095" s="4">
        <f t="shared" ca="1" si="446"/>
        <v>46</v>
      </c>
      <c r="E4095" s="2">
        <f t="shared" ca="1" si="447"/>
        <v>3369</v>
      </c>
      <c r="F4095" s="2">
        <f t="shared" ca="1" si="448"/>
        <v>22398</v>
      </c>
      <c r="G4095" s="2">
        <f t="shared" ca="1" si="449"/>
        <v>1598</v>
      </c>
    </row>
    <row r="4096" spans="1:7" x14ac:dyDescent="0.3">
      <c r="A4096" s="5" t="str">
        <f t="shared" si="450"/>
        <v>Nike</v>
      </c>
      <c r="B4096" s="5" t="str">
        <f t="shared" si="445"/>
        <v>Vaporfly 3</v>
      </c>
      <c r="C4096" s="3">
        <f t="shared" si="451"/>
        <v>45930</v>
      </c>
      <c r="D4096" s="4">
        <f t="shared" ca="1" si="446"/>
        <v>217</v>
      </c>
      <c r="E4096" s="2">
        <f t="shared" ca="1" si="447"/>
        <v>4000</v>
      </c>
      <c r="F4096" s="2">
        <f t="shared" ca="1" si="448"/>
        <v>16005</v>
      </c>
      <c r="G4096" s="2">
        <f t="shared" ca="1" si="449"/>
        <v>1028</v>
      </c>
    </row>
    <row r="4097" spans="1:7" x14ac:dyDescent="0.3">
      <c r="A4097" s="5" t="str">
        <f t="shared" si="450"/>
        <v>Adidas</v>
      </c>
      <c r="B4097" s="5" t="str">
        <f t="shared" si="445"/>
        <v>Samba</v>
      </c>
      <c r="C4097" s="3">
        <f t="shared" si="451"/>
        <v>45931</v>
      </c>
      <c r="D4097" s="4">
        <f t="shared" ca="1" si="446"/>
        <v>187</v>
      </c>
      <c r="E4097" s="2">
        <f t="shared" ca="1" si="447"/>
        <v>8759</v>
      </c>
      <c r="F4097" s="2">
        <f t="shared" ca="1" si="448"/>
        <v>33187</v>
      </c>
      <c r="G4097" s="2">
        <f t="shared" ca="1" si="449"/>
        <v>874</v>
      </c>
    </row>
    <row r="4098" spans="1:7" x14ac:dyDescent="0.3">
      <c r="A4098" s="5" t="str">
        <f t="shared" si="450"/>
        <v>Puma</v>
      </c>
      <c r="B4098" s="5" t="str">
        <f t="shared" si="445"/>
        <v>Mayze</v>
      </c>
      <c r="C4098" s="3">
        <f t="shared" si="451"/>
        <v>45931</v>
      </c>
      <c r="D4098" s="4">
        <f t="shared" ca="1" si="446"/>
        <v>123</v>
      </c>
      <c r="E4098" s="2">
        <f t="shared" ca="1" si="447"/>
        <v>9483</v>
      </c>
      <c r="F4098" s="2">
        <f t="shared" ca="1" si="448"/>
        <v>10508</v>
      </c>
      <c r="G4098" s="2">
        <f t="shared" ca="1" si="449"/>
        <v>740</v>
      </c>
    </row>
    <row r="4099" spans="1:7" x14ac:dyDescent="0.3">
      <c r="A4099" s="5" t="str">
        <f t="shared" si="450"/>
        <v>New Balance</v>
      </c>
      <c r="B4099" s="5" t="str">
        <f t="shared" ref="B4099:B4162" si="452">IF(A4099="Nike",CHOOSE(MOD(ROW(A4098),6)+1,"Air Max 270","Air Force 1","Pegasus 40","Vaporfly 3","Cortez","Jordan 1"),
 IF(A4099="Adidas",CHOOSE(MOD(ROW(A4098),6)+1,"Ultraboost 23","Stan Smith","Superstar","Gazelle","Samba","NMD S1"),
 IF(A4099="Puma",CHOOSE(MOD(ROW(A4098),6)+1,"Suede Classic","RS-X","Cali Dream","Rider Vintage","Slipstream","Mayze"),
 IF(A4099="New Balance",CHOOSE(MOD(ROW(A4098),6)+1,"574 Core","990v6","2002R","9060","327","550"),
 IF(A4099="Reebok",CHOOSE(MOD(ROW(A4098),6)+1,"Classic Leather","Club C 85","Nano X3","Instapump Fury","Zig Kinetica","Question Mid"),"")))))</f>
        <v>574 Core</v>
      </c>
      <c r="C4099" s="3">
        <f t="shared" si="451"/>
        <v>45931</v>
      </c>
      <c r="D4099" s="4">
        <f t="shared" ref="D4099:D4162" ca="1" si="453">RANDBETWEEN(20,250)</f>
        <v>171</v>
      </c>
      <c r="E4099" s="2">
        <f t="shared" ref="E4099:E4162" ca="1" si="454">ROUND(RANDBETWEEN(1500,12000)+(RANDBETWEEN(-200,200)),2)</f>
        <v>3463</v>
      </c>
      <c r="F4099" s="2">
        <f t="shared" ref="F4099:F4162" ca="1" si="455">RANDBETWEEN(5000,35000)</f>
        <v>14487</v>
      </c>
      <c r="G4099" s="2">
        <f t="shared" ref="G4099:G4162" ca="1" si="456">RANDBETWEEN(ROUND(F4099*0.02,0),ROUND(F4099*0.08,0))</f>
        <v>850</v>
      </c>
    </row>
    <row r="4100" spans="1:7" x14ac:dyDescent="0.3">
      <c r="A4100" s="5" t="str">
        <f t="shared" si="450"/>
        <v>Reebok</v>
      </c>
      <c r="B4100" s="5" t="str">
        <f t="shared" si="452"/>
        <v>Club C 85</v>
      </c>
      <c r="C4100" s="3">
        <f t="shared" si="451"/>
        <v>45931</v>
      </c>
      <c r="D4100" s="4">
        <f t="shared" ca="1" si="453"/>
        <v>171</v>
      </c>
      <c r="E4100" s="2">
        <f t="shared" ca="1" si="454"/>
        <v>9767</v>
      </c>
      <c r="F4100" s="2">
        <f t="shared" ca="1" si="455"/>
        <v>32110</v>
      </c>
      <c r="G4100" s="2">
        <f t="shared" ca="1" si="456"/>
        <v>1089</v>
      </c>
    </row>
    <row r="4101" spans="1:7" x14ac:dyDescent="0.3">
      <c r="A4101" s="5" t="str">
        <f t="shared" si="450"/>
        <v>Nike</v>
      </c>
      <c r="B4101" s="5" t="str">
        <f t="shared" si="452"/>
        <v>Pegasus 40</v>
      </c>
      <c r="C4101" s="3">
        <f t="shared" si="451"/>
        <v>45931</v>
      </c>
      <c r="D4101" s="4">
        <f t="shared" ca="1" si="453"/>
        <v>69</v>
      </c>
      <c r="E4101" s="2">
        <f t="shared" ca="1" si="454"/>
        <v>9281</v>
      </c>
      <c r="F4101" s="2">
        <f t="shared" ca="1" si="455"/>
        <v>34788</v>
      </c>
      <c r="G4101" s="2">
        <f t="shared" ca="1" si="456"/>
        <v>1637</v>
      </c>
    </row>
    <row r="4102" spans="1:7" x14ac:dyDescent="0.3">
      <c r="A4102" s="5" t="str">
        <f t="shared" si="450"/>
        <v>Adidas</v>
      </c>
      <c r="B4102" s="5" t="str">
        <f t="shared" si="452"/>
        <v>Gazelle</v>
      </c>
      <c r="C4102" s="3">
        <f t="shared" si="451"/>
        <v>45931</v>
      </c>
      <c r="D4102" s="4">
        <f t="shared" ca="1" si="453"/>
        <v>173</v>
      </c>
      <c r="E4102" s="2">
        <f t="shared" ca="1" si="454"/>
        <v>9002</v>
      </c>
      <c r="F4102" s="2">
        <f t="shared" ca="1" si="455"/>
        <v>33259</v>
      </c>
      <c r="G4102" s="2">
        <f t="shared" ca="1" si="456"/>
        <v>1667</v>
      </c>
    </row>
    <row r="4103" spans="1:7" x14ac:dyDescent="0.3">
      <c r="A4103" s="5" t="str">
        <f t="shared" si="450"/>
        <v>Puma</v>
      </c>
      <c r="B4103" s="5" t="str">
        <f t="shared" si="452"/>
        <v>Slipstream</v>
      </c>
      <c r="C4103" s="3">
        <f t="shared" si="451"/>
        <v>45931</v>
      </c>
      <c r="D4103" s="4">
        <f t="shared" ca="1" si="453"/>
        <v>241</v>
      </c>
      <c r="E4103" s="2">
        <f t="shared" ca="1" si="454"/>
        <v>10611</v>
      </c>
      <c r="F4103" s="2">
        <f t="shared" ca="1" si="455"/>
        <v>34912</v>
      </c>
      <c r="G4103" s="2">
        <f t="shared" ca="1" si="456"/>
        <v>2067</v>
      </c>
    </row>
    <row r="4104" spans="1:7" x14ac:dyDescent="0.3">
      <c r="A4104" s="5" t="str">
        <f t="shared" si="450"/>
        <v>New Balance</v>
      </c>
      <c r="B4104" s="5" t="str">
        <f t="shared" si="452"/>
        <v>550</v>
      </c>
      <c r="C4104" s="3">
        <f t="shared" si="451"/>
        <v>45931</v>
      </c>
      <c r="D4104" s="4">
        <f t="shared" ca="1" si="453"/>
        <v>178</v>
      </c>
      <c r="E4104" s="2">
        <f t="shared" ca="1" si="454"/>
        <v>11581</v>
      </c>
      <c r="F4104" s="2">
        <f t="shared" ca="1" si="455"/>
        <v>34186</v>
      </c>
      <c r="G4104" s="2">
        <f t="shared" ca="1" si="456"/>
        <v>2548</v>
      </c>
    </row>
    <row r="4105" spans="1:7" x14ac:dyDescent="0.3">
      <c r="A4105" s="5" t="str">
        <f t="shared" si="450"/>
        <v>Reebok</v>
      </c>
      <c r="B4105" s="5" t="str">
        <f t="shared" si="452"/>
        <v>Classic Leather</v>
      </c>
      <c r="C4105" s="3">
        <f t="shared" si="451"/>
        <v>45931</v>
      </c>
      <c r="D4105" s="4">
        <f t="shared" ca="1" si="453"/>
        <v>24</v>
      </c>
      <c r="E4105" s="2">
        <f t="shared" ca="1" si="454"/>
        <v>10683</v>
      </c>
      <c r="F4105" s="2">
        <f t="shared" ca="1" si="455"/>
        <v>17864</v>
      </c>
      <c r="G4105" s="2">
        <f t="shared" ca="1" si="456"/>
        <v>1061</v>
      </c>
    </row>
    <row r="4106" spans="1:7" x14ac:dyDescent="0.3">
      <c r="A4106" s="5" t="str">
        <f t="shared" si="450"/>
        <v>Nike</v>
      </c>
      <c r="B4106" s="5" t="str">
        <f t="shared" si="452"/>
        <v>Air Force 1</v>
      </c>
      <c r="C4106" s="3">
        <f t="shared" si="451"/>
        <v>45931</v>
      </c>
      <c r="D4106" s="4">
        <f t="shared" ca="1" si="453"/>
        <v>128</v>
      </c>
      <c r="E4106" s="2">
        <f t="shared" ca="1" si="454"/>
        <v>7906</v>
      </c>
      <c r="F4106" s="2">
        <f t="shared" ca="1" si="455"/>
        <v>10388</v>
      </c>
      <c r="G4106" s="2">
        <f t="shared" ca="1" si="456"/>
        <v>593</v>
      </c>
    </row>
    <row r="4107" spans="1:7" x14ac:dyDescent="0.3">
      <c r="A4107" s="5" t="str">
        <f t="shared" si="450"/>
        <v>Adidas</v>
      </c>
      <c r="B4107" s="5" t="str">
        <f t="shared" si="452"/>
        <v>Superstar</v>
      </c>
      <c r="C4107" s="3">
        <f t="shared" si="451"/>
        <v>45931</v>
      </c>
      <c r="D4107" s="4">
        <f t="shared" ca="1" si="453"/>
        <v>28</v>
      </c>
      <c r="E4107" s="2">
        <f t="shared" ca="1" si="454"/>
        <v>6757</v>
      </c>
      <c r="F4107" s="2">
        <f t="shared" ca="1" si="455"/>
        <v>13920</v>
      </c>
      <c r="G4107" s="2">
        <f t="shared" ca="1" si="456"/>
        <v>514</v>
      </c>
    </row>
    <row r="4108" spans="1:7" x14ac:dyDescent="0.3">
      <c r="A4108" s="5" t="str">
        <f t="shared" si="450"/>
        <v>Puma</v>
      </c>
      <c r="B4108" s="5" t="str">
        <f t="shared" si="452"/>
        <v>Rider Vintage</v>
      </c>
      <c r="C4108" s="3">
        <f t="shared" si="451"/>
        <v>45931</v>
      </c>
      <c r="D4108" s="4">
        <f t="shared" ca="1" si="453"/>
        <v>37</v>
      </c>
      <c r="E4108" s="2">
        <f t="shared" ca="1" si="454"/>
        <v>11848</v>
      </c>
      <c r="F4108" s="2">
        <f t="shared" ca="1" si="455"/>
        <v>15152</v>
      </c>
      <c r="G4108" s="2">
        <f t="shared" ca="1" si="456"/>
        <v>452</v>
      </c>
    </row>
    <row r="4109" spans="1:7" x14ac:dyDescent="0.3">
      <c r="A4109" s="5" t="str">
        <f t="shared" si="450"/>
        <v>New Balance</v>
      </c>
      <c r="B4109" s="5" t="str">
        <f t="shared" si="452"/>
        <v>327</v>
      </c>
      <c r="C4109" s="3">
        <f t="shared" si="451"/>
        <v>45931</v>
      </c>
      <c r="D4109" s="4">
        <f t="shared" ca="1" si="453"/>
        <v>74</v>
      </c>
      <c r="E4109" s="2">
        <f t="shared" ca="1" si="454"/>
        <v>3664</v>
      </c>
      <c r="F4109" s="2">
        <f t="shared" ca="1" si="455"/>
        <v>26482</v>
      </c>
      <c r="G4109" s="2">
        <f t="shared" ca="1" si="456"/>
        <v>1505</v>
      </c>
    </row>
    <row r="4110" spans="1:7" x14ac:dyDescent="0.3">
      <c r="A4110" s="5" t="str">
        <f t="shared" si="450"/>
        <v>Reebok</v>
      </c>
      <c r="B4110" s="5" t="str">
        <f t="shared" si="452"/>
        <v>Question Mid</v>
      </c>
      <c r="C4110" s="3">
        <f t="shared" si="451"/>
        <v>45931</v>
      </c>
      <c r="D4110" s="4">
        <f t="shared" ca="1" si="453"/>
        <v>213</v>
      </c>
      <c r="E4110" s="2">
        <f t="shared" ca="1" si="454"/>
        <v>11784</v>
      </c>
      <c r="F4110" s="2">
        <f t="shared" ca="1" si="455"/>
        <v>6008</v>
      </c>
      <c r="G4110" s="2">
        <f t="shared" ca="1" si="456"/>
        <v>286</v>
      </c>
    </row>
    <row r="4111" spans="1:7" x14ac:dyDescent="0.3">
      <c r="A4111" s="5" t="str">
        <f t="shared" si="450"/>
        <v>Nike</v>
      </c>
      <c r="B4111" s="5" t="str">
        <f t="shared" si="452"/>
        <v>Air Max 270</v>
      </c>
      <c r="C4111" s="3">
        <f t="shared" si="451"/>
        <v>45931</v>
      </c>
      <c r="D4111" s="4">
        <f t="shared" ca="1" si="453"/>
        <v>219</v>
      </c>
      <c r="E4111" s="2">
        <f t="shared" ca="1" si="454"/>
        <v>11699</v>
      </c>
      <c r="F4111" s="2">
        <f t="shared" ca="1" si="455"/>
        <v>9278</v>
      </c>
      <c r="G4111" s="2">
        <f t="shared" ca="1" si="456"/>
        <v>245</v>
      </c>
    </row>
    <row r="4112" spans="1:7" x14ac:dyDescent="0.3">
      <c r="A4112" s="5" t="str">
        <f t="shared" si="450"/>
        <v>Adidas</v>
      </c>
      <c r="B4112" s="5" t="str">
        <f t="shared" si="452"/>
        <v>Stan Smith</v>
      </c>
      <c r="C4112" s="3">
        <f t="shared" si="451"/>
        <v>45932</v>
      </c>
      <c r="D4112" s="4">
        <f t="shared" ca="1" si="453"/>
        <v>235</v>
      </c>
      <c r="E4112" s="2">
        <f t="shared" ca="1" si="454"/>
        <v>5864</v>
      </c>
      <c r="F4112" s="2">
        <f t="shared" ca="1" si="455"/>
        <v>18040</v>
      </c>
      <c r="G4112" s="2">
        <f t="shared" ca="1" si="456"/>
        <v>1203</v>
      </c>
    </row>
    <row r="4113" spans="1:7" x14ac:dyDescent="0.3">
      <c r="A4113" s="5" t="str">
        <f t="shared" si="450"/>
        <v>Puma</v>
      </c>
      <c r="B4113" s="5" t="str">
        <f t="shared" si="452"/>
        <v>Cali Dream</v>
      </c>
      <c r="C4113" s="3">
        <f t="shared" si="451"/>
        <v>45932</v>
      </c>
      <c r="D4113" s="4">
        <f t="shared" ca="1" si="453"/>
        <v>250</v>
      </c>
      <c r="E4113" s="2">
        <f t="shared" ca="1" si="454"/>
        <v>10988</v>
      </c>
      <c r="F4113" s="2">
        <f t="shared" ca="1" si="455"/>
        <v>17749</v>
      </c>
      <c r="G4113" s="2">
        <f t="shared" ca="1" si="456"/>
        <v>567</v>
      </c>
    </row>
    <row r="4114" spans="1:7" x14ac:dyDescent="0.3">
      <c r="A4114" s="5" t="str">
        <f t="shared" si="450"/>
        <v>New Balance</v>
      </c>
      <c r="B4114" s="5" t="str">
        <f t="shared" si="452"/>
        <v>9060</v>
      </c>
      <c r="C4114" s="3">
        <f t="shared" si="451"/>
        <v>45932</v>
      </c>
      <c r="D4114" s="4">
        <f t="shared" ca="1" si="453"/>
        <v>24</v>
      </c>
      <c r="E4114" s="2">
        <f t="shared" ca="1" si="454"/>
        <v>11209</v>
      </c>
      <c r="F4114" s="2">
        <f t="shared" ca="1" si="455"/>
        <v>25129</v>
      </c>
      <c r="G4114" s="2">
        <f t="shared" ca="1" si="456"/>
        <v>1197</v>
      </c>
    </row>
    <row r="4115" spans="1:7" x14ac:dyDescent="0.3">
      <c r="A4115" s="5" t="str">
        <f t="shared" si="450"/>
        <v>Reebok</v>
      </c>
      <c r="B4115" s="5" t="str">
        <f t="shared" si="452"/>
        <v>Zig Kinetica</v>
      </c>
      <c r="C4115" s="3">
        <f t="shared" si="451"/>
        <v>45932</v>
      </c>
      <c r="D4115" s="4">
        <f t="shared" ca="1" si="453"/>
        <v>57</v>
      </c>
      <c r="E4115" s="2">
        <f t="shared" ca="1" si="454"/>
        <v>1975</v>
      </c>
      <c r="F4115" s="2">
        <f t="shared" ca="1" si="455"/>
        <v>8638</v>
      </c>
      <c r="G4115" s="2">
        <f t="shared" ca="1" si="456"/>
        <v>657</v>
      </c>
    </row>
    <row r="4116" spans="1:7" x14ac:dyDescent="0.3">
      <c r="A4116" s="5" t="str">
        <f t="shared" si="450"/>
        <v>Nike</v>
      </c>
      <c r="B4116" s="5" t="str">
        <f t="shared" si="452"/>
        <v>Jordan 1</v>
      </c>
      <c r="C4116" s="3">
        <f t="shared" si="451"/>
        <v>45932</v>
      </c>
      <c r="D4116" s="4">
        <f t="shared" ca="1" si="453"/>
        <v>231</v>
      </c>
      <c r="E4116" s="2">
        <f t="shared" ca="1" si="454"/>
        <v>3116</v>
      </c>
      <c r="F4116" s="2">
        <f t="shared" ca="1" si="455"/>
        <v>19887</v>
      </c>
      <c r="G4116" s="2">
        <f t="shared" ca="1" si="456"/>
        <v>722</v>
      </c>
    </row>
    <row r="4117" spans="1:7" x14ac:dyDescent="0.3">
      <c r="A4117" s="5" t="str">
        <f t="shared" si="450"/>
        <v>Adidas</v>
      </c>
      <c r="B4117" s="5" t="str">
        <f t="shared" si="452"/>
        <v>Ultraboost 23</v>
      </c>
      <c r="C4117" s="3">
        <f t="shared" si="451"/>
        <v>45932</v>
      </c>
      <c r="D4117" s="4">
        <f t="shared" ca="1" si="453"/>
        <v>65</v>
      </c>
      <c r="E4117" s="2">
        <f t="shared" ca="1" si="454"/>
        <v>5424</v>
      </c>
      <c r="F4117" s="2">
        <f t="shared" ca="1" si="455"/>
        <v>31067</v>
      </c>
      <c r="G4117" s="2">
        <f t="shared" ca="1" si="456"/>
        <v>1149</v>
      </c>
    </row>
    <row r="4118" spans="1:7" x14ac:dyDescent="0.3">
      <c r="A4118" s="5" t="str">
        <f t="shared" si="450"/>
        <v>Puma</v>
      </c>
      <c r="B4118" s="5" t="str">
        <f t="shared" si="452"/>
        <v>RS-X</v>
      </c>
      <c r="C4118" s="3">
        <f t="shared" si="451"/>
        <v>45932</v>
      </c>
      <c r="D4118" s="4">
        <f t="shared" ca="1" si="453"/>
        <v>152</v>
      </c>
      <c r="E4118" s="2">
        <f t="shared" ca="1" si="454"/>
        <v>3781</v>
      </c>
      <c r="F4118" s="2">
        <f t="shared" ca="1" si="455"/>
        <v>14026</v>
      </c>
      <c r="G4118" s="2">
        <f t="shared" ca="1" si="456"/>
        <v>1012</v>
      </c>
    </row>
    <row r="4119" spans="1:7" x14ac:dyDescent="0.3">
      <c r="A4119" s="5" t="str">
        <f t="shared" si="450"/>
        <v>New Balance</v>
      </c>
      <c r="B4119" s="5" t="str">
        <f t="shared" si="452"/>
        <v>2002R</v>
      </c>
      <c r="C4119" s="3">
        <f t="shared" si="451"/>
        <v>45932</v>
      </c>
      <c r="D4119" s="4">
        <f t="shared" ca="1" si="453"/>
        <v>154</v>
      </c>
      <c r="E4119" s="2">
        <f t="shared" ca="1" si="454"/>
        <v>9150</v>
      </c>
      <c r="F4119" s="2">
        <f t="shared" ca="1" si="455"/>
        <v>28737</v>
      </c>
      <c r="G4119" s="2">
        <f t="shared" ca="1" si="456"/>
        <v>1684</v>
      </c>
    </row>
    <row r="4120" spans="1:7" x14ac:dyDescent="0.3">
      <c r="A4120" s="5" t="str">
        <f t="shared" si="450"/>
        <v>Reebok</v>
      </c>
      <c r="B4120" s="5" t="str">
        <f t="shared" si="452"/>
        <v>Instapump Fury</v>
      </c>
      <c r="C4120" s="3">
        <f t="shared" si="451"/>
        <v>45932</v>
      </c>
      <c r="D4120" s="4">
        <f t="shared" ca="1" si="453"/>
        <v>57</v>
      </c>
      <c r="E4120" s="2">
        <f t="shared" ca="1" si="454"/>
        <v>8167</v>
      </c>
      <c r="F4120" s="2">
        <f t="shared" ca="1" si="455"/>
        <v>27642</v>
      </c>
      <c r="G4120" s="2">
        <f t="shared" ca="1" si="456"/>
        <v>737</v>
      </c>
    </row>
    <row r="4121" spans="1:7" x14ac:dyDescent="0.3">
      <c r="A4121" s="5" t="str">
        <f t="shared" si="450"/>
        <v>Nike</v>
      </c>
      <c r="B4121" s="5" t="str">
        <f t="shared" si="452"/>
        <v>Cortez</v>
      </c>
      <c r="C4121" s="3">
        <f t="shared" si="451"/>
        <v>45932</v>
      </c>
      <c r="D4121" s="4">
        <f t="shared" ca="1" si="453"/>
        <v>245</v>
      </c>
      <c r="E4121" s="2">
        <f t="shared" ca="1" si="454"/>
        <v>1954</v>
      </c>
      <c r="F4121" s="2">
        <f t="shared" ca="1" si="455"/>
        <v>5331</v>
      </c>
      <c r="G4121" s="2">
        <f t="shared" ca="1" si="456"/>
        <v>201</v>
      </c>
    </row>
    <row r="4122" spans="1:7" x14ac:dyDescent="0.3">
      <c r="A4122" s="5" t="str">
        <f t="shared" si="450"/>
        <v>Adidas</v>
      </c>
      <c r="B4122" s="5" t="str">
        <f t="shared" si="452"/>
        <v>NMD S1</v>
      </c>
      <c r="C4122" s="3">
        <f t="shared" si="451"/>
        <v>45932</v>
      </c>
      <c r="D4122" s="4">
        <f t="shared" ca="1" si="453"/>
        <v>89</v>
      </c>
      <c r="E4122" s="2">
        <f t="shared" ca="1" si="454"/>
        <v>3948</v>
      </c>
      <c r="F4122" s="2">
        <f t="shared" ca="1" si="455"/>
        <v>18490</v>
      </c>
      <c r="G4122" s="2">
        <f t="shared" ca="1" si="456"/>
        <v>377</v>
      </c>
    </row>
    <row r="4123" spans="1:7" x14ac:dyDescent="0.3">
      <c r="A4123" s="5" t="str">
        <f t="shared" si="450"/>
        <v>Puma</v>
      </c>
      <c r="B4123" s="5" t="str">
        <f t="shared" si="452"/>
        <v>Suede Classic</v>
      </c>
      <c r="C4123" s="3">
        <f t="shared" si="451"/>
        <v>45932</v>
      </c>
      <c r="D4123" s="4">
        <f t="shared" ca="1" si="453"/>
        <v>118</v>
      </c>
      <c r="E4123" s="2">
        <f t="shared" ca="1" si="454"/>
        <v>3748</v>
      </c>
      <c r="F4123" s="2">
        <f t="shared" ca="1" si="455"/>
        <v>28548</v>
      </c>
      <c r="G4123" s="2">
        <f t="shared" ca="1" si="456"/>
        <v>1562</v>
      </c>
    </row>
    <row r="4124" spans="1:7" x14ac:dyDescent="0.3">
      <c r="A4124" s="5" t="str">
        <f t="shared" si="450"/>
        <v>New Balance</v>
      </c>
      <c r="B4124" s="5" t="str">
        <f t="shared" si="452"/>
        <v>990v6</v>
      </c>
      <c r="C4124" s="3">
        <f t="shared" si="451"/>
        <v>45932</v>
      </c>
      <c r="D4124" s="4">
        <f t="shared" ca="1" si="453"/>
        <v>93</v>
      </c>
      <c r="E4124" s="2">
        <f t="shared" ca="1" si="454"/>
        <v>8022</v>
      </c>
      <c r="F4124" s="2">
        <f t="shared" ca="1" si="455"/>
        <v>10956</v>
      </c>
      <c r="G4124" s="2">
        <f t="shared" ca="1" si="456"/>
        <v>418</v>
      </c>
    </row>
    <row r="4125" spans="1:7" x14ac:dyDescent="0.3">
      <c r="A4125" s="5" t="str">
        <f t="shared" si="450"/>
        <v>Reebok</v>
      </c>
      <c r="B4125" s="5" t="str">
        <f t="shared" si="452"/>
        <v>Nano X3</v>
      </c>
      <c r="C4125" s="3">
        <f t="shared" si="451"/>
        <v>45932</v>
      </c>
      <c r="D4125" s="4">
        <f t="shared" ca="1" si="453"/>
        <v>64</v>
      </c>
      <c r="E4125" s="2">
        <f t="shared" ca="1" si="454"/>
        <v>5002</v>
      </c>
      <c r="F4125" s="2">
        <f t="shared" ca="1" si="455"/>
        <v>12362</v>
      </c>
      <c r="G4125" s="2">
        <f t="shared" ca="1" si="456"/>
        <v>312</v>
      </c>
    </row>
    <row r="4126" spans="1:7" x14ac:dyDescent="0.3">
      <c r="A4126" s="5" t="str">
        <f t="shared" si="450"/>
        <v>Nike</v>
      </c>
      <c r="B4126" s="5" t="str">
        <f t="shared" si="452"/>
        <v>Vaporfly 3</v>
      </c>
      <c r="C4126" s="3">
        <f t="shared" si="451"/>
        <v>45932</v>
      </c>
      <c r="D4126" s="4">
        <f t="shared" ca="1" si="453"/>
        <v>145</v>
      </c>
      <c r="E4126" s="2">
        <f t="shared" ca="1" si="454"/>
        <v>9044</v>
      </c>
      <c r="F4126" s="2">
        <f t="shared" ca="1" si="455"/>
        <v>16762</v>
      </c>
      <c r="G4126" s="2">
        <f t="shared" ca="1" si="456"/>
        <v>501</v>
      </c>
    </row>
    <row r="4127" spans="1:7" x14ac:dyDescent="0.3">
      <c r="A4127" s="5" t="str">
        <f t="shared" si="450"/>
        <v>Adidas</v>
      </c>
      <c r="B4127" s="5" t="str">
        <f t="shared" si="452"/>
        <v>Samba</v>
      </c>
      <c r="C4127" s="3">
        <f t="shared" si="451"/>
        <v>45933</v>
      </c>
      <c r="D4127" s="4">
        <f t="shared" ca="1" si="453"/>
        <v>221</v>
      </c>
      <c r="E4127" s="2">
        <f t="shared" ca="1" si="454"/>
        <v>11282</v>
      </c>
      <c r="F4127" s="2">
        <f t="shared" ca="1" si="455"/>
        <v>25244</v>
      </c>
      <c r="G4127" s="2">
        <f t="shared" ca="1" si="456"/>
        <v>1801</v>
      </c>
    </row>
    <row r="4128" spans="1:7" x14ac:dyDescent="0.3">
      <c r="A4128" s="5" t="str">
        <f t="shared" si="450"/>
        <v>Puma</v>
      </c>
      <c r="B4128" s="5" t="str">
        <f t="shared" si="452"/>
        <v>Mayze</v>
      </c>
      <c r="C4128" s="3">
        <f t="shared" si="451"/>
        <v>45933</v>
      </c>
      <c r="D4128" s="4">
        <f t="shared" ca="1" si="453"/>
        <v>168</v>
      </c>
      <c r="E4128" s="2">
        <f t="shared" ca="1" si="454"/>
        <v>7152</v>
      </c>
      <c r="F4128" s="2">
        <f t="shared" ca="1" si="455"/>
        <v>22606</v>
      </c>
      <c r="G4128" s="2">
        <f t="shared" ca="1" si="456"/>
        <v>952</v>
      </c>
    </row>
    <row r="4129" spans="1:7" x14ac:dyDescent="0.3">
      <c r="A4129" s="5" t="str">
        <f t="shared" si="450"/>
        <v>New Balance</v>
      </c>
      <c r="B4129" s="5" t="str">
        <f t="shared" si="452"/>
        <v>574 Core</v>
      </c>
      <c r="C4129" s="3">
        <f t="shared" si="451"/>
        <v>45933</v>
      </c>
      <c r="D4129" s="4">
        <f t="shared" ca="1" si="453"/>
        <v>134</v>
      </c>
      <c r="E4129" s="2">
        <f t="shared" ca="1" si="454"/>
        <v>7422</v>
      </c>
      <c r="F4129" s="2">
        <f t="shared" ca="1" si="455"/>
        <v>16796</v>
      </c>
      <c r="G4129" s="2">
        <f t="shared" ca="1" si="456"/>
        <v>487</v>
      </c>
    </row>
    <row r="4130" spans="1:7" x14ac:dyDescent="0.3">
      <c r="A4130" s="5" t="str">
        <f t="shared" si="450"/>
        <v>Reebok</v>
      </c>
      <c r="B4130" s="5" t="str">
        <f t="shared" si="452"/>
        <v>Club C 85</v>
      </c>
      <c r="C4130" s="3">
        <f t="shared" si="451"/>
        <v>45933</v>
      </c>
      <c r="D4130" s="4">
        <f t="shared" ca="1" si="453"/>
        <v>95</v>
      </c>
      <c r="E4130" s="2">
        <f t="shared" ca="1" si="454"/>
        <v>10615</v>
      </c>
      <c r="F4130" s="2">
        <f t="shared" ca="1" si="455"/>
        <v>18814</v>
      </c>
      <c r="G4130" s="2">
        <f t="shared" ca="1" si="456"/>
        <v>621</v>
      </c>
    </row>
    <row r="4131" spans="1:7" x14ac:dyDescent="0.3">
      <c r="A4131" s="5" t="str">
        <f t="shared" si="450"/>
        <v>Nike</v>
      </c>
      <c r="B4131" s="5" t="str">
        <f t="shared" si="452"/>
        <v>Pegasus 40</v>
      </c>
      <c r="C4131" s="3">
        <f t="shared" si="451"/>
        <v>45933</v>
      </c>
      <c r="D4131" s="4">
        <f t="shared" ca="1" si="453"/>
        <v>172</v>
      </c>
      <c r="E4131" s="2">
        <f t="shared" ca="1" si="454"/>
        <v>10495</v>
      </c>
      <c r="F4131" s="2">
        <f t="shared" ca="1" si="455"/>
        <v>10797</v>
      </c>
      <c r="G4131" s="2">
        <f t="shared" ca="1" si="456"/>
        <v>692</v>
      </c>
    </row>
    <row r="4132" spans="1:7" x14ac:dyDescent="0.3">
      <c r="A4132" s="5" t="str">
        <f t="shared" si="450"/>
        <v>Adidas</v>
      </c>
      <c r="B4132" s="5" t="str">
        <f t="shared" si="452"/>
        <v>Gazelle</v>
      </c>
      <c r="C4132" s="3">
        <f t="shared" si="451"/>
        <v>45933</v>
      </c>
      <c r="D4132" s="4">
        <f t="shared" ca="1" si="453"/>
        <v>172</v>
      </c>
      <c r="E4132" s="2">
        <f t="shared" ca="1" si="454"/>
        <v>5703</v>
      </c>
      <c r="F4132" s="2">
        <f t="shared" ca="1" si="455"/>
        <v>21455</v>
      </c>
      <c r="G4132" s="2">
        <f t="shared" ca="1" si="456"/>
        <v>495</v>
      </c>
    </row>
    <row r="4133" spans="1:7" x14ac:dyDescent="0.3">
      <c r="A4133" s="5" t="str">
        <f t="shared" si="450"/>
        <v>Puma</v>
      </c>
      <c r="B4133" s="5" t="str">
        <f t="shared" si="452"/>
        <v>Slipstream</v>
      </c>
      <c r="C4133" s="3">
        <f t="shared" si="451"/>
        <v>45933</v>
      </c>
      <c r="D4133" s="4">
        <f t="shared" ca="1" si="453"/>
        <v>132</v>
      </c>
      <c r="E4133" s="2">
        <f t="shared" ca="1" si="454"/>
        <v>4013</v>
      </c>
      <c r="F4133" s="2">
        <f t="shared" ca="1" si="455"/>
        <v>34141</v>
      </c>
      <c r="G4133" s="2">
        <f t="shared" ca="1" si="456"/>
        <v>1226</v>
      </c>
    </row>
    <row r="4134" spans="1:7" x14ac:dyDescent="0.3">
      <c r="A4134" s="5" t="str">
        <f t="shared" si="450"/>
        <v>New Balance</v>
      </c>
      <c r="B4134" s="5" t="str">
        <f t="shared" si="452"/>
        <v>550</v>
      </c>
      <c r="C4134" s="3">
        <f t="shared" si="451"/>
        <v>45933</v>
      </c>
      <c r="D4134" s="4">
        <f t="shared" ca="1" si="453"/>
        <v>91</v>
      </c>
      <c r="E4134" s="2">
        <f t="shared" ca="1" si="454"/>
        <v>8445</v>
      </c>
      <c r="F4134" s="2">
        <f t="shared" ca="1" si="455"/>
        <v>29550</v>
      </c>
      <c r="G4134" s="2">
        <f t="shared" ca="1" si="456"/>
        <v>1457</v>
      </c>
    </row>
    <row r="4135" spans="1:7" x14ac:dyDescent="0.3">
      <c r="A4135" s="5" t="str">
        <f t="shared" si="450"/>
        <v>Reebok</v>
      </c>
      <c r="B4135" s="5" t="str">
        <f t="shared" si="452"/>
        <v>Classic Leather</v>
      </c>
      <c r="C4135" s="3">
        <f t="shared" si="451"/>
        <v>45933</v>
      </c>
      <c r="D4135" s="4">
        <f t="shared" ca="1" si="453"/>
        <v>73</v>
      </c>
      <c r="E4135" s="2">
        <f t="shared" ca="1" si="454"/>
        <v>5032</v>
      </c>
      <c r="F4135" s="2">
        <f t="shared" ca="1" si="455"/>
        <v>25443</v>
      </c>
      <c r="G4135" s="2">
        <f t="shared" ca="1" si="456"/>
        <v>1932</v>
      </c>
    </row>
    <row r="4136" spans="1:7" x14ac:dyDescent="0.3">
      <c r="A4136" s="5" t="str">
        <f t="shared" si="450"/>
        <v>Nike</v>
      </c>
      <c r="B4136" s="5" t="str">
        <f t="shared" si="452"/>
        <v>Air Force 1</v>
      </c>
      <c r="C4136" s="3">
        <f t="shared" si="451"/>
        <v>45933</v>
      </c>
      <c r="D4136" s="4">
        <f t="shared" ca="1" si="453"/>
        <v>170</v>
      </c>
      <c r="E4136" s="2">
        <f t="shared" ca="1" si="454"/>
        <v>11099</v>
      </c>
      <c r="F4136" s="2">
        <f t="shared" ca="1" si="455"/>
        <v>26618</v>
      </c>
      <c r="G4136" s="2">
        <f t="shared" ca="1" si="456"/>
        <v>1450</v>
      </c>
    </row>
    <row r="4137" spans="1:7" x14ac:dyDescent="0.3">
      <c r="A4137" s="5" t="str">
        <f t="shared" si="450"/>
        <v>Adidas</v>
      </c>
      <c r="B4137" s="5" t="str">
        <f t="shared" si="452"/>
        <v>Superstar</v>
      </c>
      <c r="C4137" s="3">
        <f t="shared" si="451"/>
        <v>45933</v>
      </c>
      <c r="D4137" s="4">
        <f t="shared" ca="1" si="453"/>
        <v>65</v>
      </c>
      <c r="E4137" s="2">
        <f t="shared" ca="1" si="454"/>
        <v>2958</v>
      </c>
      <c r="F4137" s="2">
        <f t="shared" ca="1" si="455"/>
        <v>5418</v>
      </c>
      <c r="G4137" s="2">
        <f t="shared" ca="1" si="456"/>
        <v>316</v>
      </c>
    </row>
    <row r="4138" spans="1:7" x14ac:dyDescent="0.3">
      <c r="A4138" s="5" t="str">
        <f t="shared" si="450"/>
        <v>Puma</v>
      </c>
      <c r="B4138" s="5" t="str">
        <f t="shared" si="452"/>
        <v>Rider Vintage</v>
      </c>
      <c r="C4138" s="3">
        <f t="shared" si="451"/>
        <v>45933</v>
      </c>
      <c r="D4138" s="4">
        <f t="shared" ca="1" si="453"/>
        <v>102</v>
      </c>
      <c r="E4138" s="2">
        <f t="shared" ca="1" si="454"/>
        <v>7558</v>
      </c>
      <c r="F4138" s="2">
        <f t="shared" ca="1" si="455"/>
        <v>26715</v>
      </c>
      <c r="G4138" s="2">
        <f t="shared" ca="1" si="456"/>
        <v>2104</v>
      </c>
    </row>
    <row r="4139" spans="1:7" x14ac:dyDescent="0.3">
      <c r="A4139" s="5" t="str">
        <f t="shared" ref="A4139:A4202" si="457">CHOOSE(MOD(ROW(A4138),5)+1,"Nike","Adidas","Puma","New Balance","Reebok")</f>
        <v>New Balance</v>
      </c>
      <c r="B4139" s="5" t="str">
        <f t="shared" si="452"/>
        <v>327</v>
      </c>
      <c r="C4139" s="3">
        <f t="shared" ref="C4139:C4202" si="458">DATE(2025,1,1)+INT((ROW(A4139)-2)/15)</f>
        <v>45933</v>
      </c>
      <c r="D4139" s="4">
        <f t="shared" ca="1" si="453"/>
        <v>186</v>
      </c>
      <c r="E4139" s="2">
        <f t="shared" ca="1" si="454"/>
        <v>2662</v>
      </c>
      <c r="F4139" s="2">
        <f t="shared" ca="1" si="455"/>
        <v>14419</v>
      </c>
      <c r="G4139" s="2">
        <f t="shared" ca="1" si="456"/>
        <v>699</v>
      </c>
    </row>
    <row r="4140" spans="1:7" x14ac:dyDescent="0.3">
      <c r="A4140" s="5" t="str">
        <f t="shared" si="457"/>
        <v>Reebok</v>
      </c>
      <c r="B4140" s="5" t="str">
        <f t="shared" si="452"/>
        <v>Question Mid</v>
      </c>
      <c r="C4140" s="3">
        <f t="shared" si="458"/>
        <v>45933</v>
      </c>
      <c r="D4140" s="4">
        <f t="shared" ca="1" si="453"/>
        <v>38</v>
      </c>
      <c r="E4140" s="2">
        <f t="shared" ca="1" si="454"/>
        <v>7516</v>
      </c>
      <c r="F4140" s="2">
        <f t="shared" ca="1" si="455"/>
        <v>15229</v>
      </c>
      <c r="G4140" s="2">
        <f t="shared" ca="1" si="456"/>
        <v>1204</v>
      </c>
    </row>
    <row r="4141" spans="1:7" x14ac:dyDescent="0.3">
      <c r="A4141" s="5" t="str">
        <f t="shared" si="457"/>
        <v>Nike</v>
      </c>
      <c r="B4141" s="5" t="str">
        <f t="shared" si="452"/>
        <v>Air Max 270</v>
      </c>
      <c r="C4141" s="3">
        <f t="shared" si="458"/>
        <v>45933</v>
      </c>
      <c r="D4141" s="4">
        <f t="shared" ca="1" si="453"/>
        <v>185</v>
      </c>
      <c r="E4141" s="2">
        <f t="shared" ca="1" si="454"/>
        <v>7003</v>
      </c>
      <c r="F4141" s="2">
        <f t="shared" ca="1" si="455"/>
        <v>19523</v>
      </c>
      <c r="G4141" s="2">
        <f t="shared" ca="1" si="456"/>
        <v>492</v>
      </c>
    </row>
    <row r="4142" spans="1:7" x14ac:dyDescent="0.3">
      <c r="A4142" s="5" t="str">
        <f t="shared" si="457"/>
        <v>Adidas</v>
      </c>
      <c r="B4142" s="5" t="str">
        <f t="shared" si="452"/>
        <v>Stan Smith</v>
      </c>
      <c r="C4142" s="3">
        <f t="shared" si="458"/>
        <v>45934</v>
      </c>
      <c r="D4142" s="4">
        <f t="shared" ca="1" si="453"/>
        <v>71</v>
      </c>
      <c r="E4142" s="2">
        <f t="shared" ca="1" si="454"/>
        <v>9077</v>
      </c>
      <c r="F4142" s="2">
        <f t="shared" ca="1" si="455"/>
        <v>23478</v>
      </c>
      <c r="G4142" s="2">
        <f t="shared" ca="1" si="456"/>
        <v>1497</v>
      </c>
    </row>
    <row r="4143" spans="1:7" x14ac:dyDescent="0.3">
      <c r="A4143" s="5" t="str">
        <f t="shared" si="457"/>
        <v>Puma</v>
      </c>
      <c r="B4143" s="5" t="str">
        <f t="shared" si="452"/>
        <v>Cali Dream</v>
      </c>
      <c r="C4143" s="3">
        <f t="shared" si="458"/>
        <v>45934</v>
      </c>
      <c r="D4143" s="4">
        <f t="shared" ca="1" si="453"/>
        <v>168</v>
      </c>
      <c r="E4143" s="2">
        <f t="shared" ca="1" si="454"/>
        <v>8429</v>
      </c>
      <c r="F4143" s="2">
        <f t="shared" ca="1" si="455"/>
        <v>24084</v>
      </c>
      <c r="G4143" s="2">
        <f t="shared" ca="1" si="456"/>
        <v>1665</v>
      </c>
    </row>
    <row r="4144" spans="1:7" x14ac:dyDescent="0.3">
      <c r="A4144" s="5" t="str">
        <f t="shared" si="457"/>
        <v>New Balance</v>
      </c>
      <c r="B4144" s="5" t="str">
        <f t="shared" si="452"/>
        <v>9060</v>
      </c>
      <c r="C4144" s="3">
        <f t="shared" si="458"/>
        <v>45934</v>
      </c>
      <c r="D4144" s="4">
        <f t="shared" ca="1" si="453"/>
        <v>143</v>
      </c>
      <c r="E4144" s="2">
        <f t="shared" ca="1" si="454"/>
        <v>2892</v>
      </c>
      <c r="F4144" s="2">
        <f t="shared" ca="1" si="455"/>
        <v>16890</v>
      </c>
      <c r="G4144" s="2">
        <f t="shared" ca="1" si="456"/>
        <v>1203</v>
      </c>
    </row>
    <row r="4145" spans="1:7" x14ac:dyDescent="0.3">
      <c r="A4145" s="5" t="str">
        <f t="shared" si="457"/>
        <v>Reebok</v>
      </c>
      <c r="B4145" s="5" t="str">
        <f t="shared" si="452"/>
        <v>Zig Kinetica</v>
      </c>
      <c r="C4145" s="3">
        <f t="shared" si="458"/>
        <v>45934</v>
      </c>
      <c r="D4145" s="4">
        <f t="shared" ca="1" si="453"/>
        <v>88</v>
      </c>
      <c r="E4145" s="2">
        <f t="shared" ca="1" si="454"/>
        <v>9103</v>
      </c>
      <c r="F4145" s="2">
        <f t="shared" ca="1" si="455"/>
        <v>24166</v>
      </c>
      <c r="G4145" s="2">
        <f t="shared" ca="1" si="456"/>
        <v>1334</v>
      </c>
    </row>
    <row r="4146" spans="1:7" x14ac:dyDescent="0.3">
      <c r="A4146" s="5" t="str">
        <f t="shared" si="457"/>
        <v>Nike</v>
      </c>
      <c r="B4146" s="5" t="str">
        <f t="shared" si="452"/>
        <v>Jordan 1</v>
      </c>
      <c r="C4146" s="3">
        <f t="shared" si="458"/>
        <v>45934</v>
      </c>
      <c r="D4146" s="4">
        <f t="shared" ca="1" si="453"/>
        <v>103</v>
      </c>
      <c r="E4146" s="2">
        <f t="shared" ca="1" si="454"/>
        <v>3058</v>
      </c>
      <c r="F4146" s="2">
        <f t="shared" ca="1" si="455"/>
        <v>16010</v>
      </c>
      <c r="G4146" s="2">
        <f t="shared" ca="1" si="456"/>
        <v>484</v>
      </c>
    </row>
    <row r="4147" spans="1:7" x14ac:dyDescent="0.3">
      <c r="A4147" s="5" t="str">
        <f t="shared" si="457"/>
        <v>Adidas</v>
      </c>
      <c r="B4147" s="5" t="str">
        <f t="shared" si="452"/>
        <v>Ultraboost 23</v>
      </c>
      <c r="C4147" s="3">
        <f t="shared" si="458"/>
        <v>45934</v>
      </c>
      <c r="D4147" s="4">
        <f t="shared" ca="1" si="453"/>
        <v>71</v>
      </c>
      <c r="E4147" s="2">
        <f t="shared" ca="1" si="454"/>
        <v>10116</v>
      </c>
      <c r="F4147" s="2">
        <f t="shared" ca="1" si="455"/>
        <v>32970</v>
      </c>
      <c r="G4147" s="2">
        <f t="shared" ca="1" si="456"/>
        <v>1549</v>
      </c>
    </row>
    <row r="4148" spans="1:7" x14ac:dyDescent="0.3">
      <c r="A4148" s="5" t="str">
        <f t="shared" si="457"/>
        <v>Puma</v>
      </c>
      <c r="B4148" s="5" t="str">
        <f t="shared" si="452"/>
        <v>RS-X</v>
      </c>
      <c r="C4148" s="3">
        <f t="shared" si="458"/>
        <v>45934</v>
      </c>
      <c r="D4148" s="4">
        <f t="shared" ca="1" si="453"/>
        <v>227</v>
      </c>
      <c r="E4148" s="2">
        <f t="shared" ca="1" si="454"/>
        <v>3341</v>
      </c>
      <c r="F4148" s="2">
        <f t="shared" ca="1" si="455"/>
        <v>26962</v>
      </c>
      <c r="G4148" s="2">
        <f t="shared" ca="1" si="456"/>
        <v>1415</v>
      </c>
    </row>
    <row r="4149" spans="1:7" x14ac:dyDescent="0.3">
      <c r="A4149" s="5" t="str">
        <f t="shared" si="457"/>
        <v>New Balance</v>
      </c>
      <c r="B4149" s="5" t="str">
        <f t="shared" si="452"/>
        <v>2002R</v>
      </c>
      <c r="C4149" s="3">
        <f t="shared" si="458"/>
        <v>45934</v>
      </c>
      <c r="D4149" s="4">
        <f t="shared" ca="1" si="453"/>
        <v>126</v>
      </c>
      <c r="E4149" s="2">
        <f t="shared" ca="1" si="454"/>
        <v>3955</v>
      </c>
      <c r="F4149" s="2">
        <f t="shared" ca="1" si="455"/>
        <v>13062</v>
      </c>
      <c r="G4149" s="2">
        <f t="shared" ca="1" si="456"/>
        <v>746</v>
      </c>
    </row>
    <row r="4150" spans="1:7" x14ac:dyDescent="0.3">
      <c r="A4150" s="5" t="str">
        <f t="shared" si="457"/>
        <v>Reebok</v>
      </c>
      <c r="B4150" s="5" t="str">
        <f t="shared" si="452"/>
        <v>Instapump Fury</v>
      </c>
      <c r="C4150" s="3">
        <f t="shared" si="458"/>
        <v>45934</v>
      </c>
      <c r="D4150" s="4">
        <f t="shared" ca="1" si="453"/>
        <v>59</v>
      </c>
      <c r="E4150" s="2">
        <f t="shared" ca="1" si="454"/>
        <v>10341</v>
      </c>
      <c r="F4150" s="2">
        <f t="shared" ca="1" si="455"/>
        <v>19741</v>
      </c>
      <c r="G4150" s="2">
        <f t="shared" ca="1" si="456"/>
        <v>1289</v>
      </c>
    </row>
    <row r="4151" spans="1:7" x14ac:dyDescent="0.3">
      <c r="A4151" s="5" t="str">
        <f t="shared" si="457"/>
        <v>Nike</v>
      </c>
      <c r="B4151" s="5" t="str">
        <f t="shared" si="452"/>
        <v>Cortez</v>
      </c>
      <c r="C4151" s="3">
        <f t="shared" si="458"/>
        <v>45934</v>
      </c>
      <c r="D4151" s="4">
        <f t="shared" ca="1" si="453"/>
        <v>109</v>
      </c>
      <c r="E4151" s="2">
        <f t="shared" ca="1" si="454"/>
        <v>4762</v>
      </c>
      <c r="F4151" s="2">
        <f t="shared" ca="1" si="455"/>
        <v>20203</v>
      </c>
      <c r="G4151" s="2">
        <f t="shared" ca="1" si="456"/>
        <v>1074</v>
      </c>
    </row>
    <row r="4152" spans="1:7" x14ac:dyDescent="0.3">
      <c r="A4152" s="5" t="str">
        <f t="shared" si="457"/>
        <v>Adidas</v>
      </c>
      <c r="B4152" s="5" t="str">
        <f t="shared" si="452"/>
        <v>NMD S1</v>
      </c>
      <c r="C4152" s="3">
        <f t="shared" si="458"/>
        <v>45934</v>
      </c>
      <c r="D4152" s="4">
        <f t="shared" ca="1" si="453"/>
        <v>213</v>
      </c>
      <c r="E4152" s="2">
        <f t="shared" ca="1" si="454"/>
        <v>1722</v>
      </c>
      <c r="F4152" s="2">
        <f t="shared" ca="1" si="455"/>
        <v>18427</v>
      </c>
      <c r="G4152" s="2">
        <f t="shared" ca="1" si="456"/>
        <v>893</v>
      </c>
    </row>
    <row r="4153" spans="1:7" x14ac:dyDescent="0.3">
      <c r="A4153" s="5" t="str">
        <f t="shared" si="457"/>
        <v>Puma</v>
      </c>
      <c r="B4153" s="5" t="str">
        <f t="shared" si="452"/>
        <v>Suede Classic</v>
      </c>
      <c r="C4153" s="3">
        <f t="shared" si="458"/>
        <v>45934</v>
      </c>
      <c r="D4153" s="4">
        <f t="shared" ca="1" si="453"/>
        <v>152</v>
      </c>
      <c r="E4153" s="2">
        <f t="shared" ca="1" si="454"/>
        <v>2224</v>
      </c>
      <c r="F4153" s="2">
        <f t="shared" ca="1" si="455"/>
        <v>15191</v>
      </c>
      <c r="G4153" s="2">
        <f t="shared" ca="1" si="456"/>
        <v>842</v>
      </c>
    </row>
    <row r="4154" spans="1:7" x14ac:dyDescent="0.3">
      <c r="A4154" s="5" t="str">
        <f t="shared" si="457"/>
        <v>New Balance</v>
      </c>
      <c r="B4154" s="5" t="str">
        <f t="shared" si="452"/>
        <v>990v6</v>
      </c>
      <c r="C4154" s="3">
        <f t="shared" si="458"/>
        <v>45934</v>
      </c>
      <c r="D4154" s="4">
        <f t="shared" ca="1" si="453"/>
        <v>83</v>
      </c>
      <c r="E4154" s="2">
        <f t="shared" ca="1" si="454"/>
        <v>7980</v>
      </c>
      <c r="F4154" s="2">
        <f t="shared" ca="1" si="455"/>
        <v>29121</v>
      </c>
      <c r="G4154" s="2">
        <f t="shared" ca="1" si="456"/>
        <v>1826</v>
      </c>
    </row>
    <row r="4155" spans="1:7" x14ac:dyDescent="0.3">
      <c r="A4155" s="5" t="str">
        <f t="shared" si="457"/>
        <v>Reebok</v>
      </c>
      <c r="B4155" s="5" t="str">
        <f t="shared" si="452"/>
        <v>Nano X3</v>
      </c>
      <c r="C4155" s="3">
        <f t="shared" si="458"/>
        <v>45934</v>
      </c>
      <c r="D4155" s="4">
        <f t="shared" ca="1" si="453"/>
        <v>181</v>
      </c>
      <c r="E4155" s="2">
        <f t="shared" ca="1" si="454"/>
        <v>10797</v>
      </c>
      <c r="F4155" s="2">
        <f t="shared" ca="1" si="455"/>
        <v>19905</v>
      </c>
      <c r="G4155" s="2">
        <f t="shared" ca="1" si="456"/>
        <v>517</v>
      </c>
    </row>
    <row r="4156" spans="1:7" x14ac:dyDescent="0.3">
      <c r="A4156" s="5" t="str">
        <f t="shared" si="457"/>
        <v>Nike</v>
      </c>
      <c r="B4156" s="5" t="str">
        <f t="shared" si="452"/>
        <v>Vaporfly 3</v>
      </c>
      <c r="C4156" s="3">
        <f t="shared" si="458"/>
        <v>45934</v>
      </c>
      <c r="D4156" s="4">
        <f t="shared" ca="1" si="453"/>
        <v>98</v>
      </c>
      <c r="E4156" s="2">
        <f t="shared" ca="1" si="454"/>
        <v>4004</v>
      </c>
      <c r="F4156" s="2">
        <f t="shared" ca="1" si="455"/>
        <v>33551</v>
      </c>
      <c r="G4156" s="2">
        <f t="shared" ca="1" si="456"/>
        <v>2654</v>
      </c>
    </row>
    <row r="4157" spans="1:7" x14ac:dyDescent="0.3">
      <c r="A4157" s="5" t="str">
        <f t="shared" si="457"/>
        <v>Adidas</v>
      </c>
      <c r="B4157" s="5" t="str">
        <f t="shared" si="452"/>
        <v>Samba</v>
      </c>
      <c r="C4157" s="3">
        <f t="shared" si="458"/>
        <v>45935</v>
      </c>
      <c r="D4157" s="4">
        <f t="shared" ca="1" si="453"/>
        <v>163</v>
      </c>
      <c r="E4157" s="2">
        <f t="shared" ca="1" si="454"/>
        <v>11120</v>
      </c>
      <c r="F4157" s="2">
        <f t="shared" ca="1" si="455"/>
        <v>13365</v>
      </c>
      <c r="G4157" s="2">
        <f t="shared" ca="1" si="456"/>
        <v>409</v>
      </c>
    </row>
    <row r="4158" spans="1:7" x14ac:dyDescent="0.3">
      <c r="A4158" s="5" t="str">
        <f t="shared" si="457"/>
        <v>Puma</v>
      </c>
      <c r="B4158" s="5" t="str">
        <f t="shared" si="452"/>
        <v>Mayze</v>
      </c>
      <c r="C4158" s="3">
        <f t="shared" si="458"/>
        <v>45935</v>
      </c>
      <c r="D4158" s="4">
        <f t="shared" ca="1" si="453"/>
        <v>132</v>
      </c>
      <c r="E4158" s="2">
        <f t="shared" ca="1" si="454"/>
        <v>10539</v>
      </c>
      <c r="F4158" s="2">
        <f t="shared" ca="1" si="455"/>
        <v>11677</v>
      </c>
      <c r="G4158" s="2">
        <f t="shared" ca="1" si="456"/>
        <v>802</v>
      </c>
    </row>
    <row r="4159" spans="1:7" x14ac:dyDescent="0.3">
      <c r="A4159" s="5" t="str">
        <f t="shared" si="457"/>
        <v>New Balance</v>
      </c>
      <c r="B4159" s="5" t="str">
        <f t="shared" si="452"/>
        <v>574 Core</v>
      </c>
      <c r="C4159" s="3">
        <f t="shared" si="458"/>
        <v>45935</v>
      </c>
      <c r="D4159" s="4">
        <f t="shared" ca="1" si="453"/>
        <v>41</v>
      </c>
      <c r="E4159" s="2">
        <f t="shared" ca="1" si="454"/>
        <v>9831</v>
      </c>
      <c r="F4159" s="2">
        <f t="shared" ca="1" si="455"/>
        <v>7705</v>
      </c>
      <c r="G4159" s="2">
        <f t="shared" ca="1" si="456"/>
        <v>596</v>
      </c>
    </row>
    <row r="4160" spans="1:7" x14ac:dyDescent="0.3">
      <c r="A4160" s="5" t="str">
        <f t="shared" si="457"/>
        <v>Reebok</v>
      </c>
      <c r="B4160" s="5" t="str">
        <f t="shared" si="452"/>
        <v>Club C 85</v>
      </c>
      <c r="C4160" s="3">
        <f t="shared" si="458"/>
        <v>45935</v>
      </c>
      <c r="D4160" s="4">
        <f t="shared" ca="1" si="453"/>
        <v>146</v>
      </c>
      <c r="E4160" s="2">
        <f t="shared" ca="1" si="454"/>
        <v>4489</v>
      </c>
      <c r="F4160" s="2">
        <f t="shared" ca="1" si="455"/>
        <v>8379</v>
      </c>
      <c r="G4160" s="2">
        <f t="shared" ca="1" si="456"/>
        <v>257</v>
      </c>
    </row>
    <row r="4161" spans="1:7" x14ac:dyDescent="0.3">
      <c r="A4161" s="5" t="str">
        <f t="shared" si="457"/>
        <v>Nike</v>
      </c>
      <c r="B4161" s="5" t="str">
        <f t="shared" si="452"/>
        <v>Pegasus 40</v>
      </c>
      <c r="C4161" s="3">
        <f t="shared" si="458"/>
        <v>45935</v>
      </c>
      <c r="D4161" s="4">
        <f t="shared" ca="1" si="453"/>
        <v>45</v>
      </c>
      <c r="E4161" s="2">
        <f t="shared" ca="1" si="454"/>
        <v>1707</v>
      </c>
      <c r="F4161" s="2">
        <f t="shared" ca="1" si="455"/>
        <v>32493</v>
      </c>
      <c r="G4161" s="2">
        <f t="shared" ca="1" si="456"/>
        <v>998</v>
      </c>
    </row>
    <row r="4162" spans="1:7" x14ac:dyDescent="0.3">
      <c r="A4162" s="5" t="str">
        <f t="shared" si="457"/>
        <v>Adidas</v>
      </c>
      <c r="B4162" s="5" t="str">
        <f t="shared" si="452"/>
        <v>Gazelle</v>
      </c>
      <c r="C4162" s="3">
        <f t="shared" si="458"/>
        <v>45935</v>
      </c>
      <c r="D4162" s="4">
        <f t="shared" ca="1" si="453"/>
        <v>30</v>
      </c>
      <c r="E4162" s="2">
        <f t="shared" ca="1" si="454"/>
        <v>1886</v>
      </c>
      <c r="F4162" s="2">
        <f t="shared" ca="1" si="455"/>
        <v>8830</v>
      </c>
      <c r="G4162" s="2">
        <f t="shared" ca="1" si="456"/>
        <v>552</v>
      </c>
    </row>
    <row r="4163" spans="1:7" x14ac:dyDescent="0.3">
      <c r="A4163" s="5" t="str">
        <f t="shared" si="457"/>
        <v>Puma</v>
      </c>
      <c r="B4163" s="5" t="str">
        <f t="shared" ref="B4163:B4226" si="459">IF(A4163="Nike",CHOOSE(MOD(ROW(A4162),6)+1,"Air Max 270","Air Force 1","Pegasus 40","Vaporfly 3","Cortez","Jordan 1"),
 IF(A4163="Adidas",CHOOSE(MOD(ROW(A4162),6)+1,"Ultraboost 23","Stan Smith","Superstar","Gazelle","Samba","NMD S1"),
 IF(A4163="Puma",CHOOSE(MOD(ROW(A4162),6)+1,"Suede Classic","RS-X","Cali Dream","Rider Vintage","Slipstream","Mayze"),
 IF(A4163="New Balance",CHOOSE(MOD(ROW(A4162),6)+1,"574 Core","990v6","2002R","9060","327","550"),
 IF(A4163="Reebok",CHOOSE(MOD(ROW(A4162),6)+1,"Classic Leather","Club C 85","Nano X3","Instapump Fury","Zig Kinetica","Question Mid"),"")))))</f>
        <v>Slipstream</v>
      </c>
      <c r="C4163" s="3">
        <f t="shared" si="458"/>
        <v>45935</v>
      </c>
      <c r="D4163" s="4">
        <f t="shared" ref="D4163:D4226" ca="1" si="460">RANDBETWEEN(20,250)</f>
        <v>99</v>
      </c>
      <c r="E4163" s="2">
        <f t="shared" ref="E4163:E4226" ca="1" si="461">ROUND(RANDBETWEEN(1500,12000)+(RANDBETWEEN(-200,200)),2)</f>
        <v>10325</v>
      </c>
      <c r="F4163" s="2">
        <f t="shared" ref="F4163:F4226" ca="1" si="462">RANDBETWEEN(5000,35000)</f>
        <v>20639</v>
      </c>
      <c r="G4163" s="2">
        <f t="shared" ref="G4163:G4226" ca="1" si="463">RANDBETWEEN(ROUND(F4163*0.02,0),ROUND(F4163*0.08,0))</f>
        <v>944</v>
      </c>
    </row>
    <row r="4164" spans="1:7" x14ac:dyDescent="0.3">
      <c r="A4164" s="5" t="str">
        <f t="shared" si="457"/>
        <v>New Balance</v>
      </c>
      <c r="B4164" s="5" t="str">
        <f t="shared" si="459"/>
        <v>550</v>
      </c>
      <c r="C4164" s="3">
        <f t="shared" si="458"/>
        <v>45935</v>
      </c>
      <c r="D4164" s="4">
        <f t="shared" ca="1" si="460"/>
        <v>72</v>
      </c>
      <c r="E4164" s="2">
        <f t="shared" ca="1" si="461"/>
        <v>11356</v>
      </c>
      <c r="F4164" s="2">
        <f t="shared" ca="1" si="462"/>
        <v>32286</v>
      </c>
      <c r="G4164" s="2">
        <f t="shared" ca="1" si="463"/>
        <v>1843</v>
      </c>
    </row>
    <row r="4165" spans="1:7" x14ac:dyDescent="0.3">
      <c r="A4165" s="5" t="str">
        <f t="shared" si="457"/>
        <v>Reebok</v>
      </c>
      <c r="B4165" s="5" t="str">
        <f t="shared" si="459"/>
        <v>Classic Leather</v>
      </c>
      <c r="C4165" s="3">
        <f t="shared" si="458"/>
        <v>45935</v>
      </c>
      <c r="D4165" s="4">
        <f t="shared" ca="1" si="460"/>
        <v>70</v>
      </c>
      <c r="E4165" s="2">
        <f t="shared" ca="1" si="461"/>
        <v>3386</v>
      </c>
      <c r="F4165" s="2">
        <f t="shared" ca="1" si="462"/>
        <v>13723</v>
      </c>
      <c r="G4165" s="2">
        <f t="shared" ca="1" si="463"/>
        <v>432</v>
      </c>
    </row>
    <row r="4166" spans="1:7" x14ac:dyDescent="0.3">
      <c r="A4166" s="5" t="str">
        <f t="shared" si="457"/>
        <v>Nike</v>
      </c>
      <c r="B4166" s="5" t="str">
        <f t="shared" si="459"/>
        <v>Air Force 1</v>
      </c>
      <c r="C4166" s="3">
        <f t="shared" si="458"/>
        <v>45935</v>
      </c>
      <c r="D4166" s="4">
        <f t="shared" ca="1" si="460"/>
        <v>64</v>
      </c>
      <c r="E4166" s="2">
        <f t="shared" ca="1" si="461"/>
        <v>9718</v>
      </c>
      <c r="F4166" s="2">
        <f t="shared" ca="1" si="462"/>
        <v>16476</v>
      </c>
      <c r="G4166" s="2">
        <f t="shared" ca="1" si="463"/>
        <v>372</v>
      </c>
    </row>
    <row r="4167" spans="1:7" x14ac:dyDescent="0.3">
      <c r="A4167" s="5" t="str">
        <f t="shared" si="457"/>
        <v>Adidas</v>
      </c>
      <c r="B4167" s="5" t="str">
        <f t="shared" si="459"/>
        <v>Superstar</v>
      </c>
      <c r="C4167" s="3">
        <f t="shared" si="458"/>
        <v>45935</v>
      </c>
      <c r="D4167" s="4">
        <f t="shared" ca="1" si="460"/>
        <v>117</v>
      </c>
      <c r="E4167" s="2">
        <f t="shared" ca="1" si="461"/>
        <v>11362</v>
      </c>
      <c r="F4167" s="2">
        <f t="shared" ca="1" si="462"/>
        <v>11053</v>
      </c>
      <c r="G4167" s="2">
        <f t="shared" ca="1" si="463"/>
        <v>724</v>
      </c>
    </row>
    <row r="4168" spans="1:7" x14ac:dyDescent="0.3">
      <c r="A4168" s="5" t="str">
        <f t="shared" si="457"/>
        <v>Puma</v>
      </c>
      <c r="B4168" s="5" t="str">
        <f t="shared" si="459"/>
        <v>Rider Vintage</v>
      </c>
      <c r="C4168" s="3">
        <f t="shared" si="458"/>
        <v>45935</v>
      </c>
      <c r="D4168" s="4">
        <f t="shared" ca="1" si="460"/>
        <v>52</v>
      </c>
      <c r="E4168" s="2">
        <f t="shared" ca="1" si="461"/>
        <v>9730</v>
      </c>
      <c r="F4168" s="2">
        <f t="shared" ca="1" si="462"/>
        <v>6355</v>
      </c>
      <c r="G4168" s="2">
        <f t="shared" ca="1" si="463"/>
        <v>498</v>
      </c>
    </row>
    <row r="4169" spans="1:7" x14ac:dyDescent="0.3">
      <c r="A4169" s="5" t="str">
        <f t="shared" si="457"/>
        <v>New Balance</v>
      </c>
      <c r="B4169" s="5" t="str">
        <f t="shared" si="459"/>
        <v>327</v>
      </c>
      <c r="C4169" s="3">
        <f t="shared" si="458"/>
        <v>45935</v>
      </c>
      <c r="D4169" s="4">
        <f t="shared" ca="1" si="460"/>
        <v>161</v>
      </c>
      <c r="E4169" s="2">
        <f t="shared" ca="1" si="461"/>
        <v>3429</v>
      </c>
      <c r="F4169" s="2">
        <f t="shared" ca="1" si="462"/>
        <v>13553</v>
      </c>
      <c r="G4169" s="2">
        <f t="shared" ca="1" si="463"/>
        <v>290</v>
      </c>
    </row>
    <row r="4170" spans="1:7" x14ac:dyDescent="0.3">
      <c r="A4170" s="5" t="str">
        <f t="shared" si="457"/>
        <v>Reebok</v>
      </c>
      <c r="B4170" s="5" t="str">
        <f t="shared" si="459"/>
        <v>Question Mid</v>
      </c>
      <c r="C4170" s="3">
        <f t="shared" si="458"/>
        <v>45935</v>
      </c>
      <c r="D4170" s="4">
        <f t="shared" ca="1" si="460"/>
        <v>216</v>
      </c>
      <c r="E4170" s="2">
        <f t="shared" ca="1" si="461"/>
        <v>10392</v>
      </c>
      <c r="F4170" s="2">
        <f t="shared" ca="1" si="462"/>
        <v>31019</v>
      </c>
      <c r="G4170" s="2">
        <f t="shared" ca="1" si="463"/>
        <v>850</v>
      </c>
    </row>
    <row r="4171" spans="1:7" x14ac:dyDescent="0.3">
      <c r="A4171" s="5" t="str">
        <f t="shared" si="457"/>
        <v>Nike</v>
      </c>
      <c r="B4171" s="5" t="str">
        <f t="shared" si="459"/>
        <v>Air Max 270</v>
      </c>
      <c r="C4171" s="3">
        <f t="shared" si="458"/>
        <v>45935</v>
      </c>
      <c r="D4171" s="4">
        <f t="shared" ca="1" si="460"/>
        <v>84</v>
      </c>
      <c r="E4171" s="2">
        <f t="shared" ca="1" si="461"/>
        <v>2728</v>
      </c>
      <c r="F4171" s="2">
        <f t="shared" ca="1" si="462"/>
        <v>12615</v>
      </c>
      <c r="G4171" s="2">
        <f t="shared" ca="1" si="463"/>
        <v>918</v>
      </c>
    </row>
    <row r="4172" spans="1:7" x14ac:dyDescent="0.3">
      <c r="A4172" s="5" t="str">
        <f t="shared" si="457"/>
        <v>Adidas</v>
      </c>
      <c r="B4172" s="5" t="str">
        <f t="shared" si="459"/>
        <v>Stan Smith</v>
      </c>
      <c r="C4172" s="3">
        <f t="shared" si="458"/>
        <v>45936</v>
      </c>
      <c r="D4172" s="4">
        <f t="shared" ca="1" si="460"/>
        <v>89</v>
      </c>
      <c r="E4172" s="2">
        <f t="shared" ca="1" si="461"/>
        <v>4350</v>
      </c>
      <c r="F4172" s="2">
        <f t="shared" ca="1" si="462"/>
        <v>30844</v>
      </c>
      <c r="G4172" s="2">
        <f t="shared" ca="1" si="463"/>
        <v>872</v>
      </c>
    </row>
    <row r="4173" spans="1:7" x14ac:dyDescent="0.3">
      <c r="A4173" s="5" t="str">
        <f t="shared" si="457"/>
        <v>Puma</v>
      </c>
      <c r="B4173" s="5" t="str">
        <f t="shared" si="459"/>
        <v>Cali Dream</v>
      </c>
      <c r="C4173" s="3">
        <f t="shared" si="458"/>
        <v>45936</v>
      </c>
      <c r="D4173" s="4">
        <f t="shared" ca="1" si="460"/>
        <v>223</v>
      </c>
      <c r="E4173" s="2">
        <f t="shared" ca="1" si="461"/>
        <v>3155</v>
      </c>
      <c r="F4173" s="2">
        <f t="shared" ca="1" si="462"/>
        <v>11536</v>
      </c>
      <c r="G4173" s="2">
        <f t="shared" ca="1" si="463"/>
        <v>631</v>
      </c>
    </row>
    <row r="4174" spans="1:7" x14ac:dyDescent="0.3">
      <c r="A4174" s="5" t="str">
        <f t="shared" si="457"/>
        <v>New Balance</v>
      </c>
      <c r="B4174" s="5" t="str">
        <f t="shared" si="459"/>
        <v>9060</v>
      </c>
      <c r="C4174" s="3">
        <f t="shared" si="458"/>
        <v>45936</v>
      </c>
      <c r="D4174" s="4">
        <f t="shared" ca="1" si="460"/>
        <v>126</v>
      </c>
      <c r="E4174" s="2">
        <f t="shared" ca="1" si="461"/>
        <v>11654</v>
      </c>
      <c r="F4174" s="2">
        <f t="shared" ca="1" si="462"/>
        <v>30948</v>
      </c>
      <c r="G4174" s="2">
        <f t="shared" ca="1" si="463"/>
        <v>1774</v>
      </c>
    </row>
    <row r="4175" spans="1:7" x14ac:dyDescent="0.3">
      <c r="A4175" s="5" t="str">
        <f t="shared" si="457"/>
        <v>Reebok</v>
      </c>
      <c r="B4175" s="5" t="str">
        <f t="shared" si="459"/>
        <v>Zig Kinetica</v>
      </c>
      <c r="C4175" s="3">
        <f t="shared" si="458"/>
        <v>45936</v>
      </c>
      <c r="D4175" s="4">
        <f t="shared" ca="1" si="460"/>
        <v>117</v>
      </c>
      <c r="E4175" s="2">
        <f t="shared" ca="1" si="461"/>
        <v>10565</v>
      </c>
      <c r="F4175" s="2">
        <f t="shared" ca="1" si="462"/>
        <v>11026</v>
      </c>
      <c r="G4175" s="2">
        <f t="shared" ca="1" si="463"/>
        <v>685</v>
      </c>
    </row>
    <row r="4176" spans="1:7" x14ac:dyDescent="0.3">
      <c r="A4176" s="5" t="str">
        <f t="shared" si="457"/>
        <v>Nike</v>
      </c>
      <c r="B4176" s="5" t="str">
        <f t="shared" si="459"/>
        <v>Jordan 1</v>
      </c>
      <c r="C4176" s="3">
        <f t="shared" si="458"/>
        <v>45936</v>
      </c>
      <c r="D4176" s="4">
        <f t="shared" ca="1" si="460"/>
        <v>33</v>
      </c>
      <c r="E4176" s="2">
        <f t="shared" ca="1" si="461"/>
        <v>3110</v>
      </c>
      <c r="F4176" s="2">
        <f t="shared" ca="1" si="462"/>
        <v>23489</v>
      </c>
      <c r="G4176" s="2">
        <f t="shared" ca="1" si="463"/>
        <v>1188</v>
      </c>
    </row>
    <row r="4177" spans="1:7" x14ac:dyDescent="0.3">
      <c r="A4177" s="5" t="str">
        <f t="shared" si="457"/>
        <v>Adidas</v>
      </c>
      <c r="B4177" s="5" t="str">
        <f t="shared" si="459"/>
        <v>Ultraboost 23</v>
      </c>
      <c r="C4177" s="3">
        <f t="shared" si="458"/>
        <v>45936</v>
      </c>
      <c r="D4177" s="4">
        <f t="shared" ca="1" si="460"/>
        <v>172</v>
      </c>
      <c r="E4177" s="2">
        <f t="shared" ca="1" si="461"/>
        <v>11655</v>
      </c>
      <c r="F4177" s="2">
        <f t="shared" ca="1" si="462"/>
        <v>26399</v>
      </c>
      <c r="G4177" s="2">
        <f t="shared" ca="1" si="463"/>
        <v>1499</v>
      </c>
    </row>
    <row r="4178" spans="1:7" x14ac:dyDescent="0.3">
      <c r="A4178" s="5" t="str">
        <f t="shared" si="457"/>
        <v>Puma</v>
      </c>
      <c r="B4178" s="5" t="str">
        <f t="shared" si="459"/>
        <v>RS-X</v>
      </c>
      <c r="C4178" s="3">
        <f t="shared" si="458"/>
        <v>45936</v>
      </c>
      <c r="D4178" s="4">
        <f t="shared" ca="1" si="460"/>
        <v>215</v>
      </c>
      <c r="E4178" s="2">
        <f t="shared" ca="1" si="461"/>
        <v>11792</v>
      </c>
      <c r="F4178" s="2">
        <f t="shared" ca="1" si="462"/>
        <v>27375</v>
      </c>
      <c r="G4178" s="2">
        <f t="shared" ca="1" si="463"/>
        <v>1346</v>
      </c>
    </row>
    <row r="4179" spans="1:7" x14ac:dyDescent="0.3">
      <c r="A4179" s="5" t="str">
        <f t="shared" si="457"/>
        <v>New Balance</v>
      </c>
      <c r="B4179" s="5" t="str">
        <f t="shared" si="459"/>
        <v>2002R</v>
      </c>
      <c r="C4179" s="3">
        <f t="shared" si="458"/>
        <v>45936</v>
      </c>
      <c r="D4179" s="4">
        <f t="shared" ca="1" si="460"/>
        <v>232</v>
      </c>
      <c r="E4179" s="2">
        <f t="shared" ca="1" si="461"/>
        <v>4127</v>
      </c>
      <c r="F4179" s="2">
        <f t="shared" ca="1" si="462"/>
        <v>20764</v>
      </c>
      <c r="G4179" s="2">
        <f t="shared" ca="1" si="463"/>
        <v>1302</v>
      </c>
    </row>
    <row r="4180" spans="1:7" x14ac:dyDescent="0.3">
      <c r="A4180" s="5" t="str">
        <f t="shared" si="457"/>
        <v>Reebok</v>
      </c>
      <c r="B4180" s="5" t="str">
        <f t="shared" si="459"/>
        <v>Instapump Fury</v>
      </c>
      <c r="C4180" s="3">
        <f t="shared" si="458"/>
        <v>45936</v>
      </c>
      <c r="D4180" s="4">
        <f t="shared" ca="1" si="460"/>
        <v>37</v>
      </c>
      <c r="E4180" s="2">
        <f t="shared" ca="1" si="461"/>
        <v>4112</v>
      </c>
      <c r="F4180" s="2">
        <f t="shared" ca="1" si="462"/>
        <v>6171</v>
      </c>
      <c r="G4180" s="2">
        <f t="shared" ca="1" si="463"/>
        <v>384</v>
      </c>
    </row>
    <row r="4181" spans="1:7" x14ac:dyDescent="0.3">
      <c r="A4181" s="5" t="str">
        <f t="shared" si="457"/>
        <v>Nike</v>
      </c>
      <c r="B4181" s="5" t="str">
        <f t="shared" si="459"/>
        <v>Cortez</v>
      </c>
      <c r="C4181" s="3">
        <f t="shared" si="458"/>
        <v>45936</v>
      </c>
      <c r="D4181" s="4">
        <f t="shared" ca="1" si="460"/>
        <v>106</v>
      </c>
      <c r="E4181" s="2">
        <f t="shared" ca="1" si="461"/>
        <v>4653</v>
      </c>
      <c r="F4181" s="2">
        <f t="shared" ca="1" si="462"/>
        <v>19279</v>
      </c>
      <c r="G4181" s="2">
        <f t="shared" ca="1" si="463"/>
        <v>1200</v>
      </c>
    </row>
    <row r="4182" spans="1:7" x14ac:dyDescent="0.3">
      <c r="A4182" s="5" t="str">
        <f t="shared" si="457"/>
        <v>Adidas</v>
      </c>
      <c r="B4182" s="5" t="str">
        <f t="shared" si="459"/>
        <v>NMD S1</v>
      </c>
      <c r="C4182" s="3">
        <f t="shared" si="458"/>
        <v>45936</v>
      </c>
      <c r="D4182" s="4">
        <f t="shared" ca="1" si="460"/>
        <v>244</v>
      </c>
      <c r="E4182" s="2">
        <f t="shared" ca="1" si="461"/>
        <v>8887</v>
      </c>
      <c r="F4182" s="2">
        <f t="shared" ca="1" si="462"/>
        <v>7913</v>
      </c>
      <c r="G4182" s="2">
        <f t="shared" ca="1" si="463"/>
        <v>630</v>
      </c>
    </row>
    <row r="4183" spans="1:7" x14ac:dyDescent="0.3">
      <c r="A4183" s="5" t="str">
        <f t="shared" si="457"/>
        <v>Puma</v>
      </c>
      <c r="B4183" s="5" t="str">
        <f t="shared" si="459"/>
        <v>Suede Classic</v>
      </c>
      <c r="C4183" s="3">
        <f t="shared" si="458"/>
        <v>45936</v>
      </c>
      <c r="D4183" s="4">
        <f t="shared" ca="1" si="460"/>
        <v>174</v>
      </c>
      <c r="E4183" s="2">
        <f t="shared" ca="1" si="461"/>
        <v>9493</v>
      </c>
      <c r="F4183" s="2">
        <f t="shared" ca="1" si="462"/>
        <v>19185</v>
      </c>
      <c r="G4183" s="2">
        <f t="shared" ca="1" si="463"/>
        <v>1311</v>
      </c>
    </row>
    <row r="4184" spans="1:7" x14ac:dyDescent="0.3">
      <c r="A4184" s="5" t="str">
        <f t="shared" si="457"/>
        <v>New Balance</v>
      </c>
      <c r="B4184" s="5" t="str">
        <f t="shared" si="459"/>
        <v>990v6</v>
      </c>
      <c r="C4184" s="3">
        <f t="shared" si="458"/>
        <v>45936</v>
      </c>
      <c r="D4184" s="4">
        <f t="shared" ca="1" si="460"/>
        <v>127</v>
      </c>
      <c r="E4184" s="2">
        <f t="shared" ca="1" si="461"/>
        <v>6723</v>
      </c>
      <c r="F4184" s="2">
        <f t="shared" ca="1" si="462"/>
        <v>15543</v>
      </c>
      <c r="G4184" s="2">
        <f t="shared" ca="1" si="463"/>
        <v>636</v>
      </c>
    </row>
    <row r="4185" spans="1:7" x14ac:dyDescent="0.3">
      <c r="A4185" s="5" t="str">
        <f t="shared" si="457"/>
        <v>Reebok</v>
      </c>
      <c r="B4185" s="5" t="str">
        <f t="shared" si="459"/>
        <v>Nano X3</v>
      </c>
      <c r="C4185" s="3">
        <f t="shared" si="458"/>
        <v>45936</v>
      </c>
      <c r="D4185" s="4">
        <f t="shared" ca="1" si="460"/>
        <v>66</v>
      </c>
      <c r="E4185" s="2">
        <f t="shared" ca="1" si="461"/>
        <v>1406</v>
      </c>
      <c r="F4185" s="2">
        <f t="shared" ca="1" si="462"/>
        <v>34846</v>
      </c>
      <c r="G4185" s="2">
        <f t="shared" ca="1" si="463"/>
        <v>2658</v>
      </c>
    </row>
    <row r="4186" spans="1:7" x14ac:dyDescent="0.3">
      <c r="A4186" s="5" t="str">
        <f t="shared" si="457"/>
        <v>Nike</v>
      </c>
      <c r="B4186" s="5" t="str">
        <f t="shared" si="459"/>
        <v>Vaporfly 3</v>
      </c>
      <c r="C4186" s="3">
        <f t="shared" si="458"/>
        <v>45936</v>
      </c>
      <c r="D4186" s="4">
        <f t="shared" ca="1" si="460"/>
        <v>104</v>
      </c>
      <c r="E4186" s="2">
        <f t="shared" ca="1" si="461"/>
        <v>6067</v>
      </c>
      <c r="F4186" s="2">
        <f t="shared" ca="1" si="462"/>
        <v>28371</v>
      </c>
      <c r="G4186" s="2">
        <f t="shared" ca="1" si="463"/>
        <v>1443</v>
      </c>
    </row>
    <row r="4187" spans="1:7" x14ac:dyDescent="0.3">
      <c r="A4187" s="5" t="str">
        <f t="shared" si="457"/>
        <v>Adidas</v>
      </c>
      <c r="B4187" s="5" t="str">
        <f t="shared" si="459"/>
        <v>Samba</v>
      </c>
      <c r="C4187" s="3">
        <f t="shared" si="458"/>
        <v>45937</v>
      </c>
      <c r="D4187" s="4">
        <f t="shared" ca="1" si="460"/>
        <v>209</v>
      </c>
      <c r="E4187" s="2">
        <f t="shared" ca="1" si="461"/>
        <v>5124</v>
      </c>
      <c r="F4187" s="2">
        <f t="shared" ca="1" si="462"/>
        <v>32883</v>
      </c>
      <c r="G4187" s="2">
        <f t="shared" ca="1" si="463"/>
        <v>2148</v>
      </c>
    </row>
    <row r="4188" spans="1:7" x14ac:dyDescent="0.3">
      <c r="A4188" s="5" t="str">
        <f t="shared" si="457"/>
        <v>Puma</v>
      </c>
      <c r="B4188" s="5" t="str">
        <f t="shared" si="459"/>
        <v>Mayze</v>
      </c>
      <c r="C4188" s="3">
        <f t="shared" si="458"/>
        <v>45937</v>
      </c>
      <c r="D4188" s="4">
        <f t="shared" ca="1" si="460"/>
        <v>130</v>
      </c>
      <c r="E4188" s="2">
        <f t="shared" ca="1" si="461"/>
        <v>1782</v>
      </c>
      <c r="F4188" s="2">
        <f t="shared" ca="1" si="462"/>
        <v>19890</v>
      </c>
      <c r="G4188" s="2">
        <f t="shared" ca="1" si="463"/>
        <v>1514</v>
      </c>
    </row>
    <row r="4189" spans="1:7" x14ac:dyDescent="0.3">
      <c r="A4189" s="5" t="str">
        <f t="shared" si="457"/>
        <v>New Balance</v>
      </c>
      <c r="B4189" s="5" t="str">
        <f t="shared" si="459"/>
        <v>574 Core</v>
      </c>
      <c r="C4189" s="3">
        <f t="shared" si="458"/>
        <v>45937</v>
      </c>
      <c r="D4189" s="4">
        <f t="shared" ca="1" si="460"/>
        <v>214</v>
      </c>
      <c r="E4189" s="2">
        <f t="shared" ca="1" si="461"/>
        <v>4256</v>
      </c>
      <c r="F4189" s="2">
        <f t="shared" ca="1" si="462"/>
        <v>33116</v>
      </c>
      <c r="G4189" s="2">
        <f t="shared" ca="1" si="463"/>
        <v>2629</v>
      </c>
    </row>
    <row r="4190" spans="1:7" x14ac:dyDescent="0.3">
      <c r="A4190" s="5" t="str">
        <f t="shared" si="457"/>
        <v>Reebok</v>
      </c>
      <c r="B4190" s="5" t="str">
        <f t="shared" si="459"/>
        <v>Club C 85</v>
      </c>
      <c r="C4190" s="3">
        <f t="shared" si="458"/>
        <v>45937</v>
      </c>
      <c r="D4190" s="4">
        <f t="shared" ca="1" si="460"/>
        <v>237</v>
      </c>
      <c r="E4190" s="2">
        <f t="shared" ca="1" si="461"/>
        <v>8776</v>
      </c>
      <c r="F4190" s="2">
        <f t="shared" ca="1" si="462"/>
        <v>22024</v>
      </c>
      <c r="G4190" s="2">
        <f t="shared" ca="1" si="463"/>
        <v>1439</v>
      </c>
    </row>
    <row r="4191" spans="1:7" x14ac:dyDescent="0.3">
      <c r="A4191" s="5" t="str">
        <f t="shared" si="457"/>
        <v>Nike</v>
      </c>
      <c r="B4191" s="5" t="str">
        <f t="shared" si="459"/>
        <v>Pegasus 40</v>
      </c>
      <c r="C4191" s="3">
        <f t="shared" si="458"/>
        <v>45937</v>
      </c>
      <c r="D4191" s="4">
        <f t="shared" ca="1" si="460"/>
        <v>157</v>
      </c>
      <c r="E4191" s="2">
        <f t="shared" ca="1" si="461"/>
        <v>5238</v>
      </c>
      <c r="F4191" s="2">
        <f t="shared" ca="1" si="462"/>
        <v>21580</v>
      </c>
      <c r="G4191" s="2">
        <f t="shared" ca="1" si="463"/>
        <v>1478</v>
      </c>
    </row>
    <row r="4192" spans="1:7" x14ac:dyDescent="0.3">
      <c r="A4192" s="5" t="str">
        <f t="shared" si="457"/>
        <v>Adidas</v>
      </c>
      <c r="B4192" s="5" t="str">
        <f t="shared" si="459"/>
        <v>Gazelle</v>
      </c>
      <c r="C4192" s="3">
        <f t="shared" si="458"/>
        <v>45937</v>
      </c>
      <c r="D4192" s="4">
        <f t="shared" ca="1" si="460"/>
        <v>131</v>
      </c>
      <c r="E4192" s="2">
        <f t="shared" ca="1" si="461"/>
        <v>8369</v>
      </c>
      <c r="F4192" s="2">
        <f t="shared" ca="1" si="462"/>
        <v>21039</v>
      </c>
      <c r="G4192" s="2">
        <f t="shared" ca="1" si="463"/>
        <v>1241</v>
      </c>
    </row>
    <row r="4193" spans="1:7" x14ac:dyDescent="0.3">
      <c r="A4193" s="5" t="str">
        <f t="shared" si="457"/>
        <v>Puma</v>
      </c>
      <c r="B4193" s="5" t="str">
        <f t="shared" si="459"/>
        <v>Slipstream</v>
      </c>
      <c r="C4193" s="3">
        <f t="shared" si="458"/>
        <v>45937</v>
      </c>
      <c r="D4193" s="4">
        <f t="shared" ca="1" si="460"/>
        <v>164</v>
      </c>
      <c r="E4193" s="2">
        <f t="shared" ca="1" si="461"/>
        <v>7511</v>
      </c>
      <c r="F4193" s="2">
        <f t="shared" ca="1" si="462"/>
        <v>31202</v>
      </c>
      <c r="G4193" s="2">
        <f t="shared" ca="1" si="463"/>
        <v>2069</v>
      </c>
    </row>
    <row r="4194" spans="1:7" x14ac:dyDescent="0.3">
      <c r="A4194" s="5" t="str">
        <f t="shared" si="457"/>
        <v>New Balance</v>
      </c>
      <c r="B4194" s="5" t="str">
        <f t="shared" si="459"/>
        <v>550</v>
      </c>
      <c r="C4194" s="3">
        <f t="shared" si="458"/>
        <v>45937</v>
      </c>
      <c r="D4194" s="4">
        <f t="shared" ca="1" si="460"/>
        <v>63</v>
      </c>
      <c r="E4194" s="2">
        <f t="shared" ca="1" si="461"/>
        <v>11014</v>
      </c>
      <c r="F4194" s="2">
        <f t="shared" ca="1" si="462"/>
        <v>30035</v>
      </c>
      <c r="G4194" s="2">
        <f t="shared" ca="1" si="463"/>
        <v>1834</v>
      </c>
    </row>
    <row r="4195" spans="1:7" x14ac:dyDescent="0.3">
      <c r="A4195" s="5" t="str">
        <f t="shared" si="457"/>
        <v>Reebok</v>
      </c>
      <c r="B4195" s="5" t="str">
        <f t="shared" si="459"/>
        <v>Classic Leather</v>
      </c>
      <c r="C4195" s="3">
        <f t="shared" si="458"/>
        <v>45937</v>
      </c>
      <c r="D4195" s="4">
        <f t="shared" ca="1" si="460"/>
        <v>88</v>
      </c>
      <c r="E4195" s="2">
        <f t="shared" ca="1" si="461"/>
        <v>10266</v>
      </c>
      <c r="F4195" s="2">
        <f t="shared" ca="1" si="462"/>
        <v>24420</v>
      </c>
      <c r="G4195" s="2">
        <f t="shared" ca="1" si="463"/>
        <v>1184</v>
      </c>
    </row>
    <row r="4196" spans="1:7" x14ac:dyDescent="0.3">
      <c r="A4196" s="5" t="str">
        <f t="shared" si="457"/>
        <v>Nike</v>
      </c>
      <c r="B4196" s="5" t="str">
        <f t="shared" si="459"/>
        <v>Air Force 1</v>
      </c>
      <c r="C4196" s="3">
        <f t="shared" si="458"/>
        <v>45937</v>
      </c>
      <c r="D4196" s="4">
        <f t="shared" ca="1" si="460"/>
        <v>155</v>
      </c>
      <c r="E4196" s="2">
        <f t="shared" ca="1" si="461"/>
        <v>10890</v>
      </c>
      <c r="F4196" s="2">
        <f t="shared" ca="1" si="462"/>
        <v>7611</v>
      </c>
      <c r="G4196" s="2">
        <f t="shared" ca="1" si="463"/>
        <v>359</v>
      </c>
    </row>
    <row r="4197" spans="1:7" x14ac:dyDescent="0.3">
      <c r="A4197" s="5" t="str">
        <f t="shared" si="457"/>
        <v>Adidas</v>
      </c>
      <c r="B4197" s="5" t="str">
        <f t="shared" si="459"/>
        <v>Superstar</v>
      </c>
      <c r="C4197" s="3">
        <f t="shared" si="458"/>
        <v>45937</v>
      </c>
      <c r="D4197" s="4">
        <f t="shared" ca="1" si="460"/>
        <v>208</v>
      </c>
      <c r="E4197" s="2">
        <f t="shared" ca="1" si="461"/>
        <v>3903</v>
      </c>
      <c r="F4197" s="2">
        <f t="shared" ca="1" si="462"/>
        <v>23601</v>
      </c>
      <c r="G4197" s="2">
        <f t="shared" ca="1" si="463"/>
        <v>1142</v>
      </c>
    </row>
    <row r="4198" spans="1:7" x14ac:dyDescent="0.3">
      <c r="A4198" s="5" t="str">
        <f t="shared" si="457"/>
        <v>Puma</v>
      </c>
      <c r="B4198" s="5" t="str">
        <f t="shared" si="459"/>
        <v>Rider Vintage</v>
      </c>
      <c r="C4198" s="3">
        <f t="shared" si="458"/>
        <v>45937</v>
      </c>
      <c r="D4198" s="4">
        <f t="shared" ca="1" si="460"/>
        <v>122</v>
      </c>
      <c r="E4198" s="2">
        <f t="shared" ca="1" si="461"/>
        <v>3414</v>
      </c>
      <c r="F4198" s="2">
        <f t="shared" ca="1" si="462"/>
        <v>25416</v>
      </c>
      <c r="G4198" s="2">
        <f t="shared" ca="1" si="463"/>
        <v>1812</v>
      </c>
    </row>
    <row r="4199" spans="1:7" x14ac:dyDescent="0.3">
      <c r="A4199" s="5" t="str">
        <f t="shared" si="457"/>
        <v>New Balance</v>
      </c>
      <c r="B4199" s="5" t="str">
        <f t="shared" si="459"/>
        <v>327</v>
      </c>
      <c r="C4199" s="3">
        <f t="shared" si="458"/>
        <v>45937</v>
      </c>
      <c r="D4199" s="4">
        <f t="shared" ca="1" si="460"/>
        <v>178</v>
      </c>
      <c r="E4199" s="2">
        <f t="shared" ca="1" si="461"/>
        <v>9936</v>
      </c>
      <c r="F4199" s="2">
        <f t="shared" ca="1" si="462"/>
        <v>16053</v>
      </c>
      <c r="G4199" s="2">
        <f t="shared" ca="1" si="463"/>
        <v>330</v>
      </c>
    </row>
    <row r="4200" spans="1:7" x14ac:dyDescent="0.3">
      <c r="A4200" s="5" t="str">
        <f t="shared" si="457"/>
        <v>Reebok</v>
      </c>
      <c r="B4200" s="5" t="str">
        <f t="shared" si="459"/>
        <v>Question Mid</v>
      </c>
      <c r="C4200" s="3">
        <f t="shared" si="458"/>
        <v>45937</v>
      </c>
      <c r="D4200" s="4">
        <f t="shared" ca="1" si="460"/>
        <v>59</v>
      </c>
      <c r="E4200" s="2">
        <f t="shared" ca="1" si="461"/>
        <v>2084</v>
      </c>
      <c r="F4200" s="2">
        <f t="shared" ca="1" si="462"/>
        <v>7589</v>
      </c>
      <c r="G4200" s="2">
        <f t="shared" ca="1" si="463"/>
        <v>247</v>
      </c>
    </row>
    <row r="4201" spans="1:7" x14ac:dyDescent="0.3">
      <c r="A4201" s="5" t="str">
        <f t="shared" si="457"/>
        <v>Nike</v>
      </c>
      <c r="B4201" s="5" t="str">
        <f t="shared" si="459"/>
        <v>Air Max 270</v>
      </c>
      <c r="C4201" s="3">
        <f t="shared" si="458"/>
        <v>45937</v>
      </c>
      <c r="D4201" s="4">
        <f t="shared" ca="1" si="460"/>
        <v>37</v>
      </c>
      <c r="E4201" s="2">
        <f t="shared" ca="1" si="461"/>
        <v>11111</v>
      </c>
      <c r="F4201" s="2">
        <f t="shared" ca="1" si="462"/>
        <v>29304</v>
      </c>
      <c r="G4201" s="2">
        <f t="shared" ca="1" si="463"/>
        <v>1307</v>
      </c>
    </row>
    <row r="4202" spans="1:7" x14ac:dyDescent="0.3">
      <c r="A4202" s="5" t="str">
        <f t="shared" si="457"/>
        <v>Adidas</v>
      </c>
      <c r="B4202" s="5" t="str">
        <f t="shared" si="459"/>
        <v>Stan Smith</v>
      </c>
      <c r="C4202" s="3">
        <f t="shared" si="458"/>
        <v>45938</v>
      </c>
      <c r="D4202" s="4">
        <f t="shared" ca="1" si="460"/>
        <v>197</v>
      </c>
      <c r="E4202" s="2">
        <f t="shared" ca="1" si="461"/>
        <v>5192</v>
      </c>
      <c r="F4202" s="2">
        <f t="shared" ca="1" si="462"/>
        <v>17233</v>
      </c>
      <c r="G4202" s="2">
        <f t="shared" ca="1" si="463"/>
        <v>659</v>
      </c>
    </row>
    <row r="4203" spans="1:7" x14ac:dyDescent="0.3">
      <c r="A4203" s="5" t="str">
        <f t="shared" ref="A4203:A4266" si="464">CHOOSE(MOD(ROW(A4202),5)+1,"Nike","Adidas","Puma","New Balance","Reebok")</f>
        <v>Puma</v>
      </c>
      <c r="B4203" s="5" t="str">
        <f t="shared" si="459"/>
        <v>Cali Dream</v>
      </c>
      <c r="C4203" s="3">
        <f t="shared" ref="C4203:C4266" si="465">DATE(2025,1,1)+INT((ROW(A4203)-2)/15)</f>
        <v>45938</v>
      </c>
      <c r="D4203" s="4">
        <f t="shared" ca="1" si="460"/>
        <v>43</v>
      </c>
      <c r="E4203" s="2">
        <f t="shared" ca="1" si="461"/>
        <v>6631</v>
      </c>
      <c r="F4203" s="2">
        <f t="shared" ca="1" si="462"/>
        <v>10062</v>
      </c>
      <c r="G4203" s="2">
        <f t="shared" ca="1" si="463"/>
        <v>289</v>
      </c>
    </row>
    <row r="4204" spans="1:7" x14ac:dyDescent="0.3">
      <c r="A4204" s="5" t="str">
        <f t="shared" si="464"/>
        <v>New Balance</v>
      </c>
      <c r="B4204" s="5" t="str">
        <f t="shared" si="459"/>
        <v>9060</v>
      </c>
      <c r="C4204" s="3">
        <f t="shared" si="465"/>
        <v>45938</v>
      </c>
      <c r="D4204" s="4">
        <f t="shared" ca="1" si="460"/>
        <v>163</v>
      </c>
      <c r="E4204" s="2">
        <f t="shared" ca="1" si="461"/>
        <v>5492</v>
      </c>
      <c r="F4204" s="2">
        <f t="shared" ca="1" si="462"/>
        <v>17019</v>
      </c>
      <c r="G4204" s="2">
        <f t="shared" ca="1" si="463"/>
        <v>354</v>
      </c>
    </row>
    <row r="4205" spans="1:7" x14ac:dyDescent="0.3">
      <c r="A4205" s="5" t="str">
        <f t="shared" si="464"/>
        <v>Reebok</v>
      </c>
      <c r="B4205" s="5" t="str">
        <f t="shared" si="459"/>
        <v>Zig Kinetica</v>
      </c>
      <c r="C4205" s="3">
        <f t="shared" si="465"/>
        <v>45938</v>
      </c>
      <c r="D4205" s="4">
        <f t="shared" ca="1" si="460"/>
        <v>27</v>
      </c>
      <c r="E4205" s="2">
        <f t="shared" ca="1" si="461"/>
        <v>5805</v>
      </c>
      <c r="F4205" s="2">
        <f t="shared" ca="1" si="462"/>
        <v>7781</v>
      </c>
      <c r="G4205" s="2">
        <f t="shared" ca="1" si="463"/>
        <v>572</v>
      </c>
    </row>
    <row r="4206" spans="1:7" x14ac:dyDescent="0.3">
      <c r="A4206" s="5" t="str">
        <f t="shared" si="464"/>
        <v>Nike</v>
      </c>
      <c r="B4206" s="5" t="str">
        <f t="shared" si="459"/>
        <v>Jordan 1</v>
      </c>
      <c r="C4206" s="3">
        <f t="shared" si="465"/>
        <v>45938</v>
      </c>
      <c r="D4206" s="4">
        <f t="shared" ca="1" si="460"/>
        <v>20</v>
      </c>
      <c r="E4206" s="2">
        <f t="shared" ca="1" si="461"/>
        <v>3786</v>
      </c>
      <c r="F4206" s="2">
        <f t="shared" ca="1" si="462"/>
        <v>30010</v>
      </c>
      <c r="G4206" s="2">
        <f t="shared" ca="1" si="463"/>
        <v>1076</v>
      </c>
    </row>
    <row r="4207" spans="1:7" x14ac:dyDescent="0.3">
      <c r="A4207" s="5" t="str">
        <f t="shared" si="464"/>
        <v>Adidas</v>
      </c>
      <c r="B4207" s="5" t="str">
        <f t="shared" si="459"/>
        <v>Ultraboost 23</v>
      </c>
      <c r="C4207" s="3">
        <f t="shared" si="465"/>
        <v>45938</v>
      </c>
      <c r="D4207" s="4">
        <f t="shared" ca="1" si="460"/>
        <v>141</v>
      </c>
      <c r="E4207" s="2">
        <f t="shared" ca="1" si="461"/>
        <v>6826</v>
      </c>
      <c r="F4207" s="2">
        <f t="shared" ca="1" si="462"/>
        <v>26135</v>
      </c>
      <c r="G4207" s="2">
        <f t="shared" ca="1" si="463"/>
        <v>1297</v>
      </c>
    </row>
    <row r="4208" spans="1:7" x14ac:dyDescent="0.3">
      <c r="A4208" s="5" t="str">
        <f t="shared" si="464"/>
        <v>Puma</v>
      </c>
      <c r="B4208" s="5" t="str">
        <f t="shared" si="459"/>
        <v>RS-X</v>
      </c>
      <c r="C4208" s="3">
        <f t="shared" si="465"/>
        <v>45938</v>
      </c>
      <c r="D4208" s="4">
        <f t="shared" ca="1" si="460"/>
        <v>59</v>
      </c>
      <c r="E4208" s="2">
        <f t="shared" ca="1" si="461"/>
        <v>7920</v>
      </c>
      <c r="F4208" s="2">
        <f t="shared" ca="1" si="462"/>
        <v>25920</v>
      </c>
      <c r="G4208" s="2">
        <f t="shared" ca="1" si="463"/>
        <v>1176</v>
      </c>
    </row>
    <row r="4209" spans="1:7" x14ac:dyDescent="0.3">
      <c r="A4209" s="5" t="str">
        <f t="shared" si="464"/>
        <v>New Balance</v>
      </c>
      <c r="B4209" s="5" t="str">
        <f t="shared" si="459"/>
        <v>2002R</v>
      </c>
      <c r="C4209" s="3">
        <f t="shared" si="465"/>
        <v>45938</v>
      </c>
      <c r="D4209" s="4">
        <f t="shared" ca="1" si="460"/>
        <v>191</v>
      </c>
      <c r="E4209" s="2">
        <f t="shared" ca="1" si="461"/>
        <v>11930</v>
      </c>
      <c r="F4209" s="2">
        <f t="shared" ca="1" si="462"/>
        <v>28856</v>
      </c>
      <c r="G4209" s="2">
        <f t="shared" ca="1" si="463"/>
        <v>1557</v>
      </c>
    </row>
    <row r="4210" spans="1:7" x14ac:dyDescent="0.3">
      <c r="A4210" s="5" t="str">
        <f t="shared" si="464"/>
        <v>Reebok</v>
      </c>
      <c r="B4210" s="5" t="str">
        <f t="shared" si="459"/>
        <v>Instapump Fury</v>
      </c>
      <c r="C4210" s="3">
        <f t="shared" si="465"/>
        <v>45938</v>
      </c>
      <c r="D4210" s="4">
        <f t="shared" ca="1" si="460"/>
        <v>102</v>
      </c>
      <c r="E4210" s="2">
        <f t="shared" ca="1" si="461"/>
        <v>4493</v>
      </c>
      <c r="F4210" s="2">
        <f t="shared" ca="1" si="462"/>
        <v>7504</v>
      </c>
      <c r="G4210" s="2">
        <f t="shared" ca="1" si="463"/>
        <v>289</v>
      </c>
    </row>
    <row r="4211" spans="1:7" x14ac:dyDescent="0.3">
      <c r="A4211" s="5" t="str">
        <f t="shared" si="464"/>
        <v>Nike</v>
      </c>
      <c r="B4211" s="5" t="str">
        <f t="shared" si="459"/>
        <v>Cortez</v>
      </c>
      <c r="C4211" s="3">
        <f t="shared" si="465"/>
        <v>45938</v>
      </c>
      <c r="D4211" s="4">
        <f t="shared" ca="1" si="460"/>
        <v>153</v>
      </c>
      <c r="E4211" s="2">
        <f t="shared" ca="1" si="461"/>
        <v>2215</v>
      </c>
      <c r="F4211" s="2">
        <f t="shared" ca="1" si="462"/>
        <v>28335</v>
      </c>
      <c r="G4211" s="2">
        <f t="shared" ca="1" si="463"/>
        <v>1686</v>
      </c>
    </row>
    <row r="4212" spans="1:7" x14ac:dyDescent="0.3">
      <c r="A4212" s="5" t="str">
        <f t="shared" si="464"/>
        <v>Adidas</v>
      </c>
      <c r="B4212" s="5" t="str">
        <f t="shared" si="459"/>
        <v>NMD S1</v>
      </c>
      <c r="C4212" s="3">
        <f t="shared" si="465"/>
        <v>45938</v>
      </c>
      <c r="D4212" s="4">
        <f t="shared" ca="1" si="460"/>
        <v>239</v>
      </c>
      <c r="E4212" s="2">
        <f t="shared" ca="1" si="461"/>
        <v>2736</v>
      </c>
      <c r="F4212" s="2">
        <f t="shared" ca="1" si="462"/>
        <v>18110</v>
      </c>
      <c r="G4212" s="2">
        <f t="shared" ca="1" si="463"/>
        <v>1226</v>
      </c>
    </row>
    <row r="4213" spans="1:7" x14ac:dyDescent="0.3">
      <c r="A4213" s="5" t="str">
        <f t="shared" si="464"/>
        <v>Puma</v>
      </c>
      <c r="B4213" s="5" t="str">
        <f t="shared" si="459"/>
        <v>Suede Classic</v>
      </c>
      <c r="C4213" s="3">
        <f t="shared" si="465"/>
        <v>45938</v>
      </c>
      <c r="D4213" s="4">
        <f t="shared" ca="1" si="460"/>
        <v>41</v>
      </c>
      <c r="E4213" s="2">
        <f t="shared" ca="1" si="461"/>
        <v>6946</v>
      </c>
      <c r="F4213" s="2">
        <f t="shared" ca="1" si="462"/>
        <v>7351</v>
      </c>
      <c r="G4213" s="2">
        <f t="shared" ca="1" si="463"/>
        <v>353</v>
      </c>
    </row>
    <row r="4214" spans="1:7" x14ac:dyDescent="0.3">
      <c r="A4214" s="5" t="str">
        <f t="shared" si="464"/>
        <v>New Balance</v>
      </c>
      <c r="B4214" s="5" t="str">
        <f t="shared" si="459"/>
        <v>990v6</v>
      </c>
      <c r="C4214" s="3">
        <f t="shared" si="465"/>
        <v>45938</v>
      </c>
      <c r="D4214" s="4">
        <f t="shared" ca="1" si="460"/>
        <v>105</v>
      </c>
      <c r="E4214" s="2">
        <f t="shared" ca="1" si="461"/>
        <v>11113</v>
      </c>
      <c r="F4214" s="2">
        <f t="shared" ca="1" si="462"/>
        <v>8714</v>
      </c>
      <c r="G4214" s="2">
        <f t="shared" ca="1" si="463"/>
        <v>605</v>
      </c>
    </row>
    <row r="4215" spans="1:7" x14ac:dyDescent="0.3">
      <c r="A4215" s="5" t="str">
        <f t="shared" si="464"/>
        <v>Reebok</v>
      </c>
      <c r="B4215" s="5" t="str">
        <f t="shared" si="459"/>
        <v>Nano X3</v>
      </c>
      <c r="C4215" s="3">
        <f t="shared" si="465"/>
        <v>45938</v>
      </c>
      <c r="D4215" s="4">
        <f t="shared" ca="1" si="460"/>
        <v>32</v>
      </c>
      <c r="E4215" s="2">
        <f t="shared" ca="1" si="461"/>
        <v>10880</v>
      </c>
      <c r="F4215" s="2">
        <f t="shared" ca="1" si="462"/>
        <v>33487</v>
      </c>
      <c r="G4215" s="2">
        <f t="shared" ca="1" si="463"/>
        <v>942</v>
      </c>
    </row>
    <row r="4216" spans="1:7" x14ac:dyDescent="0.3">
      <c r="A4216" s="5" t="str">
        <f t="shared" si="464"/>
        <v>Nike</v>
      </c>
      <c r="B4216" s="5" t="str">
        <f t="shared" si="459"/>
        <v>Vaporfly 3</v>
      </c>
      <c r="C4216" s="3">
        <f t="shared" si="465"/>
        <v>45938</v>
      </c>
      <c r="D4216" s="4">
        <f t="shared" ca="1" si="460"/>
        <v>164</v>
      </c>
      <c r="E4216" s="2">
        <f t="shared" ca="1" si="461"/>
        <v>3865</v>
      </c>
      <c r="F4216" s="2">
        <f t="shared" ca="1" si="462"/>
        <v>15473</v>
      </c>
      <c r="G4216" s="2">
        <f t="shared" ca="1" si="463"/>
        <v>1169</v>
      </c>
    </row>
    <row r="4217" spans="1:7" x14ac:dyDescent="0.3">
      <c r="A4217" s="5" t="str">
        <f t="shared" si="464"/>
        <v>Adidas</v>
      </c>
      <c r="B4217" s="5" t="str">
        <f t="shared" si="459"/>
        <v>Samba</v>
      </c>
      <c r="C4217" s="3">
        <f t="shared" si="465"/>
        <v>45939</v>
      </c>
      <c r="D4217" s="4">
        <f t="shared" ca="1" si="460"/>
        <v>130</v>
      </c>
      <c r="E4217" s="2">
        <f t="shared" ca="1" si="461"/>
        <v>4856</v>
      </c>
      <c r="F4217" s="2">
        <f t="shared" ca="1" si="462"/>
        <v>14765</v>
      </c>
      <c r="G4217" s="2">
        <f t="shared" ca="1" si="463"/>
        <v>765</v>
      </c>
    </row>
    <row r="4218" spans="1:7" x14ac:dyDescent="0.3">
      <c r="A4218" s="5" t="str">
        <f t="shared" si="464"/>
        <v>Puma</v>
      </c>
      <c r="B4218" s="5" t="str">
        <f t="shared" si="459"/>
        <v>Mayze</v>
      </c>
      <c r="C4218" s="3">
        <f t="shared" si="465"/>
        <v>45939</v>
      </c>
      <c r="D4218" s="4">
        <f t="shared" ca="1" si="460"/>
        <v>245</v>
      </c>
      <c r="E4218" s="2">
        <f t="shared" ca="1" si="461"/>
        <v>9344</v>
      </c>
      <c r="F4218" s="2">
        <f t="shared" ca="1" si="462"/>
        <v>7447</v>
      </c>
      <c r="G4218" s="2">
        <f t="shared" ca="1" si="463"/>
        <v>537</v>
      </c>
    </row>
    <row r="4219" spans="1:7" x14ac:dyDescent="0.3">
      <c r="A4219" s="5" t="str">
        <f t="shared" si="464"/>
        <v>New Balance</v>
      </c>
      <c r="B4219" s="5" t="str">
        <f t="shared" si="459"/>
        <v>574 Core</v>
      </c>
      <c r="C4219" s="3">
        <f t="shared" si="465"/>
        <v>45939</v>
      </c>
      <c r="D4219" s="4">
        <f t="shared" ca="1" si="460"/>
        <v>243</v>
      </c>
      <c r="E4219" s="2">
        <f t="shared" ca="1" si="461"/>
        <v>9422</v>
      </c>
      <c r="F4219" s="2">
        <f t="shared" ca="1" si="462"/>
        <v>22032</v>
      </c>
      <c r="G4219" s="2">
        <f t="shared" ca="1" si="463"/>
        <v>1274</v>
      </c>
    </row>
    <row r="4220" spans="1:7" x14ac:dyDescent="0.3">
      <c r="A4220" s="5" t="str">
        <f t="shared" si="464"/>
        <v>Reebok</v>
      </c>
      <c r="B4220" s="5" t="str">
        <f t="shared" si="459"/>
        <v>Club C 85</v>
      </c>
      <c r="C4220" s="3">
        <f t="shared" si="465"/>
        <v>45939</v>
      </c>
      <c r="D4220" s="4">
        <f t="shared" ca="1" si="460"/>
        <v>131</v>
      </c>
      <c r="E4220" s="2">
        <f t="shared" ca="1" si="461"/>
        <v>4785</v>
      </c>
      <c r="F4220" s="2">
        <f t="shared" ca="1" si="462"/>
        <v>10597</v>
      </c>
      <c r="G4220" s="2">
        <f t="shared" ca="1" si="463"/>
        <v>660</v>
      </c>
    </row>
    <row r="4221" spans="1:7" x14ac:dyDescent="0.3">
      <c r="A4221" s="5" t="str">
        <f t="shared" si="464"/>
        <v>Nike</v>
      </c>
      <c r="B4221" s="5" t="str">
        <f t="shared" si="459"/>
        <v>Pegasus 40</v>
      </c>
      <c r="C4221" s="3">
        <f t="shared" si="465"/>
        <v>45939</v>
      </c>
      <c r="D4221" s="4">
        <f t="shared" ca="1" si="460"/>
        <v>131</v>
      </c>
      <c r="E4221" s="2">
        <f t="shared" ca="1" si="461"/>
        <v>3490</v>
      </c>
      <c r="F4221" s="2">
        <f t="shared" ca="1" si="462"/>
        <v>23831</v>
      </c>
      <c r="G4221" s="2">
        <f t="shared" ca="1" si="463"/>
        <v>729</v>
      </c>
    </row>
    <row r="4222" spans="1:7" x14ac:dyDescent="0.3">
      <c r="A4222" s="5" t="str">
        <f t="shared" si="464"/>
        <v>Adidas</v>
      </c>
      <c r="B4222" s="5" t="str">
        <f t="shared" si="459"/>
        <v>Gazelle</v>
      </c>
      <c r="C4222" s="3">
        <f t="shared" si="465"/>
        <v>45939</v>
      </c>
      <c r="D4222" s="4">
        <f t="shared" ca="1" si="460"/>
        <v>219</v>
      </c>
      <c r="E4222" s="2">
        <f t="shared" ca="1" si="461"/>
        <v>5024</v>
      </c>
      <c r="F4222" s="2">
        <f t="shared" ca="1" si="462"/>
        <v>5359</v>
      </c>
      <c r="G4222" s="2">
        <f t="shared" ca="1" si="463"/>
        <v>225</v>
      </c>
    </row>
    <row r="4223" spans="1:7" x14ac:dyDescent="0.3">
      <c r="A4223" s="5" t="str">
        <f t="shared" si="464"/>
        <v>Puma</v>
      </c>
      <c r="B4223" s="5" t="str">
        <f t="shared" si="459"/>
        <v>Slipstream</v>
      </c>
      <c r="C4223" s="3">
        <f t="shared" si="465"/>
        <v>45939</v>
      </c>
      <c r="D4223" s="4">
        <f t="shared" ca="1" si="460"/>
        <v>99</v>
      </c>
      <c r="E4223" s="2">
        <f t="shared" ca="1" si="461"/>
        <v>10217</v>
      </c>
      <c r="F4223" s="2">
        <f t="shared" ca="1" si="462"/>
        <v>11220</v>
      </c>
      <c r="G4223" s="2">
        <f t="shared" ca="1" si="463"/>
        <v>383</v>
      </c>
    </row>
    <row r="4224" spans="1:7" x14ac:dyDescent="0.3">
      <c r="A4224" s="5" t="str">
        <f t="shared" si="464"/>
        <v>New Balance</v>
      </c>
      <c r="B4224" s="5" t="str">
        <f t="shared" si="459"/>
        <v>550</v>
      </c>
      <c r="C4224" s="3">
        <f t="shared" si="465"/>
        <v>45939</v>
      </c>
      <c r="D4224" s="4">
        <f t="shared" ca="1" si="460"/>
        <v>179</v>
      </c>
      <c r="E4224" s="2">
        <f t="shared" ca="1" si="461"/>
        <v>11334</v>
      </c>
      <c r="F4224" s="2">
        <f t="shared" ca="1" si="462"/>
        <v>10002</v>
      </c>
      <c r="G4224" s="2">
        <f t="shared" ca="1" si="463"/>
        <v>715</v>
      </c>
    </row>
    <row r="4225" spans="1:7" x14ac:dyDescent="0.3">
      <c r="A4225" s="5" t="str">
        <f t="shared" si="464"/>
        <v>Reebok</v>
      </c>
      <c r="B4225" s="5" t="str">
        <f t="shared" si="459"/>
        <v>Classic Leather</v>
      </c>
      <c r="C4225" s="3">
        <f t="shared" si="465"/>
        <v>45939</v>
      </c>
      <c r="D4225" s="4">
        <f t="shared" ca="1" si="460"/>
        <v>49</v>
      </c>
      <c r="E4225" s="2">
        <f t="shared" ca="1" si="461"/>
        <v>9780</v>
      </c>
      <c r="F4225" s="2">
        <f t="shared" ca="1" si="462"/>
        <v>14478</v>
      </c>
      <c r="G4225" s="2">
        <f t="shared" ca="1" si="463"/>
        <v>672</v>
      </c>
    </row>
    <row r="4226" spans="1:7" x14ac:dyDescent="0.3">
      <c r="A4226" s="5" t="str">
        <f t="shared" si="464"/>
        <v>Nike</v>
      </c>
      <c r="B4226" s="5" t="str">
        <f t="shared" si="459"/>
        <v>Air Force 1</v>
      </c>
      <c r="C4226" s="3">
        <f t="shared" si="465"/>
        <v>45939</v>
      </c>
      <c r="D4226" s="4">
        <f t="shared" ca="1" si="460"/>
        <v>90</v>
      </c>
      <c r="E4226" s="2">
        <f t="shared" ca="1" si="461"/>
        <v>7223</v>
      </c>
      <c r="F4226" s="2">
        <f t="shared" ca="1" si="462"/>
        <v>34426</v>
      </c>
      <c r="G4226" s="2">
        <f t="shared" ca="1" si="463"/>
        <v>701</v>
      </c>
    </row>
    <row r="4227" spans="1:7" x14ac:dyDescent="0.3">
      <c r="A4227" s="5" t="str">
        <f t="shared" si="464"/>
        <v>Adidas</v>
      </c>
      <c r="B4227" s="5" t="str">
        <f t="shared" ref="B4227:B4290" si="466">IF(A4227="Nike",CHOOSE(MOD(ROW(A4226),6)+1,"Air Max 270","Air Force 1","Pegasus 40","Vaporfly 3","Cortez","Jordan 1"),
 IF(A4227="Adidas",CHOOSE(MOD(ROW(A4226),6)+1,"Ultraboost 23","Stan Smith","Superstar","Gazelle","Samba","NMD S1"),
 IF(A4227="Puma",CHOOSE(MOD(ROW(A4226),6)+1,"Suede Classic","RS-X","Cali Dream","Rider Vintage","Slipstream","Mayze"),
 IF(A4227="New Balance",CHOOSE(MOD(ROW(A4226),6)+1,"574 Core","990v6","2002R","9060","327","550"),
 IF(A4227="Reebok",CHOOSE(MOD(ROW(A4226),6)+1,"Classic Leather","Club C 85","Nano X3","Instapump Fury","Zig Kinetica","Question Mid"),"")))))</f>
        <v>Superstar</v>
      </c>
      <c r="C4227" s="3">
        <f t="shared" si="465"/>
        <v>45939</v>
      </c>
      <c r="D4227" s="4">
        <f t="shared" ref="D4227:D4290" ca="1" si="467">RANDBETWEEN(20,250)</f>
        <v>87</v>
      </c>
      <c r="E4227" s="2">
        <f t="shared" ref="E4227:E4290" ca="1" si="468">ROUND(RANDBETWEEN(1500,12000)+(RANDBETWEEN(-200,200)),2)</f>
        <v>10980</v>
      </c>
      <c r="F4227" s="2">
        <f t="shared" ref="F4227:F4290" ca="1" si="469">RANDBETWEEN(5000,35000)</f>
        <v>11929</v>
      </c>
      <c r="G4227" s="2">
        <f t="shared" ref="G4227:G4290" ca="1" si="470">RANDBETWEEN(ROUND(F4227*0.02,0),ROUND(F4227*0.08,0))</f>
        <v>531</v>
      </c>
    </row>
    <row r="4228" spans="1:7" x14ac:dyDescent="0.3">
      <c r="A4228" s="5" t="str">
        <f t="shared" si="464"/>
        <v>Puma</v>
      </c>
      <c r="B4228" s="5" t="str">
        <f t="shared" si="466"/>
        <v>Rider Vintage</v>
      </c>
      <c r="C4228" s="3">
        <f t="shared" si="465"/>
        <v>45939</v>
      </c>
      <c r="D4228" s="4">
        <f t="shared" ca="1" si="467"/>
        <v>118</v>
      </c>
      <c r="E4228" s="2">
        <f t="shared" ca="1" si="468"/>
        <v>3929</v>
      </c>
      <c r="F4228" s="2">
        <f t="shared" ca="1" si="469"/>
        <v>27942</v>
      </c>
      <c r="G4228" s="2">
        <f t="shared" ca="1" si="470"/>
        <v>693</v>
      </c>
    </row>
    <row r="4229" spans="1:7" x14ac:dyDescent="0.3">
      <c r="A4229" s="5" t="str">
        <f t="shared" si="464"/>
        <v>New Balance</v>
      </c>
      <c r="B4229" s="5" t="str">
        <f t="shared" si="466"/>
        <v>327</v>
      </c>
      <c r="C4229" s="3">
        <f t="shared" si="465"/>
        <v>45939</v>
      </c>
      <c r="D4229" s="4">
        <f t="shared" ca="1" si="467"/>
        <v>165</v>
      </c>
      <c r="E4229" s="2">
        <f t="shared" ca="1" si="468"/>
        <v>8637</v>
      </c>
      <c r="F4229" s="2">
        <f t="shared" ca="1" si="469"/>
        <v>25086</v>
      </c>
      <c r="G4229" s="2">
        <f t="shared" ca="1" si="470"/>
        <v>514</v>
      </c>
    </row>
    <row r="4230" spans="1:7" x14ac:dyDescent="0.3">
      <c r="A4230" s="5" t="str">
        <f t="shared" si="464"/>
        <v>Reebok</v>
      </c>
      <c r="B4230" s="5" t="str">
        <f t="shared" si="466"/>
        <v>Question Mid</v>
      </c>
      <c r="C4230" s="3">
        <f t="shared" si="465"/>
        <v>45939</v>
      </c>
      <c r="D4230" s="4">
        <f t="shared" ca="1" si="467"/>
        <v>75</v>
      </c>
      <c r="E4230" s="2">
        <f t="shared" ca="1" si="468"/>
        <v>11032</v>
      </c>
      <c r="F4230" s="2">
        <f t="shared" ca="1" si="469"/>
        <v>6060</v>
      </c>
      <c r="G4230" s="2">
        <f t="shared" ca="1" si="470"/>
        <v>369</v>
      </c>
    </row>
    <row r="4231" spans="1:7" x14ac:dyDescent="0.3">
      <c r="A4231" s="5" t="str">
        <f t="shared" si="464"/>
        <v>Nike</v>
      </c>
      <c r="B4231" s="5" t="str">
        <f t="shared" si="466"/>
        <v>Air Max 270</v>
      </c>
      <c r="C4231" s="3">
        <f t="shared" si="465"/>
        <v>45939</v>
      </c>
      <c r="D4231" s="4">
        <f t="shared" ca="1" si="467"/>
        <v>27</v>
      </c>
      <c r="E4231" s="2">
        <f t="shared" ca="1" si="468"/>
        <v>1718</v>
      </c>
      <c r="F4231" s="2">
        <f t="shared" ca="1" si="469"/>
        <v>29519</v>
      </c>
      <c r="G4231" s="2">
        <f t="shared" ca="1" si="470"/>
        <v>933</v>
      </c>
    </row>
    <row r="4232" spans="1:7" x14ac:dyDescent="0.3">
      <c r="A4232" s="5" t="str">
        <f t="shared" si="464"/>
        <v>Adidas</v>
      </c>
      <c r="B4232" s="5" t="str">
        <f t="shared" si="466"/>
        <v>Stan Smith</v>
      </c>
      <c r="C4232" s="3">
        <f t="shared" si="465"/>
        <v>45940</v>
      </c>
      <c r="D4232" s="4">
        <f t="shared" ca="1" si="467"/>
        <v>52</v>
      </c>
      <c r="E4232" s="2">
        <f t="shared" ca="1" si="468"/>
        <v>7829</v>
      </c>
      <c r="F4232" s="2">
        <f t="shared" ca="1" si="469"/>
        <v>28743</v>
      </c>
      <c r="G4232" s="2">
        <f t="shared" ca="1" si="470"/>
        <v>696</v>
      </c>
    </row>
    <row r="4233" spans="1:7" x14ac:dyDescent="0.3">
      <c r="A4233" s="5" t="str">
        <f t="shared" si="464"/>
        <v>Puma</v>
      </c>
      <c r="B4233" s="5" t="str">
        <f t="shared" si="466"/>
        <v>Cali Dream</v>
      </c>
      <c r="C4233" s="3">
        <f t="shared" si="465"/>
        <v>45940</v>
      </c>
      <c r="D4233" s="4">
        <f t="shared" ca="1" si="467"/>
        <v>207</v>
      </c>
      <c r="E4233" s="2">
        <f t="shared" ca="1" si="468"/>
        <v>3830</v>
      </c>
      <c r="F4233" s="2">
        <f t="shared" ca="1" si="469"/>
        <v>27154</v>
      </c>
      <c r="G4233" s="2">
        <f t="shared" ca="1" si="470"/>
        <v>1053</v>
      </c>
    </row>
    <row r="4234" spans="1:7" x14ac:dyDescent="0.3">
      <c r="A4234" s="5" t="str">
        <f t="shared" si="464"/>
        <v>New Balance</v>
      </c>
      <c r="B4234" s="5" t="str">
        <f t="shared" si="466"/>
        <v>9060</v>
      </c>
      <c r="C4234" s="3">
        <f t="shared" si="465"/>
        <v>45940</v>
      </c>
      <c r="D4234" s="4">
        <f t="shared" ca="1" si="467"/>
        <v>208</v>
      </c>
      <c r="E4234" s="2">
        <f t="shared" ca="1" si="468"/>
        <v>10640</v>
      </c>
      <c r="F4234" s="2">
        <f t="shared" ca="1" si="469"/>
        <v>5451</v>
      </c>
      <c r="G4234" s="2">
        <f t="shared" ca="1" si="470"/>
        <v>247</v>
      </c>
    </row>
    <row r="4235" spans="1:7" x14ac:dyDescent="0.3">
      <c r="A4235" s="5" t="str">
        <f t="shared" si="464"/>
        <v>Reebok</v>
      </c>
      <c r="B4235" s="5" t="str">
        <f t="shared" si="466"/>
        <v>Zig Kinetica</v>
      </c>
      <c r="C4235" s="3">
        <f t="shared" si="465"/>
        <v>45940</v>
      </c>
      <c r="D4235" s="4">
        <f t="shared" ca="1" si="467"/>
        <v>162</v>
      </c>
      <c r="E4235" s="2">
        <f t="shared" ca="1" si="468"/>
        <v>5957</v>
      </c>
      <c r="F4235" s="2">
        <f t="shared" ca="1" si="469"/>
        <v>30573</v>
      </c>
      <c r="G4235" s="2">
        <f t="shared" ca="1" si="470"/>
        <v>1618</v>
      </c>
    </row>
    <row r="4236" spans="1:7" x14ac:dyDescent="0.3">
      <c r="A4236" s="5" t="str">
        <f t="shared" si="464"/>
        <v>Nike</v>
      </c>
      <c r="B4236" s="5" t="str">
        <f t="shared" si="466"/>
        <v>Jordan 1</v>
      </c>
      <c r="C4236" s="3">
        <f t="shared" si="465"/>
        <v>45940</v>
      </c>
      <c r="D4236" s="4">
        <f t="shared" ca="1" si="467"/>
        <v>211</v>
      </c>
      <c r="E4236" s="2">
        <f t="shared" ca="1" si="468"/>
        <v>7149</v>
      </c>
      <c r="F4236" s="2">
        <f t="shared" ca="1" si="469"/>
        <v>24929</v>
      </c>
      <c r="G4236" s="2">
        <f t="shared" ca="1" si="470"/>
        <v>1112</v>
      </c>
    </row>
    <row r="4237" spans="1:7" x14ac:dyDescent="0.3">
      <c r="A4237" s="5" t="str">
        <f t="shared" si="464"/>
        <v>Adidas</v>
      </c>
      <c r="B4237" s="5" t="str">
        <f t="shared" si="466"/>
        <v>Ultraboost 23</v>
      </c>
      <c r="C4237" s="3">
        <f t="shared" si="465"/>
        <v>45940</v>
      </c>
      <c r="D4237" s="4">
        <f t="shared" ca="1" si="467"/>
        <v>181</v>
      </c>
      <c r="E4237" s="2">
        <f t="shared" ca="1" si="468"/>
        <v>4301</v>
      </c>
      <c r="F4237" s="2">
        <f t="shared" ca="1" si="469"/>
        <v>23964</v>
      </c>
      <c r="G4237" s="2">
        <f t="shared" ca="1" si="470"/>
        <v>1506</v>
      </c>
    </row>
    <row r="4238" spans="1:7" x14ac:dyDescent="0.3">
      <c r="A4238" s="5" t="str">
        <f t="shared" si="464"/>
        <v>Puma</v>
      </c>
      <c r="B4238" s="5" t="str">
        <f t="shared" si="466"/>
        <v>RS-X</v>
      </c>
      <c r="C4238" s="3">
        <f t="shared" si="465"/>
        <v>45940</v>
      </c>
      <c r="D4238" s="4">
        <f t="shared" ca="1" si="467"/>
        <v>52</v>
      </c>
      <c r="E4238" s="2">
        <f t="shared" ca="1" si="468"/>
        <v>11742</v>
      </c>
      <c r="F4238" s="2">
        <f t="shared" ca="1" si="469"/>
        <v>31594</v>
      </c>
      <c r="G4238" s="2">
        <f t="shared" ca="1" si="470"/>
        <v>2419</v>
      </c>
    </row>
    <row r="4239" spans="1:7" x14ac:dyDescent="0.3">
      <c r="A4239" s="5" t="str">
        <f t="shared" si="464"/>
        <v>New Balance</v>
      </c>
      <c r="B4239" s="5" t="str">
        <f t="shared" si="466"/>
        <v>2002R</v>
      </c>
      <c r="C4239" s="3">
        <f t="shared" si="465"/>
        <v>45940</v>
      </c>
      <c r="D4239" s="4">
        <f t="shared" ca="1" si="467"/>
        <v>147</v>
      </c>
      <c r="E4239" s="2">
        <f t="shared" ca="1" si="468"/>
        <v>6236</v>
      </c>
      <c r="F4239" s="2">
        <f t="shared" ca="1" si="469"/>
        <v>9751</v>
      </c>
      <c r="G4239" s="2">
        <f t="shared" ca="1" si="470"/>
        <v>733</v>
      </c>
    </row>
    <row r="4240" spans="1:7" x14ac:dyDescent="0.3">
      <c r="A4240" s="5" t="str">
        <f t="shared" si="464"/>
        <v>Reebok</v>
      </c>
      <c r="B4240" s="5" t="str">
        <f t="shared" si="466"/>
        <v>Instapump Fury</v>
      </c>
      <c r="C4240" s="3">
        <f t="shared" si="465"/>
        <v>45940</v>
      </c>
      <c r="D4240" s="4">
        <f t="shared" ca="1" si="467"/>
        <v>108</v>
      </c>
      <c r="E4240" s="2">
        <f t="shared" ca="1" si="468"/>
        <v>8444</v>
      </c>
      <c r="F4240" s="2">
        <f t="shared" ca="1" si="469"/>
        <v>31619</v>
      </c>
      <c r="G4240" s="2">
        <f t="shared" ca="1" si="470"/>
        <v>1113</v>
      </c>
    </row>
    <row r="4241" spans="1:7" x14ac:dyDescent="0.3">
      <c r="A4241" s="5" t="str">
        <f t="shared" si="464"/>
        <v>Nike</v>
      </c>
      <c r="B4241" s="5" t="str">
        <f t="shared" si="466"/>
        <v>Cortez</v>
      </c>
      <c r="C4241" s="3">
        <f t="shared" si="465"/>
        <v>45940</v>
      </c>
      <c r="D4241" s="4">
        <f t="shared" ca="1" si="467"/>
        <v>250</v>
      </c>
      <c r="E4241" s="2">
        <f t="shared" ca="1" si="468"/>
        <v>6115</v>
      </c>
      <c r="F4241" s="2">
        <f t="shared" ca="1" si="469"/>
        <v>13183</v>
      </c>
      <c r="G4241" s="2">
        <f t="shared" ca="1" si="470"/>
        <v>1043</v>
      </c>
    </row>
    <row r="4242" spans="1:7" x14ac:dyDescent="0.3">
      <c r="A4242" s="5" t="str">
        <f t="shared" si="464"/>
        <v>Adidas</v>
      </c>
      <c r="B4242" s="5" t="str">
        <f t="shared" si="466"/>
        <v>NMD S1</v>
      </c>
      <c r="C4242" s="3">
        <f t="shared" si="465"/>
        <v>45940</v>
      </c>
      <c r="D4242" s="4">
        <f t="shared" ca="1" si="467"/>
        <v>209</v>
      </c>
      <c r="E4242" s="2">
        <f t="shared" ca="1" si="468"/>
        <v>9039</v>
      </c>
      <c r="F4242" s="2">
        <f t="shared" ca="1" si="469"/>
        <v>6808</v>
      </c>
      <c r="G4242" s="2">
        <f t="shared" ca="1" si="470"/>
        <v>533</v>
      </c>
    </row>
    <row r="4243" spans="1:7" x14ac:dyDescent="0.3">
      <c r="A4243" s="5" t="str">
        <f t="shared" si="464"/>
        <v>Puma</v>
      </c>
      <c r="B4243" s="5" t="str">
        <f t="shared" si="466"/>
        <v>Suede Classic</v>
      </c>
      <c r="C4243" s="3">
        <f t="shared" si="465"/>
        <v>45940</v>
      </c>
      <c r="D4243" s="4">
        <f t="shared" ca="1" si="467"/>
        <v>38</v>
      </c>
      <c r="E4243" s="2">
        <f t="shared" ca="1" si="468"/>
        <v>9977</v>
      </c>
      <c r="F4243" s="2">
        <f t="shared" ca="1" si="469"/>
        <v>11583</v>
      </c>
      <c r="G4243" s="2">
        <f t="shared" ca="1" si="470"/>
        <v>749</v>
      </c>
    </row>
    <row r="4244" spans="1:7" x14ac:dyDescent="0.3">
      <c r="A4244" s="5" t="str">
        <f t="shared" si="464"/>
        <v>New Balance</v>
      </c>
      <c r="B4244" s="5" t="str">
        <f t="shared" si="466"/>
        <v>990v6</v>
      </c>
      <c r="C4244" s="3">
        <f t="shared" si="465"/>
        <v>45940</v>
      </c>
      <c r="D4244" s="4">
        <f t="shared" ca="1" si="467"/>
        <v>125</v>
      </c>
      <c r="E4244" s="2">
        <f t="shared" ca="1" si="468"/>
        <v>11061</v>
      </c>
      <c r="F4244" s="2">
        <f t="shared" ca="1" si="469"/>
        <v>24683</v>
      </c>
      <c r="G4244" s="2">
        <f t="shared" ca="1" si="470"/>
        <v>1382</v>
      </c>
    </row>
    <row r="4245" spans="1:7" x14ac:dyDescent="0.3">
      <c r="A4245" s="5" t="str">
        <f t="shared" si="464"/>
        <v>Reebok</v>
      </c>
      <c r="B4245" s="5" t="str">
        <f t="shared" si="466"/>
        <v>Nano X3</v>
      </c>
      <c r="C4245" s="3">
        <f t="shared" si="465"/>
        <v>45940</v>
      </c>
      <c r="D4245" s="4">
        <f t="shared" ca="1" si="467"/>
        <v>21</v>
      </c>
      <c r="E4245" s="2">
        <f t="shared" ca="1" si="468"/>
        <v>2262</v>
      </c>
      <c r="F4245" s="2">
        <f t="shared" ca="1" si="469"/>
        <v>25394</v>
      </c>
      <c r="G4245" s="2">
        <f t="shared" ca="1" si="470"/>
        <v>1075</v>
      </c>
    </row>
    <row r="4246" spans="1:7" x14ac:dyDescent="0.3">
      <c r="A4246" s="5" t="str">
        <f t="shared" si="464"/>
        <v>Nike</v>
      </c>
      <c r="B4246" s="5" t="str">
        <f t="shared" si="466"/>
        <v>Vaporfly 3</v>
      </c>
      <c r="C4246" s="3">
        <f t="shared" si="465"/>
        <v>45940</v>
      </c>
      <c r="D4246" s="4">
        <f t="shared" ca="1" si="467"/>
        <v>189</v>
      </c>
      <c r="E4246" s="2">
        <f t="shared" ca="1" si="468"/>
        <v>10488</v>
      </c>
      <c r="F4246" s="2">
        <f t="shared" ca="1" si="469"/>
        <v>20063</v>
      </c>
      <c r="G4246" s="2">
        <f t="shared" ca="1" si="470"/>
        <v>740</v>
      </c>
    </row>
    <row r="4247" spans="1:7" x14ac:dyDescent="0.3">
      <c r="A4247" s="5" t="str">
        <f t="shared" si="464"/>
        <v>Adidas</v>
      </c>
      <c r="B4247" s="5" t="str">
        <f t="shared" si="466"/>
        <v>Samba</v>
      </c>
      <c r="C4247" s="3">
        <f t="shared" si="465"/>
        <v>45941</v>
      </c>
      <c r="D4247" s="4">
        <f t="shared" ca="1" si="467"/>
        <v>60</v>
      </c>
      <c r="E4247" s="2">
        <f t="shared" ca="1" si="468"/>
        <v>10785</v>
      </c>
      <c r="F4247" s="2">
        <f t="shared" ca="1" si="469"/>
        <v>11395</v>
      </c>
      <c r="G4247" s="2">
        <f t="shared" ca="1" si="470"/>
        <v>617</v>
      </c>
    </row>
    <row r="4248" spans="1:7" x14ac:dyDescent="0.3">
      <c r="A4248" s="5" t="str">
        <f t="shared" si="464"/>
        <v>Puma</v>
      </c>
      <c r="B4248" s="5" t="str">
        <f t="shared" si="466"/>
        <v>Mayze</v>
      </c>
      <c r="C4248" s="3">
        <f t="shared" si="465"/>
        <v>45941</v>
      </c>
      <c r="D4248" s="4">
        <f t="shared" ca="1" si="467"/>
        <v>149</v>
      </c>
      <c r="E4248" s="2">
        <f t="shared" ca="1" si="468"/>
        <v>7026</v>
      </c>
      <c r="F4248" s="2">
        <f t="shared" ca="1" si="469"/>
        <v>14318</v>
      </c>
      <c r="G4248" s="2">
        <f t="shared" ca="1" si="470"/>
        <v>378</v>
      </c>
    </row>
    <row r="4249" spans="1:7" x14ac:dyDescent="0.3">
      <c r="A4249" s="5" t="str">
        <f t="shared" si="464"/>
        <v>New Balance</v>
      </c>
      <c r="B4249" s="5" t="str">
        <f t="shared" si="466"/>
        <v>574 Core</v>
      </c>
      <c r="C4249" s="3">
        <f t="shared" si="465"/>
        <v>45941</v>
      </c>
      <c r="D4249" s="4">
        <f t="shared" ca="1" si="467"/>
        <v>175</v>
      </c>
      <c r="E4249" s="2">
        <f t="shared" ca="1" si="468"/>
        <v>8724</v>
      </c>
      <c r="F4249" s="2">
        <f t="shared" ca="1" si="469"/>
        <v>11366</v>
      </c>
      <c r="G4249" s="2">
        <f t="shared" ca="1" si="470"/>
        <v>325</v>
      </c>
    </row>
    <row r="4250" spans="1:7" x14ac:dyDescent="0.3">
      <c r="A4250" s="5" t="str">
        <f t="shared" si="464"/>
        <v>Reebok</v>
      </c>
      <c r="B4250" s="5" t="str">
        <f t="shared" si="466"/>
        <v>Club C 85</v>
      </c>
      <c r="C4250" s="3">
        <f t="shared" si="465"/>
        <v>45941</v>
      </c>
      <c r="D4250" s="4">
        <f t="shared" ca="1" si="467"/>
        <v>27</v>
      </c>
      <c r="E4250" s="2">
        <f t="shared" ca="1" si="468"/>
        <v>9091</v>
      </c>
      <c r="F4250" s="2">
        <f t="shared" ca="1" si="469"/>
        <v>26407</v>
      </c>
      <c r="G4250" s="2">
        <f t="shared" ca="1" si="470"/>
        <v>927</v>
      </c>
    </row>
    <row r="4251" spans="1:7" x14ac:dyDescent="0.3">
      <c r="A4251" s="5" t="str">
        <f t="shared" si="464"/>
        <v>Nike</v>
      </c>
      <c r="B4251" s="5" t="str">
        <f t="shared" si="466"/>
        <v>Pegasus 40</v>
      </c>
      <c r="C4251" s="3">
        <f t="shared" si="465"/>
        <v>45941</v>
      </c>
      <c r="D4251" s="4">
        <f t="shared" ca="1" si="467"/>
        <v>180</v>
      </c>
      <c r="E4251" s="2">
        <f t="shared" ca="1" si="468"/>
        <v>9658</v>
      </c>
      <c r="F4251" s="2">
        <f t="shared" ca="1" si="469"/>
        <v>32376</v>
      </c>
      <c r="G4251" s="2">
        <f t="shared" ca="1" si="470"/>
        <v>2453</v>
      </c>
    </row>
    <row r="4252" spans="1:7" x14ac:dyDescent="0.3">
      <c r="A4252" s="5" t="str">
        <f t="shared" si="464"/>
        <v>Adidas</v>
      </c>
      <c r="B4252" s="5" t="str">
        <f t="shared" si="466"/>
        <v>Gazelle</v>
      </c>
      <c r="C4252" s="3">
        <f t="shared" si="465"/>
        <v>45941</v>
      </c>
      <c r="D4252" s="4">
        <f t="shared" ca="1" si="467"/>
        <v>229</v>
      </c>
      <c r="E4252" s="2">
        <f t="shared" ca="1" si="468"/>
        <v>3916</v>
      </c>
      <c r="F4252" s="2">
        <f t="shared" ca="1" si="469"/>
        <v>16350</v>
      </c>
      <c r="G4252" s="2">
        <f t="shared" ca="1" si="470"/>
        <v>779</v>
      </c>
    </row>
    <row r="4253" spans="1:7" x14ac:dyDescent="0.3">
      <c r="A4253" s="5" t="str">
        <f t="shared" si="464"/>
        <v>Puma</v>
      </c>
      <c r="B4253" s="5" t="str">
        <f t="shared" si="466"/>
        <v>Slipstream</v>
      </c>
      <c r="C4253" s="3">
        <f t="shared" si="465"/>
        <v>45941</v>
      </c>
      <c r="D4253" s="4">
        <f t="shared" ca="1" si="467"/>
        <v>172</v>
      </c>
      <c r="E4253" s="2">
        <f t="shared" ca="1" si="468"/>
        <v>6681</v>
      </c>
      <c r="F4253" s="2">
        <f t="shared" ca="1" si="469"/>
        <v>14396</v>
      </c>
      <c r="G4253" s="2">
        <f t="shared" ca="1" si="470"/>
        <v>1132</v>
      </c>
    </row>
    <row r="4254" spans="1:7" x14ac:dyDescent="0.3">
      <c r="A4254" s="5" t="str">
        <f t="shared" si="464"/>
        <v>New Balance</v>
      </c>
      <c r="B4254" s="5" t="str">
        <f t="shared" si="466"/>
        <v>550</v>
      </c>
      <c r="C4254" s="3">
        <f t="shared" si="465"/>
        <v>45941</v>
      </c>
      <c r="D4254" s="4">
        <f t="shared" ca="1" si="467"/>
        <v>104</v>
      </c>
      <c r="E4254" s="2">
        <f t="shared" ca="1" si="468"/>
        <v>1817</v>
      </c>
      <c r="F4254" s="2">
        <f t="shared" ca="1" si="469"/>
        <v>11113</v>
      </c>
      <c r="G4254" s="2">
        <f t="shared" ca="1" si="470"/>
        <v>504</v>
      </c>
    </row>
    <row r="4255" spans="1:7" x14ac:dyDescent="0.3">
      <c r="A4255" s="5" t="str">
        <f t="shared" si="464"/>
        <v>Reebok</v>
      </c>
      <c r="B4255" s="5" t="str">
        <f t="shared" si="466"/>
        <v>Classic Leather</v>
      </c>
      <c r="C4255" s="3">
        <f t="shared" si="465"/>
        <v>45941</v>
      </c>
      <c r="D4255" s="4">
        <f t="shared" ca="1" si="467"/>
        <v>175</v>
      </c>
      <c r="E4255" s="2">
        <f t="shared" ca="1" si="468"/>
        <v>11804</v>
      </c>
      <c r="F4255" s="2">
        <f t="shared" ca="1" si="469"/>
        <v>16441</v>
      </c>
      <c r="G4255" s="2">
        <f t="shared" ca="1" si="470"/>
        <v>524</v>
      </c>
    </row>
    <row r="4256" spans="1:7" x14ac:dyDescent="0.3">
      <c r="A4256" s="5" t="str">
        <f t="shared" si="464"/>
        <v>Nike</v>
      </c>
      <c r="B4256" s="5" t="str">
        <f t="shared" si="466"/>
        <v>Air Force 1</v>
      </c>
      <c r="C4256" s="3">
        <f t="shared" si="465"/>
        <v>45941</v>
      </c>
      <c r="D4256" s="4">
        <f t="shared" ca="1" si="467"/>
        <v>213</v>
      </c>
      <c r="E4256" s="2">
        <f t="shared" ca="1" si="468"/>
        <v>11540</v>
      </c>
      <c r="F4256" s="2">
        <f t="shared" ca="1" si="469"/>
        <v>31747</v>
      </c>
      <c r="G4256" s="2">
        <f t="shared" ca="1" si="470"/>
        <v>1873</v>
      </c>
    </row>
    <row r="4257" spans="1:7" x14ac:dyDescent="0.3">
      <c r="A4257" s="5" t="str">
        <f t="shared" si="464"/>
        <v>Adidas</v>
      </c>
      <c r="B4257" s="5" t="str">
        <f t="shared" si="466"/>
        <v>Superstar</v>
      </c>
      <c r="C4257" s="3">
        <f t="shared" si="465"/>
        <v>45941</v>
      </c>
      <c r="D4257" s="4">
        <f t="shared" ca="1" si="467"/>
        <v>90</v>
      </c>
      <c r="E4257" s="2">
        <f t="shared" ca="1" si="468"/>
        <v>7387</v>
      </c>
      <c r="F4257" s="2">
        <f t="shared" ca="1" si="469"/>
        <v>5172</v>
      </c>
      <c r="G4257" s="2">
        <f t="shared" ca="1" si="470"/>
        <v>106</v>
      </c>
    </row>
    <row r="4258" spans="1:7" x14ac:dyDescent="0.3">
      <c r="A4258" s="5" t="str">
        <f t="shared" si="464"/>
        <v>Puma</v>
      </c>
      <c r="B4258" s="5" t="str">
        <f t="shared" si="466"/>
        <v>Rider Vintage</v>
      </c>
      <c r="C4258" s="3">
        <f t="shared" si="465"/>
        <v>45941</v>
      </c>
      <c r="D4258" s="4">
        <f t="shared" ca="1" si="467"/>
        <v>140</v>
      </c>
      <c r="E4258" s="2">
        <f t="shared" ca="1" si="468"/>
        <v>9020</v>
      </c>
      <c r="F4258" s="2">
        <f t="shared" ca="1" si="469"/>
        <v>12384</v>
      </c>
      <c r="G4258" s="2">
        <f t="shared" ca="1" si="470"/>
        <v>953</v>
      </c>
    </row>
    <row r="4259" spans="1:7" x14ac:dyDescent="0.3">
      <c r="A4259" s="5" t="str">
        <f t="shared" si="464"/>
        <v>New Balance</v>
      </c>
      <c r="B4259" s="5" t="str">
        <f t="shared" si="466"/>
        <v>327</v>
      </c>
      <c r="C4259" s="3">
        <f t="shared" si="465"/>
        <v>45941</v>
      </c>
      <c r="D4259" s="4">
        <f t="shared" ca="1" si="467"/>
        <v>57</v>
      </c>
      <c r="E4259" s="2">
        <f t="shared" ca="1" si="468"/>
        <v>2505</v>
      </c>
      <c r="F4259" s="2">
        <f t="shared" ca="1" si="469"/>
        <v>28474</v>
      </c>
      <c r="G4259" s="2">
        <f t="shared" ca="1" si="470"/>
        <v>1222</v>
      </c>
    </row>
    <row r="4260" spans="1:7" x14ac:dyDescent="0.3">
      <c r="A4260" s="5" t="str">
        <f t="shared" si="464"/>
        <v>Reebok</v>
      </c>
      <c r="B4260" s="5" t="str">
        <f t="shared" si="466"/>
        <v>Question Mid</v>
      </c>
      <c r="C4260" s="3">
        <f t="shared" si="465"/>
        <v>45941</v>
      </c>
      <c r="D4260" s="4">
        <f t="shared" ca="1" si="467"/>
        <v>54</v>
      </c>
      <c r="E4260" s="2">
        <f t="shared" ca="1" si="468"/>
        <v>9226</v>
      </c>
      <c r="F4260" s="2">
        <f t="shared" ca="1" si="469"/>
        <v>21425</v>
      </c>
      <c r="G4260" s="2">
        <f t="shared" ca="1" si="470"/>
        <v>681</v>
      </c>
    </row>
    <row r="4261" spans="1:7" x14ac:dyDescent="0.3">
      <c r="A4261" s="5" t="str">
        <f t="shared" si="464"/>
        <v>Nike</v>
      </c>
      <c r="B4261" s="5" t="str">
        <f t="shared" si="466"/>
        <v>Air Max 270</v>
      </c>
      <c r="C4261" s="3">
        <f t="shared" si="465"/>
        <v>45941</v>
      </c>
      <c r="D4261" s="4">
        <f t="shared" ca="1" si="467"/>
        <v>225</v>
      </c>
      <c r="E4261" s="2">
        <f t="shared" ca="1" si="468"/>
        <v>5675</v>
      </c>
      <c r="F4261" s="2">
        <f t="shared" ca="1" si="469"/>
        <v>24436</v>
      </c>
      <c r="G4261" s="2">
        <f t="shared" ca="1" si="470"/>
        <v>1097</v>
      </c>
    </row>
    <row r="4262" spans="1:7" x14ac:dyDescent="0.3">
      <c r="A4262" s="5" t="str">
        <f t="shared" si="464"/>
        <v>Adidas</v>
      </c>
      <c r="B4262" s="5" t="str">
        <f t="shared" si="466"/>
        <v>Stan Smith</v>
      </c>
      <c r="C4262" s="3">
        <f t="shared" si="465"/>
        <v>45942</v>
      </c>
      <c r="D4262" s="4">
        <f t="shared" ca="1" si="467"/>
        <v>162</v>
      </c>
      <c r="E4262" s="2">
        <f t="shared" ca="1" si="468"/>
        <v>5936</v>
      </c>
      <c r="F4262" s="2">
        <f t="shared" ca="1" si="469"/>
        <v>9424</v>
      </c>
      <c r="G4262" s="2">
        <f t="shared" ca="1" si="470"/>
        <v>631</v>
      </c>
    </row>
    <row r="4263" spans="1:7" x14ac:dyDescent="0.3">
      <c r="A4263" s="5" t="str">
        <f t="shared" si="464"/>
        <v>Puma</v>
      </c>
      <c r="B4263" s="5" t="str">
        <f t="shared" si="466"/>
        <v>Cali Dream</v>
      </c>
      <c r="C4263" s="3">
        <f t="shared" si="465"/>
        <v>45942</v>
      </c>
      <c r="D4263" s="4">
        <f t="shared" ca="1" si="467"/>
        <v>191</v>
      </c>
      <c r="E4263" s="2">
        <f t="shared" ca="1" si="468"/>
        <v>7082</v>
      </c>
      <c r="F4263" s="2">
        <f t="shared" ca="1" si="469"/>
        <v>10834</v>
      </c>
      <c r="G4263" s="2">
        <f t="shared" ca="1" si="470"/>
        <v>549</v>
      </c>
    </row>
    <row r="4264" spans="1:7" x14ac:dyDescent="0.3">
      <c r="A4264" s="5" t="str">
        <f t="shared" si="464"/>
        <v>New Balance</v>
      </c>
      <c r="B4264" s="5" t="str">
        <f t="shared" si="466"/>
        <v>9060</v>
      </c>
      <c r="C4264" s="3">
        <f t="shared" si="465"/>
        <v>45942</v>
      </c>
      <c r="D4264" s="4">
        <f t="shared" ca="1" si="467"/>
        <v>208</v>
      </c>
      <c r="E4264" s="2">
        <f t="shared" ca="1" si="468"/>
        <v>7933</v>
      </c>
      <c r="F4264" s="2">
        <f t="shared" ca="1" si="469"/>
        <v>30130</v>
      </c>
      <c r="G4264" s="2">
        <f t="shared" ca="1" si="470"/>
        <v>2146</v>
      </c>
    </row>
    <row r="4265" spans="1:7" x14ac:dyDescent="0.3">
      <c r="A4265" s="5" t="str">
        <f t="shared" si="464"/>
        <v>Reebok</v>
      </c>
      <c r="B4265" s="5" t="str">
        <f t="shared" si="466"/>
        <v>Zig Kinetica</v>
      </c>
      <c r="C4265" s="3">
        <f t="shared" si="465"/>
        <v>45942</v>
      </c>
      <c r="D4265" s="4">
        <f t="shared" ca="1" si="467"/>
        <v>62</v>
      </c>
      <c r="E4265" s="2">
        <f t="shared" ca="1" si="468"/>
        <v>4468</v>
      </c>
      <c r="F4265" s="2">
        <f t="shared" ca="1" si="469"/>
        <v>15009</v>
      </c>
      <c r="G4265" s="2">
        <f t="shared" ca="1" si="470"/>
        <v>464</v>
      </c>
    </row>
    <row r="4266" spans="1:7" x14ac:dyDescent="0.3">
      <c r="A4266" s="5" t="str">
        <f t="shared" si="464"/>
        <v>Nike</v>
      </c>
      <c r="B4266" s="5" t="str">
        <f t="shared" si="466"/>
        <v>Jordan 1</v>
      </c>
      <c r="C4266" s="3">
        <f t="shared" si="465"/>
        <v>45942</v>
      </c>
      <c r="D4266" s="4">
        <f t="shared" ca="1" si="467"/>
        <v>59</v>
      </c>
      <c r="E4266" s="2">
        <f t="shared" ca="1" si="468"/>
        <v>4947</v>
      </c>
      <c r="F4266" s="2">
        <f t="shared" ca="1" si="469"/>
        <v>5411</v>
      </c>
      <c r="G4266" s="2">
        <f t="shared" ca="1" si="470"/>
        <v>399</v>
      </c>
    </row>
    <row r="4267" spans="1:7" x14ac:dyDescent="0.3">
      <c r="A4267" s="5" t="str">
        <f t="shared" ref="A4267:A4330" si="471">CHOOSE(MOD(ROW(A4266),5)+1,"Nike","Adidas","Puma","New Balance","Reebok")</f>
        <v>Adidas</v>
      </c>
      <c r="B4267" s="5" t="str">
        <f t="shared" si="466"/>
        <v>Ultraboost 23</v>
      </c>
      <c r="C4267" s="3">
        <f t="shared" ref="C4267:C4330" si="472">DATE(2025,1,1)+INT((ROW(A4267)-2)/15)</f>
        <v>45942</v>
      </c>
      <c r="D4267" s="4">
        <f t="shared" ca="1" si="467"/>
        <v>44</v>
      </c>
      <c r="E4267" s="2">
        <f t="shared" ca="1" si="468"/>
        <v>9402</v>
      </c>
      <c r="F4267" s="2">
        <f t="shared" ca="1" si="469"/>
        <v>30151</v>
      </c>
      <c r="G4267" s="2">
        <f t="shared" ca="1" si="470"/>
        <v>635</v>
      </c>
    </row>
    <row r="4268" spans="1:7" x14ac:dyDescent="0.3">
      <c r="A4268" s="5" t="str">
        <f t="shared" si="471"/>
        <v>Puma</v>
      </c>
      <c r="B4268" s="5" t="str">
        <f t="shared" si="466"/>
        <v>RS-X</v>
      </c>
      <c r="C4268" s="3">
        <f t="shared" si="472"/>
        <v>45942</v>
      </c>
      <c r="D4268" s="4">
        <f t="shared" ca="1" si="467"/>
        <v>147</v>
      </c>
      <c r="E4268" s="2">
        <f t="shared" ca="1" si="468"/>
        <v>8439</v>
      </c>
      <c r="F4268" s="2">
        <f t="shared" ca="1" si="469"/>
        <v>8312</v>
      </c>
      <c r="G4268" s="2">
        <f t="shared" ca="1" si="470"/>
        <v>342</v>
      </c>
    </row>
    <row r="4269" spans="1:7" x14ac:dyDescent="0.3">
      <c r="A4269" s="5" t="str">
        <f t="shared" si="471"/>
        <v>New Balance</v>
      </c>
      <c r="B4269" s="5" t="str">
        <f t="shared" si="466"/>
        <v>2002R</v>
      </c>
      <c r="C4269" s="3">
        <f t="shared" si="472"/>
        <v>45942</v>
      </c>
      <c r="D4269" s="4">
        <f t="shared" ca="1" si="467"/>
        <v>177</v>
      </c>
      <c r="E4269" s="2">
        <f t="shared" ca="1" si="468"/>
        <v>4747</v>
      </c>
      <c r="F4269" s="2">
        <f t="shared" ca="1" si="469"/>
        <v>26665</v>
      </c>
      <c r="G4269" s="2">
        <f t="shared" ca="1" si="470"/>
        <v>1423</v>
      </c>
    </row>
    <row r="4270" spans="1:7" x14ac:dyDescent="0.3">
      <c r="A4270" s="5" t="str">
        <f t="shared" si="471"/>
        <v>Reebok</v>
      </c>
      <c r="B4270" s="5" t="str">
        <f t="shared" si="466"/>
        <v>Instapump Fury</v>
      </c>
      <c r="C4270" s="3">
        <f t="shared" si="472"/>
        <v>45942</v>
      </c>
      <c r="D4270" s="4">
        <f t="shared" ca="1" si="467"/>
        <v>124</v>
      </c>
      <c r="E4270" s="2">
        <f t="shared" ca="1" si="468"/>
        <v>7102</v>
      </c>
      <c r="F4270" s="2">
        <f t="shared" ca="1" si="469"/>
        <v>33969</v>
      </c>
      <c r="G4270" s="2">
        <f t="shared" ca="1" si="470"/>
        <v>876</v>
      </c>
    </row>
    <row r="4271" spans="1:7" x14ac:dyDescent="0.3">
      <c r="A4271" s="5" t="str">
        <f t="shared" si="471"/>
        <v>Nike</v>
      </c>
      <c r="B4271" s="5" t="str">
        <f t="shared" si="466"/>
        <v>Cortez</v>
      </c>
      <c r="C4271" s="3">
        <f t="shared" si="472"/>
        <v>45942</v>
      </c>
      <c r="D4271" s="4">
        <f t="shared" ca="1" si="467"/>
        <v>159</v>
      </c>
      <c r="E4271" s="2">
        <f t="shared" ca="1" si="468"/>
        <v>7811</v>
      </c>
      <c r="F4271" s="2">
        <f t="shared" ca="1" si="469"/>
        <v>29721</v>
      </c>
      <c r="G4271" s="2">
        <f t="shared" ca="1" si="470"/>
        <v>660</v>
      </c>
    </row>
    <row r="4272" spans="1:7" x14ac:dyDescent="0.3">
      <c r="A4272" s="5" t="str">
        <f t="shared" si="471"/>
        <v>Adidas</v>
      </c>
      <c r="B4272" s="5" t="str">
        <f t="shared" si="466"/>
        <v>NMD S1</v>
      </c>
      <c r="C4272" s="3">
        <f t="shared" si="472"/>
        <v>45942</v>
      </c>
      <c r="D4272" s="4">
        <f t="shared" ca="1" si="467"/>
        <v>149</v>
      </c>
      <c r="E4272" s="2">
        <f t="shared" ca="1" si="468"/>
        <v>5713</v>
      </c>
      <c r="F4272" s="2">
        <f t="shared" ca="1" si="469"/>
        <v>12078</v>
      </c>
      <c r="G4272" s="2">
        <f t="shared" ca="1" si="470"/>
        <v>869</v>
      </c>
    </row>
    <row r="4273" spans="1:7" x14ac:dyDescent="0.3">
      <c r="A4273" s="5" t="str">
        <f t="shared" si="471"/>
        <v>Puma</v>
      </c>
      <c r="B4273" s="5" t="str">
        <f t="shared" si="466"/>
        <v>Suede Classic</v>
      </c>
      <c r="C4273" s="3">
        <f t="shared" si="472"/>
        <v>45942</v>
      </c>
      <c r="D4273" s="4">
        <f t="shared" ca="1" si="467"/>
        <v>120</v>
      </c>
      <c r="E4273" s="2">
        <f t="shared" ca="1" si="468"/>
        <v>3830</v>
      </c>
      <c r="F4273" s="2">
        <f t="shared" ca="1" si="469"/>
        <v>24139</v>
      </c>
      <c r="G4273" s="2">
        <f t="shared" ca="1" si="470"/>
        <v>1456</v>
      </c>
    </row>
    <row r="4274" spans="1:7" x14ac:dyDescent="0.3">
      <c r="A4274" s="5" t="str">
        <f t="shared" si="471"/>
        <v>New Balance</v>
      </c>
      <c r="B4274" s="5" t="str">
        <f t="shared" si="466"/>
        <v>990v6</v>
      </c>
      <c r="C4274" s="3">
        <f t="shared" si="472"/>
        <v>45942</v>
      </c>
      <c r="D4274" s="4">
        <f t="shared" ca="1" si="467"/>
        <v>156</v>
      </c>
      <c r="E4274" s="2">
        <f t="shared" ca="1" si="468"/>
        <v>8578</v>
      </c>
      <c r="F4274" s="2">
        <f t="shared" ca="1" si="469"/>
        <v>18025</v>
      </c>
      <c r="G4274" s="2">
        <f t="shared" ca="1" si="470"/>
        <v>452</v>
      </c>
    </row>
    <row r="4275" spans="1:7" x14ac:dyDescent="0.3">
      <c r="A4275" s="5" t="str">
        <f t="shared" si="471"/>
        <v>Reebok</v>
      </c>
      <c r="B4275" s="5" t="str">
        <f t="shared" si="466"/>
        <v>Nano X3</v>
      </c>
      <c r="C4275" s="3">
        <f t="shared" si="472"/>
        <v>45942</v>
      </c>
      <c r="D4275" s="4">
        <f t="shared" ca="1" si="467"/>
        <v>213</v>
      </c>
      <c r="E4275" s="2">
        <f t="shared" ca="1" si="468"/>
        <v>4348</v>
      </c>
      <c r="F4275" s="2">
        <f t="shared" ca="1" si="469"/>
        <v>22239</v>
      </c>
      <c r="G4275" s="2">
        <f t="shared" ca="1" si="470"/>
        <v>1001</v>
      </c>
    </row>
    <row r="4276" spans="1:7" x14ac:dyDescent="0.3">
      <c r="A4276" s="5" t="str">
        <f t="shared" si="471"/>
        <v>Nike</v>
      </c>
      <c r="B4276" s="5" t="str">
        <f t="shared" si="466"/>
        <v>Vaporfly 3</v>
      </c>
      <c r="C4276" s="3">
        <f t="shared" si="472"/>
        <v>45942</v>
      </c>
      <c r="D4276" s="4">
        <f t="shared" ca="1" si="467"/>
        <v>87</v>
      </c>
      <c r="E4276" s="2">
        <f t="shared" ca="1" si="468"/>
        <v>6356</v>
      </c>
      <c r="F4276" s="2">
        <f t="shared" ca="1" si="469"/>
        <v>12369</v>
      </c>
      <c r="G4276" s="2">
        <f t="shared" ca="1" si="470"/>
        <v>796</v>
      </c>
    </row>
    <row r="4277" spans="1:7" x14ac:dyDescent="0.3">
      <c r="A4277" s="5" t="str">
        <f t="shared" si="471"/>
        <v>Adidas</v>
      </c>
      <c r="B4277" s="5" t="str">
        <f t="shared" si="466"/>
        <v>Samba</v>
      </c>
      <c r="C4277" s="3">
        <f t="shared" si="472"/>
        <v>45943</v>
      </c>
      <c r="D4277" s="4">
        <f t="shared" ca="1" si="467"/>
        <v>64</v>
      </c>
      <c r="E4277" s="2">
        <f t="shared" ca="1" si="468"/>
        <v>2164</v>
      </c>
      <c r="F4277" s="2">
        <f t="shared" ca="1" si="469"/>
        <v>21277</v>
      </c>
      <c r="G4277" s="2">
        <f t="shared" ca="1" si="470"/>
        <v>1677</v>
      </c>
    </row>
    <row r="4278" spans="1:7" x14ac:dyDescent="0.3">
      <c r="A4278" s="5" t="str">
        <f t="shared" si="471"/>
        <v>Puma</v>
      </c>
      <c r="B4278" s="5" t="str">
        <f t="shared" si="466"/>
        <v>Mayze</v>
      </c>
      <c r="C4278" s="3">
        <f t="shared" si="472"/>
        <v>45943</v>
      </c>
      <c r="D4278" s="4">
        <f t="shared" ca="1" si="467"/>
        <v>166</v>
      </c>
      <c r="E4278" s="2">
        <f t="shared" ca="1" si="468"/>
        <v>2337</v>
      </c>
      <c r="F4278" s="2">
        <f t="shared" ca="1" si="469"/>
        <v>14768</v>
      </c>
      <c r="G4278" s="2">
        <f t="shared" ca="1" si="470"/>
        <v>1042</v>
      </c>
    </row>
    <row r="4279" spans="1:7" x14ac:dyDescent="0.3">
      <c r="A4279" s="5" t="str">
        <f t="shared" si="471"/>
        <v>New Balance</v>
      </c>
      <c r="B4279" s="5" t="str">
        <f t="shared" si="466"/>
        <v>574 Core</v>
      </c>
      <c r="C4279" s="3">
        <f t="shared" si="472"/>
        <v>45943</v>
      </c>
      <c r="D4279" s="4">
        <f t="shared" ca="1" si="467"/>
        <v>185</v>
      </c>
      <c r="E4279" s="2">
        <f t="shared" ca="1" si="468"/>
        <v>9963</v>
      </c>
      <c r="F4279" s="2">
        <f t="shared" ca="1" si="469"/>
        <v>31468</v>
      </c>
      <c r="G4279" s="2">
        <f t="shared" ca="1" si="470"/>
        <v>1417</v>
      </c>
    </row>
    <row r="4280" spans="1:7" x14ac:dyDescent="0.3">
      <c r="A4280" s="5" t="str">
        <f t="shared" si="471"/>
        <v>Reebok</v>
      </c>
      <c r="B4280" s="5" t="str">
        <f t="shared" si="466"/>
        <v>Club C 85</v>
      </c>
      <c r="C4280" s="3">
        <f t="shared" si="472"/>
        <v>45943</v>
      </c>
      <c r="D4280" s="4">
        <f t="shared" ca="1" si="467"/>
        <v>49</v>
      </c>
      <c r="E4280" s="2">
        <f t="shared" ca="1" si="468"/>
        <v>11896</v>
      </c>
      <c r="F4280" s="2">
        <f t="shared" ca="1" si="469"/>
        <v>31128</v>
      </c>
      <c r="G4280" s="2">
        <f t="shared" ca="1" si="470"/>
        <v>849</v>
      </c>
    </row>
    <row r="4281" spans="1:7" x14ac:dyDescent="0.3">
      <c r="A4281" s="5" t="str">
        <f t="shared" si="471"/>
        <v>Nike</v>
      </c>
      <c r="B4281" s="5" t="str">
        <f t="shared" si="466"/>
        <v>Pegasus 40</v>
      </c>
      <c r="C4281" s="3">
        <f t="shared" si="472"/>
        <v>45943</v>
      </c>
      <c r="D4281" s="4">
        <f t="shared" ca="1" si="467"/>
        <v>57</v>
      </c>
      <c r="E4281" s="2">
        <f t="shared" ca="1" si="468"/>
        <v>6804</v>
      </c>
      <c r="F4281" s="2">
        <f t="shared" ca="1" si="469"/>
        <v>14247</v>
      </c>
      <c r="G4281" s="2">
        <f t="shared" ca="1" si="470"/>
        <v>822</v>
      </c>
    </row>
    <row r="4282" spans="1:7" x14ac:dyDescent="0.3">
      <c r="A4282" s="5" t="str">
        <f t="shared" si="471"/>
        <v>Adidas</v>
      </c>
      <c r="B4282" s="5" t="str">
        <f t="shared" si="466"/>
        <v>Gazelle</v>
      </c>
      <c r="C4282" s="3">
        <f t="shared" si="472"/>
        <v>45943</v>
      </c>
      <c r="D4282" s="4">
        <f t="shared" ca="1" si="467"/>
        <v>113</v>
      </c>
      <c r="E4282" s="2">
        <f t="shared" ca="1" si="468"/>
        <v>8517</v>
      </c>
      <c r="F4282" s="2">
        <f t="shared" ca="1" si="469"/>
        <v>12626</v>
      </c>
      <c r="G4282" s="2">
        <f t="shared" ca="1" si="470"/>
        <v>823</v>
      </c>
    </row>
    <row r="4283" spans="1:7" x14ac:dyDescent="0.3">
      <c r="A4283" s="5" t="str">
        <f t="shared" si="471"/>
        <v>Puma</v>
      </c>
      <c r="B4283" s="5" t="str">
        <f t="shared" si="466"/>
        <v>Slipstream</v>
      </c>
      <c r="C4283" s="3">
        <f t="shared" si="472"/>
        <v>45943</v>
      </c>
      <c r="D4283" s="4">
        <f t="shared" ca="1" si="467"/>
        <v>47</v>
      </c>
      <c r="E4283" s="2">
        <f t="shared" ca="1" si="468"/>
        <v>2440</v>
      </c>
      <c r="F4283" s="2">
        <f t="shared" ca="1" si="469"/>
        <v>34008</v>
      </c>
      <c r="G4283" s="2">
        <f t="shared" ca="1" si="470"/>
        <v>2186</v>
      </c>
    </row>
    <row r="4284" spans="1:7" x14ac:dyDescent="0.3">
      <c r="A4284" s="5" t="str">
        <f t="shared" si="471"/>
        <v>New Balance</v>
      </c>
      <c r="B4284" s="5" t="str">
        <f t="shared" si="466"/>
        <v>550</v>
      </c>
      <c r="C4284" s="3">
        <f t="shared" si="472"/>
        <v>45943</v>
      </c>
      <c r="D4284" s="4">
        <f t="shared" ca="1" si="467"/>
        <v>183</v>
      </c>
      <c r="E4284" s="2">
        <f t="shared" ca="1" si="468"/>
        <v>1830</v>
      </c>
      <c r="F4284" s="2">
        <f t="shared" ca="1" si="469"/>
        <v>22090</v>
      </c>
      <c r="G4284" s="2">
        <f t="shared" ca="1" si="470"/>
        <v>975</v>
      </c>
    </row>
    <row r="4285" spans="1:7" x14ac:dyDescent="0.3">
      <c r="A4285" s="5" t="str">
        <f t="shared" si="471"/>
        <v>Reebok</v>
      </c>
      <c r="B4285" s="5" t="str">
        <f t="shared" si="466"/>
        <v>Classic Leather</v>
      </c>
      <c r="C4285" s="3">
        <f t="shared" si="472"/>
        <v>45943</v>
      </c>
      <c r="D4285" s="4">
        <f t="shared" ca="1" si="467"/>
        <v>117</v>
      </c>
      <c r="E4285" s="2">
        <f t="shared" ca="1" si="468"/>
        <v>10341</v>
      </c>
      <c r="F4285" s="2">
        <f t="shared" ca="1" si="469"/>
        <v>16262</v>
      </c>
      <c r="G4285" s="2">
        <f t="shared" ca="1" si="470"/>
        <v>333</v>
      </c>
    </row>
    <row r="4286" spans="1:7" x14ac:dyDescent="0.3">
      <c r="A4286" s="5" t="str">
        <f t="shared" si="471"/>
        <v>Nike</v>
      </c>
      <c r="B4286" s="5" t="str">
        <f t="shared" si="466"/>
        <v>Air Force 1</v>
      </c>
      <c r="C4286" s="3">
        <f t="shared" si="472"/>
        <v>45943</v>
      </c>
      <c r="D4286" s="4">
        <f t="shared" ca="1" si="467"/>
        <v>134</v>
      </c>
      <c r="E4286" s="2">
        <f t="shared" ca="1" si="468"/>
        <v>2473</v>
      </c>
      <c r="F4286" s="2">
        <f t="shared" ca="1" si="469"/>
        <v>19498</v>
      </c>
      <c r="G4286" s="2">
        <f t="shared" ca="1" si="470"/>
        <v>616</v>
      </c>
    </row>
    <row r="4287" spans="1:7" x14ac:dyDescent="0.3">
      <c r="A4287" s="5" t="str">
        <f t="shared" si="471"/>
        <v>Adidas</v>
      </c>
      <c r="B4287" s="5" t="str">
        <f t="shared" si="466"/>
        <v>Superstar</v>
      </c>
      <c r="C4287" s="3">
        <f t="shared" si="472"/>
        <v>45943</v>
      </c>
      <c r="D4287" s="4">
        <f t="shared" ca="1" si="467"/>
        <v>21</v>
      </c>
      <c r="E4287" s="2">
        <f t="shared" ca="1" si="468"/>
        <v>8916</v>
      </c>
      <c r="F4287" s="2">
        <f t="shared" ca="1" si="469"/>
        <v>28159</v>
      </c>
      <c r="G4287" s="2">
        <f t="shared" ca="1" si="470"/>
        <v>1711</v>
      </c>
    </row>
    <row r="4288" spans="1:7" x14ac:dyDescent="0.3">
      <c r="A4288" s="5" t="str">
        <f t="shared" si="471"/>
        <v>Puma</v>
      </c>
      <c r="B4288" s="5" t="str">
        <f t="shared" si="466"/>
        <v>Rider Vintage</v>
      </c>
      <c r="C4288" s="3">
        <f t="shared" si="472"/>
        <v>45943</v>
      </c>
      <c r="D4288" s="4">
        <f t="shared" ca="1" si="467"/>
        <v>93</v>
      </c>
      <c r="E4288" s="2">
        <f t="shared" ca="1" si="468"/>
        <v>2071</v>
      </c>
      <c r="F4288" s="2">
        <f t="shared" ca="1" si="469"/>
        <v>33401</v>
      </c>
      <c r="G4288" s="2">
        <f t="shared" ca="1" si="470"/>
        <v>789</v>
      </c>
    </row>
    <row r="4289" spans="1:7" x14ac:dyDescent="0.3">
      <c r="A4289" s="5" t="str">
        <f t="shared" si="471"/>
        <v>New Balance</v>
      </c>
      <c r="B4289" s="5" t="str">
        <f t="shared" si="466"/>
        <v>327</v>
      </c>
      <c r="C4289" s="3">
        <f t="shared" si="472"/>
        <v>45943</v>
      </c>
      <c r="D4289" s="4">
        <f t="shared" ca="1" si="467"/>
        <v>139</v>
      </c>
      <c r="E4289" s="2">
        <f t="shared" ca="1" si="468"/>
        <v>9408</v>
      </c>
      <c r="F4289" s="2">
        <f t="shared" ca="1" si="469"/>
        <v>21738</v>
      </c>
      <c r="G4289" s="2">
        <f t="shared" ca="1" si="470"/>
        <v>1354</v>
      </c>
    </row>
    <row r="4290" spans="1:7" x14ac:dyDescent="0.3">
      <c r="A4290" s="5" t="str">
        <f t="shared" si="471"/>
        <v>Reebok</v>
      </c>
      <c r="B4290" s="5" t="str">
        <f t="shared" si="466"/>
        <v>Question Mid</v>
      </c>
      <c r="C4290" s="3">
        <f t="shared" si="472"/>
        <v>45943</v>
      </c>
      <c r="D4290" s="4">
        <f t="shared" ca="1" si="467"/>
        <v>77</v>
      </c>
      <c r="E4290" s="2">
        <f t="shared" ca="1" si="468"/>
        <v>5677</v>
      </c>
      <c r="F4290" s="2">
        <f t="shared" ca="1" si="469"/>
        <v>6463</v>
      </c>
      <c r="G4290" s="2">
        <f t="shared" ca="1" si="470"/>
        <v>338</v>
      </c>
    </row>
    <row r="4291" spans="1:7" x14ac:dyDescent="0.3">
      <c r="A4291" s="5" t="str">
        <f t="shared" si="471"/>
        <v>Nike</v>
      </c>
      <c r="B4291" s="5" t="str">
        <f t="shared" ref="B4291:B4354" si="473">IF(A4291="Nike",CHOOSE(MOD(ROW(A4290),6)+1,"Air Max 270","Air Force 1","Pegasus 40","Vaporfly 3","Cortez","Jordan 1"),
 IF(A4291="Adidas",CHOOSE(MOD(ROW(A4290),6)+1,"Ultraboost 23","Stan Smith","Superstar","Gazelle","Samba","NMD S1"),
 IF(A4291="Puma",CHOOSE(MOD(ROW(A4290),6)+1,"Suede Classic","RS-X","Cali Dream","Rider Vintage","Slipstream","Mayze"),
 IF(A4291="New Balance",CHOOSE(MOD(ROW(A4290),6)+1,"574 Core","990v6","2002R","9060","327","550"),
 IF(A4291="Reebok",CHOOSE(MOD(ROW(A4290),6)+1,"Classic Leather","Club C 85","Nano X3","Instapump Fury","Zig Kinetica","Question Mid"),"")))))</f>
        <v>Air Max 270</v>
      </c>
      <c r="C4291" s="3">
        <f t="shared" si="472"/>
        <v>45943</v>
      </c>
      <c r="D4291" s="4">
        <f t="shared" ref="D4291:D4354" ca="1" si="474">RANDBETWEEN(20,250)</f>
        <v>246</v>
      </c>
      <c r="E4291" s="2">
        <f t="shared" ref="E4291:E4354" ca="1" si="475">ROUND(RANDBETWEEN(1500,12000)+(RANDBETWEEN(-200,200)),2)</f>
        <v>5540</v>
      </c>
      <c r="F4291" s="2">
        <f t="shared" ref="F4291:F4354" ca="1" si="476">RANDBETWEEN(5000,35000)</f>
        <v>12752</v>
      </c>
      <c r="G4291" s="2">
        <f t="shared" ref="G4291:G4354" ca="1" si="477">RANDBETWEEN(ROUND(F4291*0.02,0),ROUND(F4291*0.08,0))</f>
        <v>458</v>
      </c>
    </row>
    <row r="4292" spans="1:7" x14ac:dyDescent="0.3">
      <c r="A4292" s="5" t="str">
        <f t="shared" si="471"/>
        <v>Adidas</v>
      </c>
      <c r="B4292" s="5" t="str">
        <f t="shared" si="473"/>
        <v>Stan Smith</v>
      </c>
      <c r="C4292" s="3">
        <f t="shared" si="472"/>
        <v>45944</v>
      </c>
      <c r="D4292" s="4">
        <f t="shared" ca="1" si="474"/>
        <v>57</v>
      </c>
      <c r="E4292" s="2">
        <f t="shared" ca="1" si="475"/>
        <v>10993</v>
      </c>
      <c r="F4292" s="2">
        <f t="shared" ca="1" si="476"/>
        <v>25847</v>
      </c>
      <c r="G4292" s="2">
        <f t="shared" ca="1" si="477"/>
        <v>1407</v>
      </c>
    </row>
    <row r="4293" spans="1:7" x14ac:dyDescent="0.3">
      <c r="A4293" s="5" t="str">
        <f t="shared" si="471"/>
        <v>Puma</v>
      </c>
      <c r="B4293" s="5" t="str">
        <f t="shared" si="473"/>
        <v>Cali Dream</v>
      </c>
      <c r="C4293" s="3">
        <f t="shared" si="472"/>
        <v>45944</v>
      </c>
      <c r="D4293" s="4">
        <f t="shared" ca="1" si="474"/>
        <v>244</v>
      </c>
      <c r="E4293" s="2">
        <f t="shared" ca="1" si="475"/>
        <v>10103</v>
      </c>
      <c r="F4293" s="2">
        <f t="shared" ca="1" si="476"/>
        <v>24357</v>
      </c>
      <c r="G4293" s="2">
        <f t="shared" ca="1" si="477"/>
        <v>1746</v>
      </c>
    </row>
    <row r="4294" spans="1:7" x14ac:dyDescent="0.3">
      <c r="A4294" s="5" t="str">
        <f t="shared" si="471"/>
        <v>New Balance</v>
      </c>
      <c r="B4294" s="5" t="str">
        <f t="shared" si="473"/>
        <v>9060</v>
      </c>
      <c r="C4294" s="3">
        <f t="shared" si="472"/>
        <v>45944</v>
      </c>
      <c r="D4294" s="4">
        <f t="shared" ca="1" si="474"/>
        <v>231</v>
      </c>
      <c r="E4294" s="2">
        <f t="shared" ca="1" si="475"/>
        <v>6314</v>
      </c>
      <c r="F4294" s="2">
        <f t="shared" ca="1" si="476"/>
        <v>19675</v>
      </c>
      <c r="G4294" s="2">
        <f t="shared" ca="1" si="477"/>
        <v>702</v>
      </c>
    </row>
    <row r="4295" spans="1:7" x14ac:dyDescent="0.3">
      <c r="A4295" s="5" t="str">
        <f t="shared" si="471"/>
        <v>Reebok</v>
      </c>
      <c r="B4295" s="5" t="str">
        <f t="shared" si="473"/>
        <v>Zig Kinetica</v>
      </c>
      <c r="C4295" s="3">
        <f t="shared" si="472"/>
        <v>45944</v>
      </c>
      <c r="D4295" s="4">
        <f t="shared" ca="1" si="474"/>
        <v>231</v>
      </c>
      <c r="E4295" s="2">
        <f t="shared" ca="1" si="475"/>
        <v>3116</v>
      </c>
      <c r="F4295" s="2">
        <f t="shared" ca="1" si="476"/>
        <v>17372</v>
      </c>
      <c r="G4295" s="2">
        <f t="shared" ca="1" si="477"/>
        <v>1101</v>
      </c>
    </row>
    <row r="4296" spans="1:7" x14ac:dyDescent="0.3">
      <c r="A4296" s="5" t="str">
        <f t="shared" si="471"/>
        <v>Nike</v>
      </c>
      <c r="B4296" s="5" t="str">
        <f t="shared" si="473"/>
        <v>Jordan 1</v>
      </c>
      <c r="C4296" s="3">
        <f t="shared" si="472"/>
        <v>45944</v>
      </c>
      <c r="D4296" s="4">
        <f t="shared" ca="1" si="474"/>
        <v>63</v>
      </c>
      <c r="E4296" s="2">
        <f t="shared" ca="1" si="475"/>
        <v>3153</v>
      </c>
      <c r="F4296" s="2">
        <f t="shared" ca="1" si="476"/>
        <v>20242</v>
      </c>
      <c r="G4296" s="2">
        <f t="shared" ca="1" si="477"/>
        <v>647</v>
      </c>
    </row>
    <row r="4297" spans="1:7" x14ac:dyDescent="0.3">
      <c r="A4297" s="5" t="str">
        <f t="shared" si="471"/>
        <v>Adidas</v>
      </c>
      <c r="B4297" s="5" t="str">
        <f t="shared" si="473"/>
        <v>Ultraboost 23</v>
      </c>
      <c r="C4297" s="3">
        <f t="shared" si="472"/>
        <v>45944</v>
      </c>
      <c r="D4297" s="4">
        <f t="shared" ca="1" si="474"/>
        <v>211</v>
      </c>
      <c r="E4297" s="2">
        <f t="shared" ca="1" si="475"/>
        <v>5485</v>
      </c>
      <c r="F4297" s="2">
        <f t="shared" ca="1" si="476"/>
        <v>20062</v>
      </c>
      <c r="G4297" s="2">
        <f t="shared" ca="1" si="477"/>
        <v>1209</v>
      </c>
    </row>
    <row r="4298" spans="1:7" x14ac:dyDescent="0.3">
      <c r="A4298" s="5" t="str">
        <f t="shared" si="471"/>
        <v>Puma</v>
      </c>
      <c r="B4298" s="5" t="str">
        <f t="shared" si="473"/>
        <v>RS-X</v>
      </c>
      <c r="C4298" s="3">
        <f t="shared" si="472"/>
        <v>45944</v>
      </c>
      <c r="D4298" s="4">
        <f t="shared" ca="1" si="474"/>
        <v>219</v>
      </c>
      <c r="E4298" s="2">
        <f t="shared" ca="1" si="475"/>
        <v>4463</v>
      </c>
      <c r="F4298" s="2">
        <f t="shared" ca="1" si="476"/>
        <v>16718</v>
      </c>
      <c r="G4298" s="2">
        <f t="shared" ca="1" si="477"/>
        <v>1040</v>
      </c>
    </row>
    <row r="4299" spans="1:7" x14ac:dyDescent="0.3">
      <c r="A4299" s="5" t="str">
        <f t="shared" si="471"/>
        <v>New Balance</v>
      </c>
      <c r="B4299" s="5" t="str">
        <f t="shared" si="473"/>
        <v>2002R</v>
      </c>
      <c r="C4299" s="3">
        <f t="shared" si="472"/>
        <v>45944</v>
      </c>
      <c r="D4299" s="4">
        <f t="shared" ca="1" si="474"/>
        <v>82</v>
      </c>
      <c r="E4299" s="2">
        <f t="shared" ca="1" si="475"/>
        <v>8678</v>
      </c>
      <c r="F4299" s="2">
        <f t="shared" ca="1" si="476"/>
        <v>18877</v>
      </c>
      <c r="G4299" s="2">
        <f t="shared" ca="1" si="477"/>
        <v>907</v>
      </c>
    </row>
    <row r="4300" spans="1:7" x14ac:dyDescent="0.3">
      <c r="A4300" s="5" t="str">
        <f t="shared" si="471"/>
        <v>Reebok</v>
      </c>
      <c r="B4300" s="5" t="str">
        <f t="shared" si="473"/>
        <v>Instapump Fury</v>
      </c>
      <c r="C4300" s="3">
        <f t="shared" si="472"/>
        <v>45944</v>
      </c>
      <c r="D4300" s="4">
        <f t="shared" ca="1" si="474"/>
        <v>86</v>
      </c>
      <c r="E4300" s="2">
        <f t="shared" ca="1" si="475"/>
        <v>1786</v>
      </c>
      <c r="F4300" s="2">
        <f t="shared" ca="1" si="476"/>
        <v>14329</v>
      </c>
      <c r="G4300" s="2">
        <f t="shared" ca="1" si="477"/>
        <v>449</v>
      </c>
    </row>
    <row r="4301" spans="1:7" x14ac:dyDescent="0.3">
      <c r="A4301" s="5" t="str">
        <f t="shared" si="471"/>
        <v>Nike</v>
      </c>
      <c r="B4301" s="5" t="str">
        <f t="shared" si="473"/>
        <v>Cortez</v>
      </c>
      <c r="C4301" s="3">
        <f t="shared" si="472"/>
        <v>45944</v>
      </c>
      <c r="D4301" s="4">
        <f t="shared" ca="1" si="474"/>
        <v>160</v>
      </c>
      <c r="E4301" s="2">
        <f t="shared" ca="1" si="475"/>
        <v>5454</v>
      </c>
      <c r="F4301" s="2">
        <f t="shared" ca="1" si="476"/>
        <v>22391</v>
      </c>
      <c r="G4301" s="2">
        <f t="shared" ca="1" si="477"/>
        <v>1439</v>
      </c>
    </row>
    <row r="4302" spans="1:7" x14ac:dyDescent="0.3">
      <c r="A4302" s="5" t="str">
        <f t="shared" si="471"/>
        <v>Adidas</v>
      </c>
      <c r="B4302" s="5" t="str">
        <f t="shared" si="473"/>
        <v>NMD S1</v>
      </c>
      <c r="C4302" s="3">
        <f t="shared" si="472"/>
        <v>45944</v>
      </c>
      <c r="D4302" s="4">
        <f t="shared" ca="1" si="474"/>
        <v>162</v>
      </c>
      <c r="E4302" s="2">
        <f t="shared" ca="1" si="475"/>
        <v>5149</v>
      </c>
      <c r="F4302" s="2">
        <f t="shared" ca="1" si="476"/>
        <v>14855</v>
      </c>
      <c r="G4302" s="2">
        <f t="shared" ca="1" si="477"/>
        <v>692</v>
      </c>
    </row>
    <row r="4303" spans="1:7" x14ac:dyDescent="0.3">
      <c r="A4303" s="5" t="str">
        <f t="shared" si="471"/>
        <v>Puma</v>
      </c>
      <c r="B4303" s="5" t="str">
        <f t="shared" si="473"/>
        <v>Suede Classic</v>
      </c>
      <c r="C4303" s="3">
        <f t="shared" si="472"/>
        <v>45944</v>
      </c>
      <c r="D4303" s="4">
        <f t="shared" ca="1" si="474"/>
        <v>166</v>
      </c>
      <c r="E4303" s="2">
        <f t="shared" ca="1" si="475"/>
        <v>5951</v>
      </c>
      <c r="F4303" s="2">
        <f t="shared" ca="1" si="476"/>
        <v>23189</v>
      </c>
      <c r="G4303" s="2">
        <f t="shared" ca="1" si="477"/>
        <v>1098</v>
      </c>
    </row>
    <row r="4304" spans="1:7" x14ac:dyDescent="0.3">
      <c r="A4304" s="5" t="str">
        <f t="shared" si="471"/>
        <v>New Balance</v>
      </c>
      <c r="B4304" s="5" t="str">
        <f t="shared" si="473"/>
        <v>990v6</v>
      </c>
      <c r="C4304" s="3">
        <f t="shared" si="472"/>
        <v>45944</v>
      </c>
      <c r="D4304" s="4">
        <f t="shared" ca="1" si="474"/>
        <v>154</v>
      </c>
      <c r="E4304" s="2">
        <f t="shared" ca="1" si="475"/>
        <v>5968</v>
      </c>
      <c r="F4304" s="2">
        <f t="shared" ca="1" si="476"/>
        <v>13430</v>
      </c>
      <c r="G4304" s="2">
        <f t="shared" ca="1" si="477"/>
        <v>597</v>
      </c>
    </row>
    <row r="4305" spans="1:7" x14ac:dyDescent="0.3">
      <c r="A4305" s="5" t="str">
        <f t="shared" si="471"/>
        <v>Reebok</v>
      </c>
      <c r="B4305" s="5" t="str">
        <f t="shared" si="473"/>
        <v>Nano X3</v>
      </c>
      <c r="C4305" s="3">
        <f t="shared" si="472"/>
        <v>45944</v>
      </c>
      <c r="D4305" s="4">
        <f t="shared" ca="1" si="474"/>
        <v>90</v>
      </c>
      <c r="E4305" s="2">
        <f t="shared" ca="1" si="475"/>
        <v>8596</v>
      </c>
      <c r="F4305" s="2">
        <f t="shared" ca="1" si="476"/>
        <v>6936</v>
      </c>
      <c r="G4305" s="2">
        <f t="shared" ca="1" si="477"/>
        <v>405</v>
      </c>
    </row>
    <row r="4306" spans="1:7" x14ac:dyDescent="0.3">
      <c r="A4306" s="5" t="str">
        <f t="shared" si="471"/>
        <v>Nike</v>
      </c>
      <c r="B4306" s="5" t="str">
        <f t="shared" si="473"/>
        <v>Vaporfly 3</v>
      </c>
      <c r="C4306" s="3">
        <f t="shared" si="472"/>
        <v>45944</v>
      </c>
      <c r="D4306" s="4">
        <f t="shared" ca="1" si="474"/>
        <v>86</v>
      </c>
      <c r="E4306" s="2">
        <f t="shared" ca="1" si="475"/>
        <v>5331</v>
      </c>
      <c r="F4306" s="2">
        <f t="shared" ca="1" si="476"/>
        <v>13229</v>
      </c>
      <c r="G4306" s="2">
        <f t="shared" ca="1" si="477"/>
        <v>725</v>
      </c>
    </row>
    <row r="4307" spans="1:7" x14ac:dyDescent="0.3">
      <c r="A4307" s="5" t="str">
        <f t="shared" si="471"/>
        <v>Adidas</v>
      </c>
      <c r="B4307" s="5" t="str">
        <f t="shared" si="473"/>
        <v>Samba</v>
      </c>
      <c r="C4307" s="3">
        <f t="shared" si="472"/>
        <v>45945</v>
      </c>
      <c r="D4307" s="4">
        <f t="shared" ca="1" si="474"/>
        <v>177</v>
      </c>
      <c r="E4307" s="2">
        <f t="shared" ca="1" si="475"/>
        <v>7582</v>
      </c>
      <c r="F4307" s="2">
        <f t="shared" ca="1" si="476"/>
        <v>24326</v>
      </c>
      <c r="G4307" s="2">
        <f t="shared" ca="1" si="477"/>
        <v>1917</v>
      </c>
    </row>
    <row r="4308" spans="1:7" x14ac:dyDescent="0.3">
      <c r="A4308" s="5" t="str">
        <f t="shared" si="471"/>
        <v>Puma</v>
      </c>
      <c r="B4308" s="5" t="str">
        <f t="shared" si="473"/>
        <v>Mayze</v>
      </c>
      <c r="C4308" s="3">
        <f t="shared" si="472"/>
        <v>45945</v>
      </c>
      <c r="D4308" s="4">
        <f t="shared" ca="1" si="474"/>
        <v>243</v>
      </c>
      <c r="E4308" s="2">
        <f t="shared" ca="1" si="475"/>
        <v>9256</v>
      </c>
      <c r="F4308" s="2">
        <f t="shared" ca="1" si="476"/>
        <v>7205</v>
      </c>
      <c r="G4308" s="2">
        <f t="shared" ca="1" si="477"/>
        <v>179</v>
      </c>
    </row>
    <row r="4309" spans="1:7" x14ac:dyDescent="0.3">
      <c r="A4309" s="5" t="str">
        <f t="shared" si="471"/>
        <v>New Balance</v>
      </c>
      <c r="B4309" s="5" t="str">
        <f t="shared" si="473"/>
        <v>574 Core</v>
      </c>
      <c r="C4309" s="3">
        <f t="shared" si="472"/>
        <v>45945</v>
      </c>
      <c r="D4309" s="4">
        <f t="shared" ca="1" si="474"/>
        <v>79</v>
      </c>
      <c r="E4309" s="2">
        <f t="shared" ca="1" si="475"/>
        <v>3321</v>
      </c>
      <c r="F4309" s="2">
        <f t="shared" ca="1" si="476"/>
        <v>24789</v>
      </c>
      <c r="G4309" s="2">
        <f t="shared" ca="1" si="477"/>
        <v>1766</v>
      </c>
    </row>
    <row r="4310" spans="1:7" x14ac:dyDescent="0.3">
      <c r="A4310" s="5" t="str">
        <f t="shared" si="471"/>
        <v>Reebok</v>
      </c>
      <c r="B4310" s="5" t="str">
        <f t="shared" si="473"/>
        <v>Club C 85</v>
      </c>
      <c r="C4310" s="3">
        <f t="shared" si="472"/>
        <v>45945</v>
      </c>
      <c r="D4310" s="4">
        <f t="shared" ca="1" si="474"/>
        <v>125</v>
      </c>
      <c r="E4310" s="2">
        <f t="shared" ca="1" si="475"/>
        <v>9500</v>
      </c>
      <c r="F4310" s="2">
        <f t="shared" ca="1" si="476"/>
        <v>15941</v>
      </c>
      <c r="G4310" s="2">
        <f t="shared" ca="1" si="477"/>
        <v>586</v>
      </c>
    </row>
    <row r="4311" spans="1:7" x14ac:dyDescent="0.3">
      <c r="A4311" s="5" t="str">
        <f t="shared" si="471"/>
        <v>Nike</v>
      </c>
      <c r="B4311" s="5" t="str">
        <f t="shared" si="473"/>
        <v>Pegasus 40</v>
      </c>
      <c r="C4311" s="3">
        <f t="shared" si="472"/>
        <v>45945</v>
      </c>
      <c r="D4311" s="4">
        <f t="shared" ca="1" si="474"/>
        <v>135</v>
      </c>
      <c r="E4311" s="2">
        <f t="shared" ca="1" si="475"/>
        <v>6490</v>
      </c>
      <c r="F4311" s="2">
        <f t="shared" ca="1" si="476"/>
        <v>19442</v>
      </c>
      <c r="G4311" s="2">
        <f t="shared" ca="1" si="477"/>
        <v>1491</v>
      </c>
    </row>
    <row r="4312" spans="1:7" x14ac:dyDescent="0.3">
      <c r="A4312" s="5" t="str">
        <f t="shared" si="471"/>
        <v>Adidas</v>
      </c>
      <c r="B4312" s="5" t="str">
        <f t="shared" si="473"/>
        <v>Gazelle</v>
      </c>
      <c r="C4312" s="3">
        <f t="shared" si="472"/>
        <v>45945</v>
      </c>
      <c r="D4312" s="4">
        <f t="shared" ca="1" si="474"/>
        <v>135</v>
      </c>
      <c r="E4312" s="2">
        <f t="shared" ca="1" si="475"/>
        <v>1367</v>
      </c>
      <c r="F4312" s="2">
        <f t="shared" ca="1" si="476"/>
        <v>34303</v>
      </c>
      <c r="G4312" s="2">
        <f t="shared" ca="1" si="477"/>
        <v>2274</v>
      </c>
    </row>
    <row r="4313" spans="1:7" x14ac:dyDescent="0.3">
      <c r="A4313" s="5" t="str">
        <f t="shared" si="471"/>
        <v>Puma</v>
      </c>
      <c r="B4313" s="5" t="str">
        <f t="shared" si="473"/>
        <v>Slipstream</v>
      </c>
      <c r="C4313" s="3">
        <f t="shared" si="472"/>
        <v>45945</v>
      </c>
      <c r="D4313" s="4">
        <f t="shared" ca="1" si="474"/>
        <v>142</v>
      </c>
      <c r="E4313" s="2">
        <f t="shared" ca="1" si="475"/>
        <v>5426</v>
      </c>
      <c r="F4313" s="2">
        <f t="shared" ca="1" si="476"/>
        <v>32612</v>
      </c>
      <c r="G4313" s="2">
        <f t="shared" ca="1" si="477"/>
        <v>1797</v>
      </c>
    </row>
    <row r="4314" spans="1:7" x14ac:dyDescent="0.3">
      <c r="A4314" s="5" t="str">
        <f t="shared" si="471"/>
        <v>New Balance</v>
      </c>
      <c r="B4314" s="5" t="str">
        <f t="shared" si="473"/>
        <v>550</v>
      </c>
      <c r="C4314" s="3">
        <f t="shared" si="472"/>
        <v>45945</v>
      </c>
      <c r="D4314" s="4">
        <f t="shared" ca="1" si="474"/>
        <v>247</v>
      </c>
      <c r="E4314" s="2">
        <f t="shared" ca="1" si="475"/>
        <v>7261</v>
      </c>
      <c r="F4314" s="2">
        <f t="shared" ca="1" si="476"/>
        <v>28683</v>
      </c>
      <c r="G4314" s="2">
        <f t="shared" ca="1" si="477"/>
        <v>963</v>
      </c>
    </row>
    <row r="4315" spans="1:7" x14ac:dyDescent="0.3">
      <c r="A4315" s="5" t="str">
        <f t="shared" si="471"/>
        <v>Reebok</v>
      </c>
      <c r="B4315" s="5" t="str">
        <f t="shared" si="473"/>
        <v>Classic Leather</v>
      </c>
      <c r="C4315" s="3">
        <f t="shared" si="472"/>
        <v>45945</v>
      </c>
      <c r="D4315" s="4">
        <f t="shared" ca="1" si="474"/>
        <v>244</v>
      </c>
      <c r="E4315" s="2">
        <f t="shared" ca="1" si="475"/>
        <v>9318</v>
      </c>
      <c r="F4315" s="2">
        <f t="shared" ca="1" si="476"/>
        <v>30373</v>
      </c>
      <c r="G4315" s="2">
        <f t="shared" ca="1" si="477"/>
        <v>1875</v>
      </c>
    </row>
    <row r="4316" spans="1:7" x14ac:dyDescent="0.3">
      <c r="A4316" s="5" t="str">
        <f t="shared" si="471"/>
        <v>Nike</v>
      </c>
      <c r="B4316" s="5" t="str">
        <f t="shared" si="473"/>
        <v>Air Force 1</v>
      </c>
      <c r="C4316" s="3">
        <f t="shared" si="472"/>
        <v>45945</v>
      </c>
      <c r="D4316" s="4">
        <f t="shared" ca="1" si="474"/>
        <v>95</v>
      </c>
      <c r="E4316" s="2">
        <f t="shared" ca="1" si="475"/>
        <v>8515</v>
      </c>
      <c r="F4316" s="2">
        <f t="shared" ca="1" si="476"/>
        <v>29898</v>
      </c>
      <c r="G4316" s="2">
        <f t="shared" ca="1" si="477"/>
        <v>1449</v>
      </c>
    </row>
    <row r="4317" spans="1:7" x14ac:dyDescent="0.3">
      <c r="A4317" s="5" t="str">
        <f t="shared" si="471"/>
        <v>Adidas</v>
      </c>
      <c r="B4317" s="5" t="str">
        <f t="shared" si="473"/>
        <v>Superstar</v>
      </c>
      <c r="C4317" s="3">
        <f t="shared" si="472"/>
        <v>45945</v>
      </c>
      <c r="D4317" s="4">
        <f t="shared" ca="1" si="474"/>
        <v>52</v>
      </c>
      <c r="E4317" s="2">
        <f t="shared" ca="1" si="475"/>
        <v>4436</v>
      </c>
      <c r="F4317" s="2">
        <f t="shared" ca="1" si="476"/>
        <v>29582</v>
      </c>
      <c r="G4317" s="2">
        <f t="shared" ca="1" si="477"/>
        <v>1064</v>
      </c>
    </row>
    <row r="4318" spans="1:7" x14ac:dyDescent="0.3">
      <c r="A4318" s="5" t="str">
        <f t="shared" si="471"/>
        <v>Puma</v>
      </c>
      <c r="B4318" s="5" t="str">
        <f t="shared" si="473"/>
        <v>Rider Vintage</v>
      </c>
      <c r="C4318" s="3">
        <f t="shared" si="472"/>
        <v>45945</v>
      </c>
      <c r="D4318" s="4">
        <f t="shared" ca="1" si="474"/>
        <v>124</v>
      </c>
      <c r="E4318" s="2">
        <f t="shared" ca="1" si="475"/>
        <v>3767</v>
      </c>
      <c r="F4318" s="2">
        <f t="shared" ca="1" si="476"/>
        <v>25336</v>
      </c>
      <c r="G4318" s="2">
        <f t="shared" ca="1" si="477"/>
        <v>2026</v>
      </c>
    </row>
    <row r="4319" spans="1:7" x14ac:dyDescent="0.3">
      <c r="A4319" s="5" t="str">
        <f t="shared" si="471"/>
        <v>New Balance</v>
      </c>
      <c r="B4319" s="5" t="str">
        <f t="shared" si="473"/>
        <v>327</v>
      </c>
      <c r="C4319" s="3">
        <f t="shared" si="472"/>
        <v>45945</v>
      </c>
      <c r="D4319" s="4">
        <f t="shared" ca="1" si="474"/>
        <v>60</v>
      </c>
      <c r="E4319" s="2">
        <f t="shared" ca="1" si="475"/>
        <v>4000</v>
      </c>
      <c r="F4319" s="2">
        <f t="shared" ca="1" si="476"/>
        <v>6022</v>
      </c>
      <c r="G4319" s="2">
        <f t="shared" ca="1" si="477"/>
        <v>466</v>
      </c>
    </row>
    <row r="4320" spans="1:7" x14ac:dyDescent="0.3">
      <c r="A4320" s="5" t="str">
        <f t="shared" si="471"/>
        <v>Reebok</v>
      </c>
      <c r="B4320" s="5" t="str">
        <f t="shared" si="473"/>
        <v>Question Mid</v>
      </c>
      <c r="C4320" s="3">
        <f t="shared" si="472"/>
        <v>45945</v>
      </c>
      <c r="D4320" s="4">
        <f t="shared" ca="1" si="474"/>
        <v>79</v>
      </c>
      <c r="E4320" s="2">
        <f t="shared" ca="1" si="475"/>
        <v>5212</v>
      </c>
      <c r="F4320" s="2">
        <f t="shared" ca="1" si="476"/>
        <v>23862</v>
      </c>
      <c r="G4320" s="2">
        <f t="shared" ca="1" si="477"/>
        <v>725</v>
      </c>
    </row>
    <row r="4321" spans="1:7" x14ac:dyDescent="0.3">
      <c r="A4321" s="5" t="str">
        <f t="shared" si="471"/>
        <v>Nike</v>
      </c>
      <c r="B4321" s="5" t="str">
        <f t="shared" si="473"/>
        <v>Air Max 270</v>
      </c>
      <c r="C4321" s="3">
        <f t="shared" si="472"/>
        <v>45945</v>
      </c>
      <c r="D4321" s="4">
        <f t="shared" ca="1" si="474"/>
        <v>103</v>
      </c>
      <c r="E4321" s="2">
        <f t="shared" ca="1" si="475"/>
        <v>1923</v>
      </c>
      <c r="F4321" s="2">
        <f t="shared" ca="1" si="476"/>
        <v>23716</v>
      </c>
      <c r="G4321" s="2">
        <f t="shared" ca="1" si="477"/>
        <v>971</v>
      </c>
    </row>
    <row r="4322" spans="1:7" x14ac:dyDescent="0.3">
      <c r="A4322" s="5" t="str">
        <f t="shared" si="471"/>
        <v>Adidas</v>
      </c>
      <c r="B4322" s="5" t="str">
        <f t="shared" si="473"/>
        <v>Stan Smith</v>
      </c>
      <c r="C4322" s="3">
        <f t="shared" si="472"/>
        <v>45946</v>
      </c>
      <c r="D4322" s="4">
        <f t="shared" ca="1" si="474"/>
        <v>243</v>
      </c>
      <c r="E4322" s="2">
        <f t="shared" ca="1" si="475"/>
        <v>7035</v>
      </c>
      <c r="F4322" s="2">
        <f t="shared" ca="1" si="476"/>
        <v>10717</v>
      </c>
      <c r="G4322" s="2">
        <f t="shared" ca="1" si="477"/>
        <v>218</v>
      </c>
    </row>
    <row r="4323" spans="1:7" x14ac:dyDescent="0.3">
      <c r="A4323" s="5" t="str">
        <f t="shared" si="471"/>
        <v>Puma</v>
      </c>
      <c r="B4323" s="5" t="str">
        <f t="shared" si="473"/>
        <v>Cali Dream</v>
      </c>
      <c r="C4323" s="3">
        <f t="shared" si="472"/>
        <v>45946</v>
      </c>
      <c r="D4323" s="4">
        <f t="shared" ca="1" si="474"/>
        <v>141</v>
      </c>
      <c r="E4323" s="2">
        <f t="shared" ca="1" si="475"/>
        <v>4048</v>
      </c>
      <c r="F4323" s="2">
        <f t="shared" ca="1" si="476"/>
        <v>26410</v>
      </c>
      <c r="G4323" s="2">
        <f t="shared" ca="1" si="477"/>
        <v>1203</v>
      </c>
    </row>
    <row r="4324" spans="1:7" x14ac:dyDescent="0.3">
      <c r="A4324" s="5" t="str">
        <f t="shared" si="471"/>
        <v>New Balance</v>
      </c>
      <c r="B4324" s="5" t="str">
        <f t="shared" si="473"/>
        <v>9060</v>
      </c>
      <c r="C4324" s="3">
        <f t="shared" si="472"/>
        <v>45946</v>
      </c>
      <c r="D4324" s="4">
        <f t="shared" ca="1" si="474"/>
        <v>161</v>
      </c>
      <c r="E4324" s="2">
        <f t="shared" ca="1" si="475"/>
        <v>8314</v>
      </c>
      <c r="F4324" s="2">
        <f t="shared" ca="1" si="476"/>
        <v>20285</v>
      </c>
      <c r="G4324" s="2">
        <f t="shared" ca="1" si="477"/>
        <v>1486</v>
      </c>
    </row>
    <row r="4325" spans="1:7" x14ac:dyDescent="0.3">
      <c r="A4325" s="5" t="str">
        <f t="shared" si="471"/>
        <v>Reebok</v>
      </c>
      <c r="B4325" s="5" t="str">
        <f t="shared" si="473"/>
        <v>Zig Kinetica</v>
      </c>
      <c r="C4325" s="3">
        <f t="shared" si="472"/>
        <v>45946</v>
      </c>
      <c r="D4325" s="4">
        <f t="shared" ca="1" si="474"/>
        <v>114</v>
      </c>
      <c r="E4325" s="2">
        <f t="shared" ca="1" si="475"/>
        <v>8252</v>
      </c>
      <c r="F4325" s="2">
        <f t="shared" ca="1" si="476"/>
        <v>22572</v>
      </c>
      <c r="G4325" s="2">
        <f t="shared" ca="1" si="477"/>
        <v>1213</v>
      </c>
    </row>
    <row r="4326" spans="1:7" x14ac:dyDescent="0.3">
      <c r="A4326" s="5" t="str">
        <f t="shared" si="471"/>
        <v>Nike</v>
      </c>
      <c r="B4326" s="5" t="str">
        <f t="shared" si="473"/>
        <v>Jordan 1</v>
      </c>
      <c r="C4326" s="3">
        <f t="shared" si="472"/>
        <v>45946</v>
      </c>
      <c r="D4326" s="4">
        <f t="shared" ca="1" si="474"/>
        <v>32</v>
      </c>
      <c r="E4326" s="2">
        <f t="shared" ca="1" si="475"/>
        <v>4472</v>
      </c>
      <c r="F4326" s="2">
        <f t="shared" ca="1" si="476"/>
        <v>10378</v>
      </c>
      <c r="G4326" s="2">
        <f t="shared" ca="1" si="477"/>
        <v>230</v>
      </c>
    </row>
    <row r="4327" spans="1:7" x14ac:dyDescent="0.3">
      <c r="A4327" s="5" t="str">
        <f t="shared" si="471"/>
        <v>Adidas</v>
      </c>
      <c r="B4327" s="5" t="str">
        <f t="shared" si="473"/>
        <v>Ultraboost 23</v>
      </c>
      <c r="C4327" s="3">
        <f t="shared" si="472"/>
        <v>45946</v>
      </c>
      <c r="D4327" s="4">
        <f t="shared" ca="1" si="474"/>
        <v>34</v>
      </c>
      <c r="E4327" s="2">
        <f t="shared" ca="1" si="475"/>
        <v>6187</v>
      </c>
      <c r="F4327" s="2">
        <f t="shared" ca="1" si="476"/>
        <v>10827</v>
      </c>
      <c r="G4327" s="2">
        <f t="shared" ca="1" si="477"/>
        <v>608</v>
      </c>
    </row>
    <row r="4328" spans="1:7" x14ac:dyDescent="0.3">
      <c r="A4328" s="5" t="str">
        <f t="shared" si="471"/>
        <v>Puma</v>
      </c>
      <c r="B4328" s="5" t="str">
        <f t="shared" si="473"/>
        <v>RS-X</v>
      </c>
      <c r="C4328" s="3">
        <f t="shared" si="472"/>
        <v>45946</v>
      </c>
      <c r="D4328" s="4">
        <f t="shared" ca="1" si="474"/>
        <v>139</v>
      </c>
      <c r="E4328" s="2">
        <f t="shared" ca="1" si="475"/>
        <v>6974</v>
      </c>
      <c r="F4328" s="2">
        <f t="shared" ca="1" si="476"/>
        <v>17369</v>
      </c>
      <c r="G4328" s="2">
        <f t="shared" ca="1" si="477"/>
        <v>680</v>
      </c>
    </row>
    <row r="4329" spans="1:7" x14ac:dyDescent="0.3">
      <c r="A4329" s="5" t="str">
        <f t="shared" si="471"/>
        <v>New Balance</v>
      </c>
      <c r="B4329" s="5" t="str">
        <f t="shared" si="473"/>
        <v>2002R</v>
      </c>
      <c r="C4329" s="3">
        <f t="shared" si="472"/>
        <v>45946</v>
      </c>
      <c r="D4329" s="4">
        <f t="shared" ca="1" si="474"/>
        <v>108</v>
      </c>
      <c r="E4329" s="2">
        <f t="shared" ca="1" si="475"/>
        <v>1695</v>
      </c>
      <c r="F4329" s="2">
        <f t="shared" ca="1" si="476"/>
        <v>20962</v>
      </c>
      <c r="G4329" s="2">
        <f t="shared" ca="1" si="477"/>
        <v>1646</v>
      </c>
    </row>
    <row r="4330" spans="1:7" x14ac:dyDescent="0.3">
      <c r="A4330" s="5" t="str">
        <f t="shared" si="471"/>
        <v>Reebok</v>
      </c>
      <c r="B4330" s="5" t="str">
        <f t="shared" si="473"/>
        <v>Instapump Fury</v>
      </c>
      <c r="C4330" s="3">
        <f t="shared" si="472"/>
        <v>45946</v>
      </c>
      <c r="D4330" s="4">
        <f t="shared" ca="1" si="474"/>
        <v>223</v>
      </c>
      <c r="E4330" s="2">
        <f t="shared" ca="1" si="475"/>
        <v>2295</v>
      </c>
      <c r="F4330" s="2">
        <f t="shared" ca="1" si="476"/>
        <v>17767</v>
      </c>
      <c r="G4330" s="2">
        <f t="shared" ca="1" si="477"/>
        <v>383</v>
      </c>
    </row>
    <row r="4331" spans="1:7" x14ac:dyDescent="0.3">
      <c r="A4331" s="5" t="str">
        <f t="shared" ref="A4331:A4394" si="478">CHOOSE(MOD(ROW(A4330),5)+1,"Nike","Adidas","Puma","New Balance","Reebok")</f>
        <v>Nike</v>
      </c>
      <c r="B4331" s="5" t="str">
        <f t="shared" si="473"/>
        <v>Cortez</v>
      </c>
      <c r="C4331" s="3">
        <f t="shared" ref="C4331:C4394" si="479">DATE(2025,1,1)+INT((ROW(A4331)-2)/15)</f>
        <v>45946</v>
      </c>
      <c r="D4331" s="4">
        <f t="shared" ca="1" si="474"/>
        <v>112</v>
      </c>
      <c r="E4331" s="2">
        <f t="shared" ca="1" si="475"/>
        <v>4804</v>
      </c>
      <c r="F4331" s="2">
        <f t="shared" ca="1" si="476"/>
        <v>19566</v>
      </c>
      <c r="G4331" s="2">
        <f t="shared" ca="1" si="477"/>
        <v>1392</v>
      </c>
    </row>
    <row r="4332" spans="1:7" x14ac:dyDescent="0.3">
      <c r="A4332" s="5" t="str">
        <f t="shared" si="478"/>
        <v>Adidas</v>
      </c>
      <c r="B4332" s="5" t="str">
        <f t="shared" si="473"/>
        <v>NMD S1</v>
      </c>
      <c r="C4332" s="3">
        <f t="shared" si="479"/>
        <v>45946</v>
      </c>
      <c r="D4332" s="4">
        <f t="shared" ca="1" si="474"/>
        <v>37</v>
      </c>
      <c r="E4332" s="2">
        <f t="shared" ca="1" si="475"/>
        <v>5256</v>
      </c>
      <c r="F4332" s="2">
        <f t="shared" ca="1" si="476"/>
        <v>28092</v>
      </c>
      <c r="G4332" s="2">
        <f t="shared" ca="1" si="477"/>
        <v>1626</v>
      </c>
    </row>
    <row r="4333" spans="1:7" x14ac:dyDescent="0.3">
      <c r="A4333" s="5" t="str">
        <f t="shared" si="478"/>
        <v>Puma</v>
      </c>
      <c r="B4333" s="5" t="str">
        <f t="shared" si="473"/>
        <v>Suede Classic</v>
      </c>
      <c r="C4333" s="3">
        <f t="shared" si="479"/>
        <v>45946</v>
      </c>
      <c r="D4333" s="4">
        <f t="shared" ca="1" si="474"/>
        <v>196</v>
      </c>
      <c r="E4333" s="2">
        <f t="shared" ca="1" si="475"/>
        <v>8172</v>
      </c>
      <c r="F4333" s="2">
        <f t="shared" ca="1" si="476"/>
        <v>18192</v>
      </c>
      <c r="G4333" s="2">
        <f t="shared" ca="1" si="477"/>
        <v>1141</v>
      </c>
    </row>
    <row r="4334" spans="1:7" x14ac:dyDescent="0.3">
      <c r="A4334" s="5" t="str">
        <f t="shared" si="478"/>
        <v>New Balance</v>
      </c>
      <c r="B4334" s="5" t="str">
        <f t="shared" si="473"/>
        <v>990v6</v>
      </c>
      <c r="C4334" s="3">
        <f t="shared" si="479"/>
        <v>45946</v>
      </c>
      <c r="D4334" s="4">
        <f t="shared" ca="1" si="474"/>
        <v>99</v>
      </c>
      <c r="E4334" s="2">
        <f t="shared" ca="1" si="475"/>
        <v>9004</v>
      </c>
      <c r="F4334" s="2">
        <f t="shared" ca="1" si="476"/>
        <v>13285</v>
      </c>
      <c r="G4334" s="2">
        <f t="shared" ca="1" si="477"/>
        <v>597</v>
      </c>
    </row>
    <row r="4335" spans="1:7" x14ac:dyDescent="0.3">
      <c r="A4335" s="5" t="str">
        <f t="shared" si="478"/>
        <v>Reebok</v>
      </c>
      <c r="B4335" s="5" t="str">
        <f t="shared" si="473"/>
        <v>Nano X3</v>
      </c>
      <c r="C4335" s="3">
        <f t="shared" si="479"/>
        <v>45946</v>
      </c>
      <c r="D4335" s="4">
        <f t="shared" ca="1" si="474"/>
        <v>245</v>
      </c>
      <c r="E4335" s="2">
        <f t="shared" ca="1" si="475"/>
        <v>11149</v>
      </c>
      <c r="F4335" s="2">
        <f t="shared" ca="1" si="476"/>
        <v>11195</v>
      </c>
      <c r="G4335" s="2">
        <f t="shared" ca="1" si="477"/>
        <v>411</v>
      </c>
    </row>
    <row r="4336" spans="1:7" x14ac:dyDescent="0.3">
      <c r="A4336" s="5" t="str">
        <f t="shared" si="478"/>
        <v>Nike</v>
      </c>
      <c r="B4336" s="5" t="str">
        <f t="shared" si="473"/>
        <v>Vaporfly 3</v>
      </c>
      <c r="C4336" s="3">
        <f t="shared" si="479"/>
        <v>45946</v>
      </c>
      <c r="D4336" s="4">
        <f t="shared" ca="1" si="474"/>
        <v>115</v>
      </c>
      <c r="E4336" s="2">
        <f t="shared" ca="1" si="475"/>
        <v>6027</v>
      </c>
      <c r="F4336" s="2">
        <f t="shared" ca="1" si="476"/>
        <v>17173</v>
      </c>
      <c r="G4336" s="2">
        <f t="shared" ca="1" si="477"/>
        <v>501</v>
      </c>
    </row>
    <row r="4337" spans="1:7" x14ac:dyDescent="0.3">
      <c r="A4337" s="5" t="str">
        <f t="shared" si="478"/>
        <v>Adidas</v>
      </c>
      <c r="B4337" s="5" t="str">
        <f t="shared" si="473"/>
        <v>Samba</v>
      </c>
      <c r="C4337" s="3">
        <f t="shared" si="479"/>
        <v>45947</v>
      </c>
      <c r="D4337" s="4">
        <f t="shared" ca="1" si="474"/>
        <v>214</v>
      </c>
      <c r="E4337" s="2">
        <f t="shared" ca="1" si="475"/>
        <v>2931</v>
      </c>
      <c r="F4337" s="2">
        <f t="shared" ca="1" si="476"/>
        <v>27920</v>
      </c>
      <c r="G4337" s="2">
        <f t="shared" ca="1" si="477"/>
        <v>1890</v>
      </c>
    </row>
    <row r="4338" spans="1:7" x14ac:dyDescent="0.3">
      <c r="A4338" s="5" t="str">
        <f t="shared" si="478"/>
        <v>Puma</v>
      </c>
      <c r="B4338" s="5" t="str">
        <f t="shared" si="473"/>
        <v>Mayze</v>
      </c>
      <c r="C4338" s="3">
        <f t="shared" si="479"/>
        <v>45947</v>
      </c>
      <c r="D4338" s="4">
        <f t="shared" ca="1" si="474"/>
        <v>191</v>
      </c>
      <c r="E4338" s="2">
        <f t="shared" ca="1" si="475"/>
        <v>8964</v>
      </c>
      <c r="F4338" s="2">
        <f t="shared" ca="1" si="476"/>
        <v>5800</v>
      </c>
      <c r="G4338" s="2">
        <f t="shared" ca="1" si="477"/>
        <v>143</v>
      </c>
    </row>
    <row r="4339" spans="1:7" x14ac:dyDescent="0.3">
      <c r="A4339" s="5" t="str">
        <f t="shared" si="478"/>
        <v>New Balance</v>
      </c>
      <c r="B4339" s="5" t="str">
        <f t="shared" si="473"/>
        <v>574 Core</v>
      </c>
      <c r="C4339" s="3">
        <f t="shared" si="479"/>
        <v>45947</v>
      </c>
      <c r="D4339" s="4">
        <f t="shared" ca="1" si="474"/>
        <v>230</v>
      </c>
      <c r="E4339" s="2">
        <f t="shared" ca="1" si="475"/>
        <v>11412</v>
      </c>
      <c r="F4339" s="2">
        <f t="shared" ca="1" si="476"/>
        <v>13434</v>
      </c>
      <c r="G4339" s="2">
        <f t="shared" ca="1" si="477"/>
        <v>889</v>
      </c>
    </row>
    <row r="4340" spans="1:7" x14ac:dyDescent="0.3">
      <c r="A4340" s="5" t="str">
        <f t="shared" si="478"/>
        <v>Reebok</v>
      </c>
      <c r="B4340" s="5" t="str">
        <f t="shared" si="473"/>
        <v>Club C 85</v>
      </c>
      <c r="C4340" s="3">
        <f t="shared" si="479"/>
        <v>45947</v>
      </c>
      <c r="D4340" s="4">
        <f t="shared" ca="1" si="474"/>
        <v>172</v>
      </c>
      <c r="E4340" s="2">
        <f t="shared" ca="1" si="475"/>
        <v>10783</v>
      </c>
      <c r="F4340" s="2">
        <f t="shared" ca="1" si="476"/>
        <v>21895</v>
      </c>
      <c r="G4340" s="2">
        <f t="shared" ca="1" si="477"/>
        <v>991</v>
      </c>
    </row>
    <row r="4341" spans="1:7" x14ac:dyDescent="0.3">
      <c r="A4341" s="5" t="str">
        <f t="shared" si="478"/>
        <v>Nike</v>
      </c>
      <c r="B4341" s="5" t="str">
        <f t="shared" si="473"/>
        <v>Pegasus 40</v>
      </c>
      <c r="C4341" s="3">
        <f t="shared" si="479"/>
        <v>45947</v>
      </c>
      <c r="D4341" s="4">
        <f t="shared" ca="1" si="474"/>
        <v>192</v>
      </c>
      <c r="E4341" s="2">
        <f t="shared" ca="1" si="475"/>
        <v>5117</v>
      </c>
      <c r="F4341" s="2">
        <f t="shared" ca="1" si="476"/>
        <v>25957</v>
      </c>
      <c r="G4341" s="2">
        <f t="shared" ca="1" si="477"/>
        <v>1937</v>
      </c>
    </row>
    <row r="4342" spans="1:7" x14ac:dyDescent="0.3">
      <c r="A4342" s="5" t="str">
        <f t="shared" si="478"/>
        <v>Adidas</v>
      </c>
      <c r="B4342" s="5" t="str">
        <f t="shared" si="473"/>
        <v>Gazelle</v>
      </c>
      <c r="C4342" s="3">
        <f t="shared" si="479"/>
        <v>45947</v>
      </c>
      <c r="D4342" s="4">
        <f t="shared" ca="1" si="474"/>
        <v>153</v>
      </c>
      <c r="E4342" s="2">
        <f t="shared" ca="1" si="475"/>
        <v>7216</v>
      </c>
      <c r="F4342" s="2">
        <f t="shared" ca="1" si="476"/>
        <v>18350</v>
      </c>
      <c r="G4342" s="2">
        <f t="shared" ca="1" si="477"/>
        <v>1434</v>
      </c>
    </row>
    <row r="4343" spans="1:7" x14ac:dyDescent="0.3">
      <c r="A4343" s="5" t="str">
        <f t="shared" si="478"/>
        <v>Puma</v>
      </c>
      <c r="B4343" s="5" t="str">
        <f t="shared" si="473"/>
        <v>Slipstream</v>
      </c>
      <c r="C4343" s="3">
        <f t="shared" si="479"/>
        <v>45947</v>
      </c>
      <c r="D4343" s="4">
        <f t="shared" ca="1" si="474"/>
        <v>27</v>
      </c>
      <c r="E4343" s="2">
        <f t="shared" ca="1" si="475"/>
        <v>8712</v>
      </c>
      <c r="F4343" s="2">
        <f t="shared" ca="1" si="476"/>
        <v>25737</v>
      </c>
      <c r="G4343" s="2">
        <f t="shared" ca="1" si="477"/>
        <v>956</v>
      </c>
    </row>
    <row r="4344" spans="1:7" x14ac:dyDescent="0.3">
      <c r="A4344" s="5" t="str">
        <f t="shared" si="478"/>
        <v>New Balance</v>
      </c>
      <c r="B4344" s="5" t="str">
        <f t="shared" si="473"/>
        <v>550</v>
      </c>
      <c r="C4344" s="3">
        <f t="shared" si="479"/>
        <v>45947</v>
      </c>
      <c r="D4344" s="4">
        <f t="shared" ca="1" si="474"/>
        <v>222</v>
      </c>
      <c r="E4344" s="2">
        <f t="shared" ca="1" si="475"/>
        <v>3280</v>
      </c>
      <c r="F4344" s="2">
        <f t="shared" ca="1" si="476"/>
        <v>33701</v>
      </c>
      <c r="G4344" s="2">
        <f t="shared" ca="1" si="477"/>
        <v>2161</v>
      </c>
    </row>
    <row r="4345" spans="1:7" x14ac:dyDescent="0.3">
      <c r="A4345" s="5" t="str">
        <f t="shared" si="478"/>
        <v>Reebok</v>
      </c>
      <c r="B4345" s="5" t="str">
        <f t="shared" si="473"/>
        <v>Classic Leather</v>
      </c>
      <c r="C4345" s="3">
        <f t="shared" si="479"/>
        <v>45947</v>
      </c>
      <c r="D4345" s="4">
        <f t="shared" ca="1" si="474"/>
        <v>108</v>
      </c>
      <c r="E4345" s="2">
        <f t="shared" ca="1" si="475"/>
        <v>4197</v>
      </c>
      <c r="F4345" s="2">
        <f t="shared" ca="1" si="476"/>
        <v>7570</v>
      </c>
      <c r="G4345" s="2">
        <f t="shared" ca="1" si="477"/>
        <v>185</v>
      </c>
    </row>
    <row r="4346" spans="1:7" x14ac:dyDescent="0.3">
      <c r="A4346" s="5" t="str">
        <f t="shared" si="478"/>
        <v>Nike</v>
      </c>
      <c r="B4346" s="5" t="str">
        <f t="shared" si="473"/>
        <v>Air Force 1</v>
      </c>
      <c r="C4346" s="3">
        <f t="shared" si="479"/>
        <v>45947</v>
      </c>
      <c r="D4346" s="4">
        <f t="shared" ca="1" si="474"/>
        <v>104</v>
      </c>
      <c r="E4346" s="2">
        <f t="shared" ca="1" si="475"/>
        <v>7513</v>
      </c>
      <c r="F4346" s="2">
        <f t="shared" ca="1" si="476"/>
        <v>29683</v>
      </c>
      <c r="G4346" s="2">
        <f t="shared" ca="1" si="477"/>
        <v>1143</v>
      </c>
    </row>
    <row r="4347" spans="1:7" x14ac:dyDescent="0.3">
      <c r="A4347" s="5" t="str">
        <f t="shared" si="478"/>
        <v>Adidas</v>
      </c>
      <c r="B4347" s="5" t="str">
        <f t="shared" si="473"/>
        <v>Superstar</v>
      </c>
      <c r="C4347" s="3">
        <f t="shared" si="479"/>
        <v>45947</v>
      </c>
      <c r="D4347" s="4">
        <f t="shared" ca="1" si="474"/>
        <v>243</v>
      </c>
      <c r="E4347" s="2">
        <f t="shared" ca="1" si="475"/>
        <v>6826</v>
      </c>
      <c r="F4347" s="2">
        <f t="shared" ca="1" si="476"/>
        <v>23660</v>
      </c>
      <c r="G4347" s="2">
        <f t="shared" ca="1" si="477"/>
        <v>1629</v>
      </c>
    </row>
    <row r="4348" spans="1:7" x14ac:dyDescent="0.3">
      <c r="A4348" s="5" t="str">
        <f t="shared" si="478"/>
        <v>Puma</v>
      </c>
      <c r="B4348" s="5" t="str">
        <f t="shared" si="473"/>
        <v>Rider Vintage</v>
      </c>
      <c r="C4348" s="3">
        <f t="shared" si="479"/>
        <v>45947</v>
      </c>
      <c r="D4348" s="4">
        <f t="shared" ca="1" si="474"/>
        <v>134</v>
      </c>
      <c r="E4348" s="2">
        <f t="shared" ca="1" si="475"/>
        <v>3517</v>
      </c>
      <c r="F4348" s="2">
        <f t="shared" ca="1" si="476"/>
        <v>19045</v>
      </c>
      <c r="G4348" s="2">
        <f t="shared" ca="1" si="477"/>
        <v>539</v>
      </c>
    </row>
    <row r="4349" spans="1:7" x14ac:dyDescent="0.3">
      <c r="A4349" s="5" t="str">
        <f t="shared" si="478"/>
        <v>New Balance</v>
      </c>
      <c r="B4349" s="5" t="str">
        <f t="shared" si="473"/>
        <v>327</v>
      </c>
      <c r="C4349" s="3">
        <f t="shared" si="479"/>
        <v>45947</v>
      </c>
      <c r="D4349" s="4">
        <f t="shared" ca="1" si="474"/>
        <v>63</v>
      </c>
      <c r="E4349" s="2">
        <f t="shared" ca="1" si="475"/>
        <v>4712</v>
      </c>
      <c r="F4349" s="2">
        <f t="shared" ca="1" si="476"/>
        <v>5953</v>
      </c>
      <c r="G4349" s="2">
        <f t="shared" ca="1" si="477"/>
        <v>225</v>
      </c>
    </row>
    <row r="4350" spans="1:7" x14ac:dyDescent="0.3">
      <c r="A4350" s="5" t="str">
        <f t="shared" si="478"/>
        <v>Reebok</v>
      </c>
      <c r="B4350" s="5" t="str">
        <f t="shared" si="473"/>
        <v>Question Mid</v>
      </c>
      <c r="C4350" s="3">
        <f t="shared" si="479"/>
        <v>45947</v>
      </c>
      <c r="D4350" s="4">
        <f t="shared" ca="1" si="474"/>
        <v>132</v>
      </c>
      <c r="E4350" s="2">
        <f t="shared" ca="1" si="475"/>
        <v>11694</v>
      </c>
      <c r="F4350" s="2">
        <f t="shared" ca="1" si="476"/>
        <v>17921</v>
      </c>
      <c r="G4350" s="2">
        <f t="shared" ca="1" si="477"/>
        <v>413</v>
      </c>
    </row>
    <row r="4351" spans="1:7" x14ac:dyDescent="0.3">
      <c r="A4351" s="5" t="str">
        <f t="shared" si="478"/>
        <v>Nike</v>
      </c>
      <c r="B4351" s="5" t="str">
        <f t="shared" si="473"/>
        <v>Air Max 270</v>
      </c>
      <c r="C4351" s="3">
        <f t="shared" si="479"/>
        <v>45947</v>
      </c>
      <c r="D4351" s="4">
        <f t="shared" ca="1" si="474"/>
        <v>173</v>
      </c>
      <c r="E4351" s="2">
        <f t="shared" ca="1" si="475"/>
        <v>5549</v>
      </c>
      <c r="F4351" s="2">
        <f t="shared" ca="1" si="476"/>
        <v>14775</v>
      </c>
      <c r="G4351" s="2">
        <f t="shared" ca="1" si="477"/>
        <v>630</v>
      </c>
    </row>
    <row r="4352" spans="1:7" x14ac:dyDescent="0.3">
      <c r="A4352" s="5" t="str">
        <f t="shared" si="478"/>
        <v>Adidas</v>
      </c>
      <c r="B4352" s="5" t="str">
        <f t="shared" si="473"/>
        <v>Stan Smith</v>
      </c>
      <c r="C4352" s="3">
        <f t="shared" si="479"/>
        <v>45948</v>
      </c>
      <c r="D4352" s="4">
        <f t="shared" ca="1" si="474"/>
        <v>54</v>
      </c>
      <c r="E4352" s="2">
        <f t="shared" ca="1" si="475"/>
        <v>10681</v>
      </c>
      <c r="F4352" s="2">
        <f t="shared" ca="1" si="476"/>
        <v>9186</v>
      </c>
      <c r="G4352" s="2">
        <f t="shared" ca="1" si="477"/>
        <v>725</v>
      </c>
    </row>
    <row r="4353" spans="1:7" x14ac:dyDescent="0.3">
      <c r="A4353" s="5" t="str">
        <f t="shared" si="478"/>
        <v>Puma</v>
      </c>
      <c r="B4353" s="5" t="str">
        <f t="shared" si="473"/>
        <v>Cali Dream</v>
      </c>
      <c r="C4353" s="3">
        <f t="shared" si="479"/>
        <v>45948</v>
      </c>
      <c r="D4353" s="4">
        <f t="shared" ca="1" si="474"/>
        <v>39</v>
      </c>
      <c r="E4353" s="2">
        <f t="shared" ca="1" si="475"/>
        <v>3199</v>
      </c>
      <c r="F4353" s="2">
        <f t="shared" ca="1" si="476"/>
        <v>14207</v>
      </c>
      <c r="G4353" s="2">
        <f t="shared" ca="1" si="477"/>
        <v>1061</v>
      </c>
    </row>
    <row r="4354" spans="1:7" x14ac:dyDescent="0.3">
      <c r="A4354" s="5" t="str">
        <f t="shared" si="478"/>
        <v>New Balance</v>
      </c>
      <c r="B4354" s="5" t="str">
        <f t="shared" si="473"/>
        <v>9060</v>
      </c>
      <c r="C4354" s="3">
        <f t="shared" si="479"/>
        <v>45948</v>
      </c>
      <c r="D4354" s="4">
        <f t="shared" ca="1" si="474"/>
        <v>120</v>
      </c>
      <c r="E4354" s="2">
        <f t="shared" ca="1" si="475"/>
        <v>3047</v>
      </c>
      <c r="F4354" s="2">
        <f t="shared" ca="1" si="476"/>
        <v>23420</v>
      </c>
      <c r="G4354" s="2">
        <f t="shared" ca="1" si="477"/>
        <v>1215</v>
      </c>
    </row>
    <row r="4355" spans="1:7" x14ac:dyDescent="0.3">
      <c r="A4355" s="5" t="str">
        <f t="shared" si="478"/>
        <v>Reebok</v>
      </c>
      <c r="B4355" s="5" t="str">
        <f t="shared" ref="B4355:B4418" si="480">IF(A4355="Nike",CHOOSE(MOD(ROW(A4354),6)+1,"Air Max 270","Air Force 1","Pegasus 40","Vaporfly 3","Cortez","Jordan 1"),
 IF(A4355="Adidas",CHOOSE(MOD(ROW(A4354),6)+1,"Ultraboost 23","Stan Smith","Superstar","Gazelle","Samba","NMD S1"),
 IF(A4355="Puma",CHOOSE(MOD(ROW(A4354),6)+1,"Suede Classic","RS-X","Cali Dream","Rider Vintage","Slipstream","Mayze"),
 IF(A4355="New Balance",CHOOSE(MOD(ROW(A4354),6)+1,"574 Core","990v6","2002R","9060","327","550"),
 IF(A4355="Reebok",CHOOSE(MOD(ROW(A4354),6)+1,"Classic Leather","Club C 85","Nano X3","Instapump Fury","Zig Kinetica","Question Mid"),"")))))</f>
        <v>Zig Kinetica</v>
      </c>
      <c r="C4355" s="3">
        <f t="shared" si="479"/>
        <v>45948</v>
      </c>
      <c r="D4355" s="4">
        <f t="shared" ref="D4355:D4418" ca="1" si="481">RANDBETWEEN(20,250)</f>
        <v>66</v>
      </c>
      <c r="E4355" s="2">
        <f t="shared" ref="E4355:E4418" ca="1" si="482">ROUND(RANDBETWEEN(1500,12000)+(RANDBETWEEN(-200,200)),2)</f>
        <v>3423</v>
      </c>
      <c r="F4355" s="2">
        <f t="shared" ref="F4355:F4418" ca="1" si="483">RANDBETWEEN(5000,35000)</f>
        <v>12192</v>
      </c>
      <c r="G4355" s="2">
        <f t="shared" ref="G4355:G4418" ca="1" si="484">RANDBETWEEN(ROUND(F4355*0.02,0),ROUND(F4355*0.08,0))</f>
        <v>351</v>
      </c>
    </row>
    <row r="4356" spans="1:7" x14ac:dyDescent="0.3">
      <c r="A4356" s="5" t="str">
        <f t="shared" si="478"/>
        <v>Nike</v>
      </c>
      <c r="B4356" s="5" t="str">
        <f t="shared" si="480"/>
        <v>Jordan 1</v>
      </c>
      <c r="C4356" s="3">
        <f t="shared" si="479"/>
        <v>45948</v>
      </c>
      <c r="D4356" s="4">
        <f t="shared" ca="1" si="481"/>
        <v>45</v>
      </c>
      <c r="E4356" s="2">
        <f t="shared" ca="1" si="482"/>
        <v>10537</v>
      </c>
      <c r="F4356" s="2">
        <f t="shared" ca="1" si="483"/>
        <v>11193</v>
      </c>
      <c r="G4356" s="2">
        <f t="shared" ca="1" si="484"/>
        <v>234</v>
      </c>
    </row>
    <row r="4357" spans="1:7" x14ac:dyDescent="0.3">
      <c r="A4357" s="5" t="str">
        <f t="shared" si="478"/>
        <v>Adidas</v>
      </c>
      <c r="B4357" s="5" t="str">
        <f t="shared" si="480"/>
        <v>Ultraboost 23</v>
      </c>
      <c r="C4357" s="3">
        <f t="shared" si="479"/>
        <v>45948</v>
      </c>
      <c r="D4357" s="4">
        <f t="shared" ca="1" si="481"/>
        <v>120</v>
      </c>
      <c r="E4357" s="2">
        <f t="shared" ca="1" si="482"/>
        <v>11088</v>
      </c>
      <c r="F4357" s="2">
        <f t="shared" ca="1" si="483"/>
        <v>17547</v>
      </c>
      <c r="G4357" s="2">
        <f t="shared" ca="1" si="484"/>
        <v>412</v>
      </c>
    </row>
    <row r="4358" spans="1:7" x14ac:dyDescent="0.3">
      <c r="A4358" s="5" t="str">
        <f t="shared" si="478"/>
        <v>Puma</v>
      </c>
      <c r="B4358" s="5" t="str">
        <f t="shared" si="480"/>
        <v>RS-X</v>
      </c>
      <c r="C4358" s="3">
        <f t="shared" si="479"/>
        <v>45948</v>
      </c>
      <c r="D4358" s="4">
        <f t="shared" ca="1" si="481"/>
        <v>213</v>
      </c>
      <c r="E4358" s="2">
        <f t="shared" ca="1" si="482"/>
        <v>3992</v>
      </c>
      <c r="F4358" s="2">
        <f t="shared" ca="1" si="483"/>
        <v>34289</v>
      </c>
      <c r="G4358" s="2">
        <f t="shared" ca="1" si="484"/>
        <v>2487</v>
      </c>
    </row>
    <row r="4359" spans="1:7" x14ac:dyDescent="0.3">
      <c r="A4359" s="5" t="str">
        <f t="shared" si="478"/>
        <v>New Balance</v>
      </c>
      <c r="B4359" s="5" t="str">
        <f t="shared" si="480"/>
        <v>2002R</v>
      </c>
      <c r="C4359" s="3">
        <f t="shared" si="479"/>
        <v>45948</v>
      </c>
      <c r="D4359" s="4">
        <f t="shared" ca="1" si="481"/>
        <v>84</v>
      </c>
      <c r="E4359" s="2">
        <f t="shared" ca="1" si="482"/>
        <v>5512</v>
      </c>
      <c r="F4359" s="2">
        <f t="shared" ca="1" si="483"/>
        <v>8051</v>
      </c>
      <c r="G4359" s="2">
        <f t="shared" ca="1" si="484"/>
        <v>501</v>
      </c>
    </row>
    <row r="4360" spans="1:7" x14ac:dyDescent="0.3">
      <c r="A4360" s="5" t="str">
        <f t="shared" si="478"/>
        <v>Reebok</v>
      </c>
      <c r="B4360" s="5" t="str">
        <f t="shared" si="480"/>
        <v>Instapump Fury</v>
      </c>
      <c r="C4360" s="3">
        <f t="shared" si="479"/>
        <v>45948</v>
      </c>
      <c r="D4360" s="4">
        <f t="shared" ca="1" si="481"/>
        <v>236</v>
      </c>
      <c r="E4360" s="2">
        <f t="shared" ca="1" si="482"/>
        <v>10597</v>
      </c>
      <c r="F4360" s="2">
        <f t="shared" ca="1" si="483"/>
        <v>21287</v>
      </c>
      <c r="G4360" s="2">
        <f t="shared" ca="1" si="484"/>
        <v>1592</v>
      </c>
    </row>
    <row r="4361" spans="1:7" x14ac:dyDescent="0.3">
      <c r="A4361" s="5" t="str">
        <f t="shared" si="478"/>
        <v>Nike</v>
      </c>
      <c r="B4361" s="5" t="str">
        <f t="shared" si="480"/>
        <v>Cortez</v>
      </c>
      <c r="C4361" s="3">
        <f t="shared" si="479"/>
        <v>45948</v>
      </c>
      <c r="D4361" s="4">
        <f t="shared" ca="1" si="481"/>
        <v>235</v>
      </c>
      <c r="E4361" s="2">
        <f t="shared" ca="1" si="482"/>
        <v>11800</v>
      </c>
      <c r="F4361" s="2">
        <f t="shared" ca="1" si="483"/>
        <v>28779</v>
      </c>
      <c r="G4361" s="2">
        <f t="shared" ca="1" si="484"/>
        <v>1840</v>
      </c>
    </row>
    <row r="4362" spans="1:7" x14ac:dyDescent="0.3">
      <c r="A4362" s="5" t="str">
        <f t="shared" si="478"/>
        <v>Adidas</v>
      </c>
      <c r="B4362" s="5" t="str">
        <f t="shared" si="480"/>
        <v>NMD S1</v>
      </c>
      <c r="C4362" s="3">
        <f t="shared" si="479"/>
        <v>45948</v>
      </c>
      <c r="D4362" s="4">
        <f t="shared" ca="1" si="481"/>
        <v>220</v>
      </c>
      <c r="E4362" s="2">
        <f t="shared" ca="1" si="482"/>
        <v>8904</v>
      </c>
      <c r="F4362" s="2">
        <f t="shared" ca="1" si="483"/>
        <v>11074</v>
      </c>
      <c r="G4362" s="2">
        <f t="shared" ca="1" si="484"/>
        <v>325</v>
      </c>
    </row>
    <row r="4363" spans="1:7" x14ac:dyDescent="0.3">
      <c r="A4363" s="5" t="str">
        <f t="shared" si="478"/>
        <v>Puma</v>
      </c>
      <c r="B4363" s="5" t="str">
        <f t="shared" si="480"/>
        <v>Suede Classic</v>
      </c>
      <c r="C4363" s="3">
        <f t="shared" si="479"/>
        <v>45948</v>
      </c>
      <c r="D4363" s="4">
        <f t="shared" ca="1" si="481"/>
        <v>67</v>
      </c>
      <c r="E4363" s="2">
        <f t="shared" ca="1" si="482"/>
        <v>3313</v>
      </c>
      <c r="F4363" s="2">
        <f t="shared" ca="1" si="483"/>
        <v>10462</v>
      </c>
      <c r="G4363" s="2">
        <f t="shared" ca="1" si="484"/>
        <v>408</v>
      </c>
    </row>
    <row r="4364" spans="1:7" x14ac:dyDescent="0.3">
      <c r="A4364" s="5" t="str">
        <f t="shared" si="478"/>
        <v>New Balance</v>
      </c>
      <c r="B4364" s="5" t="str">
        <f t="shared" si="480"/>
        <v>990v6</v>
      </c>
      <c r="C4364" s="3">
        <f t="shared" si="479"/>
        <v>45948</v>
      </c>
      <c r="D4364" s="4">
        <f t="shared" ca="1" si="481"/>
        <v>151</v>
      </c>
      <c r="E4364" s="2">
        <f t="shared" ca="1" si="482"/>
        <v>6333</v>
      </c>
      <c r="F4364" s="2">
        <f t="shared" ca="1" si="483"/>
        <v>21500</v>
      </c>
      <c r="G4364" s="2">
        <f t="shared" ca="1" si="484"/>
        <v>1532</v>
      </c>
    </row>
    <row r="4365" spans="1:7" x14ac:dyDescent="0.3">
      <c r="A4365" s="5" t="str">
        <f t="shared" si="478"/>
        <v>Reebok</v>
      </c>
      <c r="B4365" s="5" t="str">
        <f t="shared" si="480"/>
        <v>Nano X3</v>
      </c>
      <c r="C4365" s="3">
        <f t="shared" si="479"/>
        <v>45948</v>
      </c>
      <c r="D4365" s="4">
        <f t="shared" ca="1" si="481"/>
        <v>71</v>
      </c>
      <c r="E4365" s="2">
        <f t="shared" ca="1" si="482"/>
        <v>8077</v>
      </c>
      <c r="F4365" s="2">
        <f t="shared" ca="1" si="483"/>
        <v>30615</v>
      </c>
      <c r="G4365" s="2">
        <f t="shared" ca="1" si="484"/>
        <v>1693</v>
      </c>
    </row>
    <row r="4366" spans="1:7" x14ac:dyDescent="0.3">
      <c r="A4366" s="5" t="str">
        <f t="shared" si="478"/>
        <v>Nike</v>
      </c>
      <c r="B4366" s="5" t="str">
        <f t="shared" si="480"/>
        <v>Vaporfly 3</v>
      </c>
      <c r="C4366" s="3">
        <f t="shared" si="479"/>
        <v>45948</v>
      </c>
      <c r="D4366" s="4">
        <f t="shared" ca="1" si="481"/>
        <v>195</v>
      </c>
      <c r="E4366" s="2">
        <f t="shared" ca="1" si="482"/>
        <v>2381</v>
      </c>
      <c r="F4366" s="2">
        <f t="shared" ca="1" si="483"/>
        <v>16822</v>
      </c>
      <c r="G4366" s="2">
        <f t="shared" ca="1" si="484"/>
        <v>1254</v>
      </c>
    </row>
    <row r="4367" spans="1:7" x14ac:dyDescent="0.3">
      <c r="A4367" s="5" t="str">
        <f t="shared" si="478"/>
        <v>Adidas</v>
      </c>
      <c r="B4367" s="5" t="str">
        <f t="shared" si="480"/>
        <v>Samba</v>
      </c>
      <c r="C4367" s="3">
        <f t="shared" si="479"/>
        <v>45949</v>
      </c>
      <c r="D4367" s="4">
        <f t="shared" ca="1" si="481"/>
        <v>92</v>
      </c>
      <c r="E4367" s="2">
        <f t="shared" ca="1" si="482"/>
        <v>10285</v>
      </c>
      <c r="F4367" s="2">
        <f t="shared" ca="1" si="483"/>
        <v>17073</v>
      </c>
      <c r="G4367" s="2">
        <f t="shared" ca="1" si="484"/>
        <v>854</v>
      </c>
    </row>
    <row r="4368" spans="1:7" x14ac:dyDescent="0.3">
      <c r="A4368" s="5" t="str">
        <f t="shared" si="478"/>
        <v>Puma</v>
      </c>
      <c r="B4368" s="5" t="str">
        <f t="shared" si="480"/>
        <v>Mayze</v>
      </c>
      <c r="C4368" s="3">
        <f t="shared" si="479"/>
        <v>45949</v>
      </c>
      <c r="D4368" s="4">
        <f t="shared" ca="1" si="481"/>
        <v>32</v>
      </c>
      <c r="E4368" s="2">
        <f t="shared" ca="1" si="482"/>
        <v>8887</v>
      </c>
      <c r="F4368" s="2">
        <f t="shared" ca="1" si="483"/>
        <v>26485</v>
      </c>
      <c r="G4368" s="2">
        <f t="shared" ca="1" si="484"/>
        <v>674</v>
      </c>
    </row>
    <row r="4369" spans="1:7" x14ac:dyDescent="0.3">
      <c r="A4369" s="5" t="str">
        <f t="shared" si="478"/>
        <v>New Balance</v>
      </c>
      <c r="B4369" s="5" t="str">
        <f t="shared" si="480"/>
        <v>574 Core</v>
      </c>
      <c r="C4369" s="3">
        <f t="shared" si="479"/>
        <v>45949</v>
      </c>
      <c r="D4369" s="4">
        <f t="shared" ca="1" si="481"/>
        <v>103</v>
      </c>
      <c r="E4369" s="2">
        <f t="shared" ca="1" si="482"/>
        <v>3204</v>
      </c>
      <c r="F4369" s="2">
        <f t="shared" ca="1" si="483"/>
        <v>10406</v>
      </c>
      <c r="G4369" s="2">
        <f t="shared" ca="1" si="484"/>
        <v>343</v>
      </c>
    </row>
    <row r="4370" spans="1:7" x14ac:dyDescent="0.3">
      <c r="A4370" s="5" t="str">
        <f t="shared" si="478"/>
        <v>Reebok</v>
      </c>
      <c r="B4370" s="5" t="str">
        <f t="shared" si="480"/>
        <v>Club C 85</v>
      </c>
      <c r="C4370" s="3">
        <f t="shared" si="479"/>
        <v>45949</v>
      </c>
      <c r="D4370" s="4">
        <f t="shared" ca="1" si="481"/>
        <v>221</v>
      </c>
      <c r="E4370" s="2">
        <f t="shared" ca="1" si="482"/>
        <v>10620</v>
      </c>
      <c r="F4370" s="2">
        <f t="shared" ca="1" si="483"/>
        <v>31363</v>
      </c>
      <c r="G4370" s="2">
        <f t="shared" ca="1" si="484"/>
        <v>1193</v>
      </c>
    </row>
    <row r="4371" spans="1:7" x14ac:dyDescent="0.3">
      <c r="A4371" s="5" t="str">
        <f t="shared" si="478"/>
        <v>Nike</v>
      </c>
      <c r="B4371" s="5" t="str">
        <f t="shared" si="480"/>
        <v>Pegasus 40</v>
      </c>
      <c r="C4371" s="3">
        <f t="shared" si="479"/>
        <v>45949</v>
      </c>
      <c r="D4371" s="4">
        <f t="shared" ca="1" si="481"/>
        <v>57</v>
      </c>
      <c r="E4371" s="2">
        <f t="shared" ca="1" si="482"/>
        <v>3726</v>
      </c>
      <c r="F4371" s="2">
        <f t="shared" ca="1" si="483"/>
        <v>9258</v>
      </c>
      <c r="G4371" s="2">
        <f t="shared" ca="1" si="484"/>
        <v>303</v>
      </c>
    </row>
    <row r="4372" spans="1:7" x14ac:dyDescent="0.3">
      <c r="A4372" s="5" t="str">
        <f t="shared" si="478"/>
        <v>Adidas</v>
      </c>
      <c r="B4372" s="5" t="str">
        <f t="shared" si="480"/>
        <v>Gazelle</v>
      </c>
      <c r="C4372" s="3">
        <f t="shared" si="479"/>
        <v>45949</v>
      </c>
      <c r="D4372" s="4">
        <f t="shared" ca="1" si="481"/>
        <v>224</v>
      </c>
      <c r="E4372" s="2">
        <f t="shared" ca="1" si="482"/>
        <v>9065</v>
      </c>
      <c r="F4372" s="2">
        <f t="shared" ca="1" si="483"/>
        <v>24322</v>
      </c>
      <c r="G4372" s="2">
        <f t="shared" ca="1" si="484"/>
        <v>546</v>
      </c>
    </row>
    <row r="4373" spans="1:7" x14ac:dyDescent="0.3">
      <c r="A4373" s="5" t="str">
        <f t="shared" si="478"/>
        <v>Puma</v>
      </c>
      <c r="B4373" s="5" t="str">
        <f t="shared" si="480"/>
        <v>Slipstream</v>
      </c>
      <c r="C4373" s="3">
        <f t="shared" si="479"/>
        <v>45949</v>
      </c>
      <c r="D4373" s="4">
        <f t="shared" ca="1" si="481"/>
        <v>76</v>
      </c>
      <c r="E4373" s="2">
        <f t="shared" ca="1" si="482"/>
        <v>11505</v>
      </c>
      <c r="F4373" s="2">
        <f t="shared" ca="1" si="483"/>
        <v>31409</v>
      </c>
      <c r="G4373" s="2">
        <f t="shared" ca="1" si="484"/>
        <v>1155</v>
      </c>
    </row>
    <row r="4374" spans="1:7" x14ac:dyDescent="0.3">
      <c r="A4374" s="5" t="str">
        <f t="shared" si="478"/>
        <v>New Balance</v>
      </c>
      <c r="B4374" s="5" t="str">
        <f t="shared" si="480"/>
        <v>550</v>
      </c>
      <c r="C4374" s="3">
        <f t="shared" si="479"/>
        <v>45949</v>
      </c>
      <c r="D4374" s="4">
        <f t="shared" ca="1" si="481"/>
        <v>142</v>
      </c>
      <c r="E4374" s="2">
        <f t="shared" ca="1" si="482"/>
        <v>7025</v>
      </c>
      <c r="F4374" s="2">
        <f t="shared" ca="1" si="483"/>
        <v>30022</v>
      </c>
      <c r="G4374" s="2">
        <f t="shared" ca="1" si="484"/>
        <v>1331</v>
      </c>
    </row>
    <row r="4375" spans="1:7" x14ac:dyDescent="0.3">
      <c r="A4375" s="5" t="str">
        <f t="shared" si="478"/>
        <v>Reebok</v>
      </c>
      <c r="B4375" s="5" t="str">
        <f t="shared" si="480"/>
        <v>Classic Leather</v>
      </c>
      <c r="C4375" s="3">
        <f t="shared" si="479"/>
        <v>45949</v>
      </c>
      <c r="D4375" s="4">
        <f t="shared" ca="1" si="481"/>
        <v>148</v>
      </c>
      <c r="E4375" s="2">
        <f t="shared" ca="1" si="482"/>
        <v>3501</v>
      </c>
      <c r="F4375" s="2">
        <f t="shared" ca="1" si="483"/>
        <v>17662</v>
      </c>
      <c r="G4375" s="2">
        <f t="shared" ca="1" si="484"/>
        <v>399</v>
      </c>
    </row>
    <row r="4376" spans="1:7" x14ac:dyDescent="0.3">
      <c r="A4376" s="5" t="str">
        <f t="shared" si="478"/>
        <v>Nike</v>
      </c>
      <c r="B4376" s="5" t="str">
        <f t="shared" si="480"/>
        <v>Air Force 1</v>
      </c>
      <c r="C4376" s="3">
        <f t="shared" si="479"/>
        <v>45949</v>
      </c>
      <c r="D4376" s="4">
        <f t="shared" ca="1" si="481"/>
        <v>238</v>
      </c>
      <c r="E4376" s="2">
        <f t="shared" ca="1" si="482"/>
        <v>2644</v>
      </c>
      <c r="F4376" s="2">
        <f t="shared" ca="1" si="483"/>
        <v>27482</v>
      </c>
      <c r="G4376" s="2">
        <f t="shared" ca="1" si="484"/>
        <v>1824</v>
      </c>
    </row>
    <row r="4377" spans="1:7" x14ac:dyDescent="0.3">
      <c r="A4377" s="5" t="str">
        <f t="shared" si="478"/>
        <v>Adidas</v>
      </c>
      <c r="B4377" s="5" t="str">
        <f t="shared" si="480"/>
        <v>Superstar</v>
      </c>
      <c r="C4377" s="3">
        <f t="shared" si="479"/>
        <v>45949</v>
      </c>
      <c r="D4377" s="4">
        <f t="shared" ca="1" si="481"/>
        <v>235</v>
      </c>
      <c r="E4377" s="2">
        <f t="shared" ca="1" si="482"/>
        <v>5330</v>
      </c>
      <c r="F4377" s="2">
        <f t="shared" ca="1" si="483"/>
        <v>16043</v>
      </c>
      <c r="G4377" s="2">
        <f t="shared" ca="1" si="484"/>
        <v>756</v>
      </c>
    </row>
    <row r="4378" spans="1:7" x14ac:dyDescent="0.3">
      <c r="A4378" s="5" t="str">
        <f t="shared" si="478"/>
        <v>Puma</v>
      </c>
      <c r="B4378" s="5" t="str">
        <f t="shared" si="480"/>
        <v>Rider Vintage</v>
      </c>
      <c r="C4378" s="3">
        <f t="shared" si="479"/>
        <v>45949</v>
      </c>
      <c r="D4378" s="4">
        <f t="shared" ca="1" si="481"/>
        <v>111</v>
      </c>
      <c r="E4378" s="2">
        <f t="shared" ca="1" si="482"/>
        <v>1815</v>
      </c>
      <c r="F4378" s="2">
        <f t="shared" ca="1" si="483"/>
        <v>26820</v>
      </c>
      <c r="G4378" s="2">
        <f t="shared" ca="1" si="484"/>
        <v>1785</v>
      </c>
    </row>
    <row r="4379" spans="1:7" x14ac:dyDescent="0.3">
      <c r="A4379" s="5" t="str">
        <f t="shared" si="478"/>
        <v>New Balance</v>
      </c>
      <c r="B4379" s="5" t="str">
        <f t="shared" si="480"/>
        <v>327</v>
      </c>
      <c r="C4379" s="3">
        <f t="shared" si="479"/>
        <v>45949</v>
      </c>
      <c r="D4379" s="4">
        <f t="shared" ca="1" si="481"/>
        <v>43</v>
      </c>
      <c r="E4379" s="2">
        <f t="shared" ca="1" si="482"/>
        <v>4468</v>
      </c>
      <c r="F4379" s="2">
        <f t="shared" ca="1" si="483"/>
        <v>25268</v>
      </c>
      <c r="G4379" s="2">
        <f t="shared" ca="1" si="484"/>
        <v>752</v>
      </c>
    </row>
    <row r="4380" spans="1:7" x14ac:dyDescent="0.3">
      <c r="A4380" s="5" t="str">
        <f t="shared" si="478"/>
        <v>Reebok</v>
      </c>
      <c r="B4380" s="5" t="str">
        <f t="shared" si="480"/>
        <v>Question Mid</v>
      </c>
      <c r="C4380" s="3">
        <f t="shared" si="479"/>
        <v>45949</v>
      </c>
      <c r="D4380" s="4">
        <f t="shared" ca="1" si="481"/>
        <v>202</v>
      </c>
      <c r="E4380" s="2">
        <f t="shared" ca="1" si="482"/>
        <v>5001</v>
      </c>
      <c r="F4380" s="2">
        <f t="shared" ca="1" si="483"/>
        <v>23678</v>
      </c>
      <c r="G4380" s="2">
        <f t="shared" ca="1" si="484"/>
        <v>1893</v>
      </c>
    </row>
    <row r="4381" spans="1:7" x14ac:dyDescent="0.3">
      <c r="A4381" s="5" t="str">
        <f t="shared" si="478"/>
        <v>Nike</v>
      </c>
      <c r="B4381" s="5" t="str">
        <f t="shared" si="480"/>
        <v>Air Max 270</v>
      </c>
      <c r="C4381" s="3">
        <f t="shared" si="479"/>
        <v>45949</v>
      </c>
      <c r="D4381" s="4">
        <f t="shared" ca="1" si="481"/>
        <v>215</v>
      </c>
      <c r="E4381" s="2">
        <f t="shared" ca="1" si="482"/>
        <v>3483</v>
      </c>
      <c r="F4381" s="2">
        <f t="shared" ca="1" si="483"/>
        <v>11235</v>
      </c>
      <c r="G4381" s="2">
        <f t="shared" ca="1" si="484"/>
        <v>284</v>
      </c>
    </row>
    <row r="4382" spans="1:7" x14ac:dyDescent="0.3">
      <c r="A4382" s="5" t="str">
        <f t="shared" si="478"/>
        <v>Adidas</v>
      </c>
      <c r="B4382" s="5" t="str">
        <f t="shared" si="480"/>
        <v>Stan Smith</v>
      </c>
      <c r="C4382" s="3">
        <f t="shared" si="479"/>
        <v>45950</v>
      </c>
      <c r="D4382" s="4">
        <f t="shared" ca="1" si="481"/>
        <v>31</v>
      </c>
      <c r="E4382" s="2">
        <f t="shared" ca="1" si="482"/>
        <v>3543</v>
      </c>
      <c r="F4382" s="2">
        <f t="shared" ca="1" si="483"/>
        <v>10969</v>
      </c>
      <c r="G4382" s="2">
        <f t="shared" ca="1" si="484"/>
        <v>751</v>
      </c>
    </row>
    <row r="4383" spans="1:7" x14ac:dyDescent="0.3">
      <c r="A4383" s="5" t="str">
        <f t="shared" si="478"/>
        <v>Puma</v>
      </c>
      <c r="B4383" s="5" t="str">
        <f t="shared" si="480"/>
        <v>Cali Dream</v>
      </c>
      <c r="C4383" s="3">
        <f t="shared" si="479"/>
        <v>45950</v>
      </c>
      <c r="D4383" s="4">
        <f t="shared" ca="1" si="481"/>
        <v>48</v>
      </c>
      <c r="E4383" s="2">
        <f t="shared" ca="1" si="482"/>
        <v>4258</v>
      </c>
      <c r="F4383" s="2">
        <f t="shared" ca="1" si="483"/>
        <v>24093</v>
      </c>
      <c r="G4383" s="2">
        <f t="shared" ca="1" si="484"/>
        <v>758</v>
      </c>
    </row>
    <row r="4384" spans="1:7" x14ac:dyDescent="0.3">
      <c r="A4384" s="5" t="str">
        <f t="shared" si="478"/>
        <v>New Balance</v>
      </c>
      <c r="B4384" s="5" t="str">
        <f t="shared" si="480"/>
        <v>9060</v>
      </c>
      <c r="C4384" s="3">
        <f t="shared" si="479"/>
        <v>45950</v>
      </c>
      <c r="D4384" s="4">
        <f t="shared" ca="1" si="481"/>
        <v>155</v>
      </c>
      <c r="E4384" s="2">
        <f t="shared" ca="1" si="482"/>
        <v>8344</v>
      </c>
      <c r="F4384" s="2">
        <f t="shared" ca="1" si="483"/>
        <v>19293</v>
      </c>
      <c r="G4384" s="2">
        <f t="shared" ca="1" si="484"/>
        <v>856</v>
      </c>
    </row>
    <row r="4385" spans="1:7" x14ac:dyDescent="0.3">
      <c r="A4385" s="5" t="str">
        <f t="shared" si="478"/>
        <v>Reebok</v>
      </c>
      <c r="B4385" s="5" t="str">
        <f t="shared" si="480"/>
        <v>Zig Kinetica</v>
      </c>
      <c r="C4385" s="3">
        <f t="shared" si="479"/>
        <v>45950</v>
      </c>
      <c r="D4385" s="4">
        <f t="shared" ca="1" si="481"/>
        <v>144</v>
      </c>
      <c r="E4385" s="2">
        <f t="shared" ca="1" si="482"/>
        <v>7420</v>
      </c>
      <c r="F4385" s="2">
        <f t="shared" ca="1" si="483"/>
        <v>34306</v>
      </c>
      <c r="G4385" s="2">
        <f t="shared" ca="1" si="484"/>
        <v>1024</v>
      </c>
    </row>
    <row r="4386" spans="1:7" x14ac:dyDescent="0.3">
      <c r="A4386" s="5" t="str">
        <f t="shared" si="478"/>
        <v>Nike</v>
      </c>
      <c r="B4386" s="5" t="str">
        <f t="shared" si="480"/>
        <v>Jordan 1</v>
      </c>
      <c r="C4386" s="3">
        <f t="shared" si="479"/>
        <v>45950</v>
      </c>
      <c r="D4386" s="4">
        <f t="shared" ca="1" si="481"/>
        <v>196</v>
      </c>
      <c r="E4386" s="2">
        <f t="shared" ca="1" si="482"/>
        <v>9705</v>
      </c>
      <c r="F4386" s="2">
        <f t="shared" ca="1" si="483"/>
        <v>31741</v>
      </c>
      <c r="G4386" s="2">
        <f t="shared" ca="1" si="484"/>
        <v>2280</v>
      </c>
    </row>
    <row r="4387" spans="1:7" x14ac:dyDescent="0.3">
      <c r="A4387" s="5" t="str">
        <f t="shared" si="478"/>
        <v>Adidas</v>
      </c>
      <c r="B4387" s="5" t="str">
        <f t="shared" si="480"/>
        <v>Ultraboost 23</v>
      </c>
      <c r="C4387" s="3">
        <f t="shared" si="479"/>
        <v>45950</v>
      </c>
      <c r="D4387" s="4">
        <f t="shared" ca="1" si="481"/>
        <v>150</v>
      </c>
      <c r="E4387" s="2">
        <f t="shared" ca="1" si="482"/>
        <v>10269</v>
      </c>
      <c r="F4387" s="2">
        <f t="shared" ca="1" si="483"/>
        <v>22679</v>
      </c>
      <c r="G4387" s="2">
        <f t="shared" ca="1" si="484"/>
        <v>1407</v>
      </c>
    </row>
    <row r="4388" spans="1:7" x14ac:dyDescent="0.3">
      <c r="A4388" s="5" t="str">
        <f t="shared" si="478"/>
        <v>Puma</v>
      </c>
      <c r="B4388" s="5" t="str">
        <f t="shared" si="480"/>
        <v>RS-X</v>
      </c>
      <c r="C4388" s="3">
        <f t="shared" si="479"/>
        <v>45950</v>
      </c>
      <c r="D4388" s="4">
        <f t="shared" ca="1" si="481"/>
        <v>138</v>
      </c>
      <c r="E4388" s="2">
        <f t="shared" ca="1" si="482"/>
        <v>6309</v>
      </c>
      <c r="F4388" s="2">
        <f t="shared" ca="1" si="483"/>
        <v>18556</v>
      </c>
      <c r="G4388" s="2">
        <f t="shared" ca="1" si="484"/>
        <v>995</v>
      </c>
    </row>
    <row r="4389" spans="1:7" x14ac:dyDescent="0.3">
      <c r="A4389" s="5" t="str">
        <f t="shared" si="478"/>
        <v>New Balance</v>
      </c>
      <c r="B4389" s="5" t="str">
        <f t="shared" si="480"/>
        <v>2002R</v>
      </c>
      <c r="C4389" s="3">
        <f t="shared" si="479"/>
        <v>45950</v>
      </c>
      <c r="D4389" s="4">
        <f t="shared" ca="1" si="481"/>
        <v>29</v>
      </c>
      <c r="E4389" s="2">
        <f t="shared" ca="1" si="482"/>
        <v>10104</v>
      </c>
      <c r="F4389" s="2">
        <f t="shared" ca="1" si="483"/>
        <v>24239</v>
      </c>
      <c r="G4389" s="2">
        <f t="shared" ca="1" si="484"/>
        <v>1745</v>
      </c>
    </row>
    <row r="4390" spans="1:7" x14ac:dyDescent="0.3">
      <c r="A4390" s="5" t="str">
        <f t="shared" si="478"/>
        <v>Reebok</v>
      </c>
      <c r="B4390" s="5" t="str">
        <f t="shared" si="480"/>
        <v>Instapump Fury</v>
      </c>
      <c r="C4390" s="3">
        <f t="shared" si="479"/>
        <v>45950</v>
      </c>
      <c r="D4390" s="4">
        <f t="shared" ca="1" si="481"/>
        <v>67</v>
      </c>
      <c r="E4390" s="2">
        <f t="shared" ca="1" si="482"/>
        <v>5511</v>
      </c>
      <c r="F4390" s="2">
        <f t="shared" ca="1" si="483"/>
        <v>21424</v>
      </c>
      <c r="G4390" s="2">
        <f t="shared" ca="1" si="484"/>
        <v>835</v>
      </c>
    </row>
    <row r="4391" spans="1:7" x14ac:dyDescent="0.3">
      <c r="A4391" s="5" t="str">
        <f t="shared" si="478"/>
        <v>Nike</v>
      </c>
      <c r="B4391" s="5" t="str">
        <f t="shared" si="480"/>
        <v>Cortez</v>
      </c>
      <c r="C4391" s="3">
        <f t="shared" si="479"/>
        <v>45950</v>
      </c>
      <c r="D4391" s="4">
        <f t="shared" ca="1" si="481"/>
        <v>99</v>
      </c>
      <c r="E4391" s="2">
        <f t="shared" ca="1" si="482"/>
        <v>3105</v>
      </c>
      <c r="F4391" s="2">
        <f t="shared" ca="1" si="483"/>
        <v>13044</v>
      </c>
      <c r="G4391" s="2">
        <f t="shared" ca="1" si="484"/>
        <v>934</v>
      </c>
    </row>
    <row r="4392" spans="1:7" x14ac:dyDescent="0.3">
      <c r="A4392" s="5" t="str">
        <f t="shared" si="478"/>
        <v>Adidas</v>
      </c>
      <c r="B4392" s="5" t="str">
        <f t="shared" si="480"/>
        <v>NMD S1</v>
      </c>
      <c r="C4392" s="3">
        <f t="shared" si="479"/>
        <v>45950</v>
      </c>
      <c r="D4392" s="4">
        <f t="shared" ca="1" si="481"/>
        <v>21</v>
      </c>
      <c r="E4392" s="2">
        <f t="shared" ca="1" si="482"/>
        <v>2436</v>
      </c>
      <c r="F4392" s="2">
        <f t="shared" ca="1" si="483"/>
        <v>24034</v>
      </c>
      <c r="G4392" s="2">
        <f t="shared" ca="1" si="484"/>
        <v>1154</v>
      </c>
    </row>
    <row r="4393" spans="1:7" x14ac:dyDescent="0.3">
      <c r="A4393" s="5" t="str">
        <f t="shared" si="478"/>
        <v>Puma</v>
      </c>
      <c r="B4393" s="5" t="str">
        <f t="shared" si="480"/>
        <v>Suede Classic</v>
      </c>
      <c r="C4393" s="3">
        <f t="shared" si="479"/>
        <v>45950</v>
      </c>
      <c r="D4393" s="4">
        <f t="shared" ca="1" si="481"/>
        <v>130</v>
      </c>
      <c r="E4393" s="2">
        <f t="shared" ca="1" si="482"/>
        <v>11715</v>
      </c>
      <c r="F4393" s="2">
        <f t="shared" ca="1" si="483"/>
        <v>11432</v>
      </c>
      <c r="G4393" s="2">
        <f t="shared" ca="1" si="484"/>
        <v>756</v>
      </c>
    </row>
    <row r="4394" spans="1:7" x14ac:dyDescent="0.3">
      <c r="A4394" s="5" t="str">
        <f t="shared" si="478"/>
        <v>New Balance</v>
      </c>
      <c r="B4394" s="5" t="str">
        <f t="shared" si="480"/>
        <v>990v6</v>
      </c>
      <c r="C4394" s="3">
        <f t="shared" si="479"/>
        <v>45950</v>
      </c>
      <c r="D4394" s="4">
        <f t="shared" ca="1" si="481"/>
        <v>157</v>
      </c>
      <c r="E4394" s="2">
        <f t="shared" ca="1" si="482"/>
        <v>3154</v>
      </c>
      <c r="F4394" s="2">
        <f t="shared" ca="1" si="483"/>
        <v>17639</v>
      </c>
      <c r="G4394" s="2">
        <f t="shared" ca="1" si="484"/>
        <v>1069</v>
      </c>
    </row>
    <row r="4395" spans="1:7" x14ac:dyDescent="0.3">
      <c r="A4395" s="5" t="str">
        <f t="shared" ref="A4395:A4458" si="485">CHOOSE(MOD(ROW(A4394),5)+1,"Nike","Adidas","Puma","New Balance","Reebok")</f>
        <v>Reebok</v>
      </c>
      <c r="B4395" s="5" t="str">
        <f t="shared" si="480"/>
        <v>Nano X3</v>
      </c>
      <c r="C4395" s="3">
        <f t="shared" ref="C4395:C4458" si="486">DATE(2025,1,1)+INT((ROW(A4395)-2)/15)</f>
        <v>45950</v>
      </c>
      <c r="D4395" s="4">
        <f t="shared" ca="1" si="481"/>
        <v>110</v>
      </c>
      <c r="E4395" s="2">
        <f t="shared" ca="1" si="482"/>
        <v>8625</v>
      </c>
      <c r="F4395" s="2">
        <f t="shared" ca="1" si="483"/>
        <v>32845</v>
      </c>
      <c r="G4395" s="2">
        <f t="shared" ca="1" si="484"/>
        <v>2184</v>
      </c>
    </row>
    <row r="4396" spans="1:7" x14ac:dyDescent="0.3">
      <c r="A4396" s="5" t="str">
        <f t="shared" si="485"/>
        <v>Nike</v>
      </c>
      <c r="B4396" s="5" t="str">
        <f t="shared" si="480"/>
        <v>Vaporfly 3</v>
      </c>
      <c r="C4396" s="3">
        <f t="shared" si="486"/>
        <v>45950</v>
      </c>
      <c r="D4396" s="4">
        <f t="shared" ca="1" si="481"/>
        <v>159</v>
      </c>
      <c r="E4396" s="2">
        <f t="shared" ca="1" si="482"/>
        <v>5824</v>
      </c>
      <c r="F4396" s="2">
        <f t="shared" ca="1" si="483"/>
        <v>13625</v>
      </c>
      <c r="G4396" s="2">
        <f t="shared" ca="1" si="484"/>
        <v>1019</v>
      </c>
    </row>
    <row r="4397" spans="1:7" x14ac:dyDescent="0.3">
      <c r="A4397" s="5" t="str">
        <f t="shared" si="485"/>
        <v>Adidas</v>
      </c>
      <c r="B4397" s="5" t="str">
        <f t="shared" si="480"/>
        <v>Samba</v>
      </c>
      <c r="C4397" s="3">
        <f t="shared" si="486"/>
        <v>45951</v>
      </c>
      <c r="D4397" s="4">
        <f t="shared" ca="1" si="481"/>
        <v>94</v>
      </c>
      <c r="E4397" s="2">
        <f t="shared" ca="1" si="482"/>
        <v>5558</v>
      </c>
      <c r="F4397" s="2">
        <f t="shared" ca="1" si="483"/>
        <v>14826</v>
      </c>
      <c r="G4397" s="2">
        <f t="shared" ca="1" si="484"/>
        <v>954</v>
      </c>
    </row>
    <row r="4398" spans="1:7" x14ac:dyDescent="0.3">
      <c r="A4398" s="5" t="str">
        <f t="shared" si="485"/>
        <v>Puma</v>
      </c>
      <c r="B4398" s="5" t="str">
        <f t="shared" si="480"/>
        <v>Mayze</v>
      </c>
      <c r="C4398" s="3">
        <f t="shared" si="486"/>
        <v>45951</v>
      </c>
      <c r="D4398" s="4">
        <f t="shared" ca="1" si="481"/>
        <v>210</v>
      </c>
      <c r="E4398" s="2">
        <f t="shared" ca="1" si="482"/>
        <v>8057</v>
      </c>
      <c r="F4398" s="2">
        <f t="shared" ca="1" si="483"/>
        <v>19242</v>
      </c>
      <c r="G4398" s="2">
        <f t="shared" ca="1" si="484"/>
        <v>1284</v>
      </c>
    </row>
    <row r="4399" spans="1:7" x14ac:dyDescent="0.3">
      <c r="A4399" s="5" t="str">
        <f t="shared" si="485"/>
        <v>New Balance</v>
      </c>
      <c r="B4399" s="5" t="str">
        <f t="shared" si="480"/>
        <v>574 Core</v>
      </c>
      <c r="C4399" s="3">
        <f t="shared" si="486"/>
        <v>45951</v>
      </c>
      <c r="D4399" s="4">
        <f t="shared" ca="1" si="481"/>
        <v>73</v>
      </c>
      <c r="E4399" s="2">
        <f t="shared" ca="1" si="482"/>
        <v>2131</v>
      </c>
      <c r="F4399" s="2">
        <f t="shared" ca="1" si="483"/>
        <v>11087</v>
      </c>
      <c r="G4399" s="2">
        <f t="shared" ca="1" si="484"/>
        <v>537</v>
      </c>
    </row>
    <row r="4400" spans="1:7" x14ac:dyDescent="0.3">
      <c r="A4400" s="5" t="str">
        <f t="shared" si="485"/>
        <v>Reebok</v>
      </c>
      <c r="B4400" s="5" t="str">
        <f t="shared" si="480"/>
        <v>Club C 85</v>
      </c>
      <c r="C4400" s="3">
        <f t="shared" si="486"/>
        <v>45951</v>
      </c>
      <c r="D4400" s="4">
        <f t="shared" ca="1" si="481"/>
        <v>159</v>
      </c>
      <c r="E4400" s="2">
        <f t="shared" ca="1" si="482"/>
        <v>6027</v>
      </c>
      <c r="F4400" s="2">
        <f t="shared" ca="1" si="483"/>
        <v>24559</v>
      </c>
      <c r="G4400" s="2">
        <f t="shared" ca="1" si="484"/>
        <v>1890</v>
      </c>
    </row>
    <row r="4401" spans="1:7" x14ac:dyDescent="0.3">
      <c r="A4401" s="5" t="str">
        <f t="shared" si="485"/>
        <v>Nike</v>
      </c>
      <c r="B4401" s="5" t="str">
        <f t="shared" si="480"/>
        <v>Pegasus 40</v>
      </c>
      <c r="C4401" s="3">
        <f t="shared" si="486"/>
        <v>45951</v>
      </c>
      <c r="D4401" s="4">
        <f t="shared" ca="1" si="481"/>
        <v>143</v>
      </c>
      <c r="E4401" s="2">
        <f t="shared" ca="1" si="482"/>
        <v>8446</v>
      </c>
      <c r="F4401" s="2">
        <f t="shared" ca="1" si="483"/>
        <v>34657</v>
      </c>
      <c r="G4401" s="2">
        <f t="shared" ca="1" si="484"/>
        <v>2559</v>
      </c>
    </row>
    <row r="4402" spans="1:7" x14ac:dyDescent="0.3">
      <c r="A4402" s="5" t="str">
        <f t="shared" si="485"/>
        <v>Adidas</v>
      </c>
      <c r="B4402" s="5" t="str">
        <f t="shared" si="480"/>
        <v>Gazelle</v>
      </c>
      <c r="C4402" s="3">
        <f t="shared" si="486"/>
        <v>45951</v>
      </c>
      <c r="D4402" s="4">
        <f t="shared" ca="1" si="481"/>
        <v>50</v>
      </c>
      <c r="E4402" s="2">
        <f t="shared" ca="1" si="482"/>
        <v>2652</v>
      </c>
      <c r="F4402" s="2">
        <f t="shared" ca="1" si="483"/>
        <v>32702</v>
      </c>
      <c r="G4402" s="2">
        <f t="shared" ca="1" si="484"/>
        <v>1273</v>
      </c>
    </row>
    <row r="4403" spans="1:7" x14ac:dyDescent="0.3">
      <c r="A4403" s="5" t="str">
        <f t="shared" si="485"/>
        <v>Puma</v>
      </c>
      <c r="B4403" s="5" t="str">
        <f t="shared" si="480"/>
        <v>Slipstream</v>
      </c>
      <c r="C4403" s="3">
        <f t="shared" si="486"/>
        <v>45951</v>
      </c>
      <c r="D4403" s="4">
        <f t="shared" ca="1" si="481"/>
        <v>185</v>
      </c>
      <c r="E4403" s="2">
        <f t="shared" ca="1" si="482"/>
        <v>9522</v>
      </c>
      <c r="F4403" s="2">
        <f t="shared" ca="1" si="483"/>
        <v>5013</v>
      </c>
      <c r="G4403" s="2">
        <f t="shared" ca="1" si="484"/>
        <v>224</v>
      </c>
    </row>
    <row r="4404" spans="1:7" x14ac:dyDescent="0.3">
      <c r="A4404" s="5" t="str">
        <f t="shared" si="485"/>
        <v>New Balance</v>
      </c>
      <c r="B4404" s="5" t="str">
        <f t="shared" si="480"/>
        <v>550</v>
      </c>
      <c r="C4404" s="3">
        <f t="shared" si="486"/>
        <v>45951</v>
      </c>
      <c r="D4404" s="4">
        <f t="shared" ca="1" si="481"/>
        <v>109</v>
      </c>
      <c r="E4404" s="2">
        <f t="shared" ca="1" si="482"/>
        <v>11206</v>
      </c>
      <c r="F4404" s="2">
        <f t="shared" ca="1" si="483"/>
        <v>28145</v>
      </c>
      <c r="G4404" s="2">
        <f t="shared" ca="1" si="484"/>
        <v>1038</v>
      </c>
    </row>
    <row r="4405" spans="1:7" x14ac:dyDescent="0.3">
      <c r="A4405" s="5" t="str">
        <f t="shared" si="485"/>
        <v>Reebok</v>
      </c>
      <c r="B4405" s="5" t="str">
        <f t="shared" si="480"/>
        <v>Classic Leather</v>
      </c>
      <c r="C4405" s="3">
        <f t="shared" si="486"/>
        <v>45951</v>
      </c>
      <c r="D4405" s="4">
        <f t="shared" ca="1" si="481"/>
        <v>216</v>
      </c>
      <c r="E4405" s="2">
        <f t="shared" ca="1" si="482"/>
        <v>3501</v>
      </c>
      <c r="F4405" s="2">
        <f t="shared" ca="1" si="483"/>
        <v>25265</v>
      </c>
      <c r="G4405" s="2">
        <f t="shared" ca="1" si="484"/>
        <v>1118</v>
      </c>
    </row>
    <row r="4406" spans="1:7" x14ac:dyDescent="0.3">
      <c r="A4406" s="5" t="str">
        <f t="shared" si="485"/>
        <v>Nike</v>
      </c>
      <c r="B4406" s="5" t="str">
        <f t="shared" si="480"/>
        <v>Air Force 1</v>
      </c>
      <c r="C4406" s="3">
        <f t="shared" si="486"/>
        <v>45951</v>
      </c>
      <c r="D4406" s="4">
        <f t="shared" ca="1" si="481"/>
        <v>230</v>
      </c>
      <c r="E4406" s="2">
        <f t="shared" ca="1" si="482"/>
        <v>4902</v>
      </c>
      <c r="F4406" s="2">
        <f t="shared" ca="1" si="483"/>
        <v>24208</v>
      </c>
      <c r="G4406" s="2">
        <f t="shared" ca="1" si="484"/>
        <v>740</v>
      </c>
    </row>
    <row r="4407" spans="1:7" x14ac:dyDescent="0.3">
      <c r="A4407" s="5" t="str">
        <f t="shared" si="485"/>
        <v>Adidas</v>
      </c>
      <c r="B4407" s="5" t="str">
        <f t="shared" si="480"/>
        <v>Superstar</v>
      </c>
      <c r="C4407" s="3">
        <f t="shared" si="486"/>
        <v>45951</v>
      </c>
      <c r="D4407" s="4">
        <f t="shared" ca="1" si="481"/>
        <v>97</v>
      </c>
      <c r="E4407" s="2">
        <f t="shared" ca="1" si="482"/>
        <v>3519</v>
      </c>
      <c r="F4407" s="2">
        <f t="shared" ca="1" si="483"/>
        <v>24648</v>
      </c>
      <c r="G4407" s="2">
        <f t="shared" ca="1" si="484"/>
        <v>1548</v>
      </c>
    </row>
    <row r="4408" spans="1:7" x14ac:dyDescent="0.3">
      <c r="A4408" s="5" t="str">
        <f t="shared" si="485"/>
        <v>Puma</v>
      </c>
      <c r="B4408" s="5" t="str">
        <f t="shared" si="480"/>
        <v>Rider Vintage</v>
      </c>
      <c r="C4408" s="3">
        <f t="shared" si="486"/>
        <v>45951</v>
      </c>
      <c r="D4408" s="4">
        <f t="shared" ca="1" si="481"/>
        <v>212</v>
      </c>
      <c r="E4408" s="2">
        <f t="shared" ca="1" si="482"/>
        <v>5260</v>
      </c>
      <c r="F4408" s="2">
        <f t="shared" ca="1" si="483"/>
        <v>9966</v>
      </c>
      <c r="G4408" s="2">
        <f t="shared" ca="1" si="484"/>
        <v>544</v>
      </c>
    </row>
    <row r="4409" spans="1:7" x14ac:dyDescent="0.3">
      <c r="A4409" s="5" t="str">
        <f t="shared" si="485"/>
        <v>New Balance</v>
      </c>
      <c r="B4409" s="5" t="str">
        <f t="shared" si="480"/>
        <v>327</v>
      </c>
      <c r="C4409" s="3">
        <f t="shared" si="486"/>
        <v>45951</v>
      </c>
      <c r="D4409" s="4">
        <f t="shared" ca="1" si="481"/>
        <v>232</v>
      </c>
      <c r="E4409" s="2">
        <f t="shared" ca="1" si="482"/>
        <v>3456</v>
      </c>
      <c r="F4409" s="2">
        <f t="shared" ca="1" si="483"/>
        <v>11945</v>
      </c>
      <c r="G4409" s="2">
        <f t="shared" ca="1" si="484"/>
        <v>378</v>
      </c>
    </row>
    <row r="4410" spans="1:7" x14ac:dyDescent="0.3">
      <c r="A4410" s="5" t="str">
        <f t="shared" si="485"/>
        <v>Reebok</v>
      </c>
      <c r="B4410" s="5" t="str">
        <f t="shared" si="480"/>
        <v>Question Mid</v>
      </c>
      <c r="C4410" s="3">
        <f t="shared" si="486"/>
        <v>45951</v>
      </c>
      <c r="D4410" s="4">
        <f t="shared" ca="1" si="481"/>
        <v>183</v>
      </c>
      <c r="E4410" s="2">
        <f t="shared" ca="1" si="482"/>
        <v>2534</v>
      </c>
      <c r="F4410" s="2">
        <f t="shared" ca="1" si="483"/>
        <v>18340</v>
      </c>
      <c r="G4410" s="2">
        <f t="shared" ca="1" si="484"/>
        <v>1438</v>
      </c>
    </row>
    <row r="4411" spans="1:7" x14ac:dyDescent="0.3">
      <c r="A4411" s="5" t="str">
        <f t="shared" si="485"/>
        <v>Nike</v>
      </c>
      <c r="B4411" s="5" t="str">
        <f t="shared" si="480"/>
        <v>Air Max 270</v>
      </c>
      <c r="C4411" s="3">
        <f t="shared" si="486"/>
        <v>45951</v>
      </c>
      <c r="D4411" s="4">
        <f t="shared" ca="1" si="481"/>
        <v>145</v>
      </c>
      <c r="E4411" s="2">
        <f t="shared" ca="1" si="482"/>
        <v>11746</v>
      </c>
      <c r="F4411" s="2">
        <f t="shared" ca="1" si="483"/>
        <v>8766</v>
      </c>
      <c r="G4411" s="2">
        <f t="shared" ca="1" si="484"/>
        <v>432</v>
      </c>
    </row>
    <row r="4412" spans="1:7" x14ac:dyDescent="0.3">
      <c r="A4412" s="5" t="str">
        <f t="shared" si="485"/>
        <v>Adidas</v>
      </c>
      <c r="B4412" s="5" t="str">
        <f t="shared" si="480"/>
        <v>Stan Smith</v>
      </c>
      <c r="C4412" s="3">
        <f t="shared" si="486"/>
        <v>45952</v>
      </c>
      <c r="D4412" s="4">
        <f t="shared" ca="1" si="481"/>
        <v>123</v>
      </c>
      <c r="E4412" s="2">
        <f t="shared" ca="1" si="482"/>
        <v>11224</v>
      </c>
      <c r="F4412" s="2">
        <f t="shared" ca="1" si="483"/>
        <v>23718</v>
      </c>
      <c r="G4412" s="2">
        <f t="shared" ca="1" si="484"/>
        <v>1605</v>
      </c>
    </row>
    <row r="4413" spans="1:7" x14ac:dyDescent="0.3">
      <c r="A4413" s="5" t="str">
        <f t="shared" si="485"/>
        <v>Puma</v>
      </c>
      <c r="B4413" s="5" t="str">
        <f t="shared" si="480"/>
        <v>Cali Dream</v>
      </c>
      <c r="C4413" s="3">
        <f t="shared" si="486"/>
        <v>45952</v>
      </c>
      <c r="D4413" s="4">
        <f t="shared" ca="1" si="481"/>
        <v>196</v>
      </c>
      <c r="E4413" s="2">
        <f t="shared" ca="1" si="482"/>
        <v>11366</v>
      </c>
      <c r="F4413" s="2">
        <f t="shared" ca="1" si="483"/>
        <v>11115</v>
      </c>
      <c r="G4413" s="2">
        <f t="shared" ca="1" si="484"/>
        <v>645</v>
      </c>
    </row>
    <row r="4414" spans="1:7" x14ac:dyDescent="0.3">
      <c r="A4414" s="5" t="str">
        <f t="shared" si="485"/>
        <v>New Balance</v>
      </c>
      <c r="B4414" s="5" t="str">
        <f t="shared" si="480"/>
        <v>9060</v>
      </c>
      <c r="C4414" s="3">
        <f t="shared" si="486"/>
        <v>45952</v>
      </c>
      <c r="D4414" s="4">
        <f t="shared" ca="1" si="481"/>
        <v>134</v>
      </c>
      <c r="E4414" s="2">
        <f t="shared" ca="1" si="482"/>
        <v>3560</v>
      </c>
      <c r="F4414" s="2">
        <f t="shared" ca="1" si="483"/>
        <v>9030</v>
      </c>
      <c r="G4414" s="2">
        <f t="shared" ca="1" si="484"/>
        <v>267</v>
      </c>
    </row>
    <row r="4415" spans="1:7" x14ac:dyDescent="0.3">
      <c r="A4415" s="5" t="str">
        <f t="shared" si="485"/>
        <v>Reebok</v>
      </c>
      <c r="B4415" s="5" t="str">
        <f t="shared" si="480"/>
        <v>Zig Kinetica</v>
      </c>
      <c r="C4415" s="3">
        <f t="shared" si="486"/>
        <v>45952</v>
      </c>
      <c r="D4415" s="4">
        <f t="shared" ca="1" si="481"/>
        <v>123</v>
      </c>
      <c r="E4415" s="2">
        <f t="shared" ca="1" si="482"/>
        <v>2591</v>
      </c>
      <c r="F4415" s="2">
        <f t="shared" ca="1" si="483"/>
        <v>12553</v>
      </c>
      <c r="G4415" s="2">
        <f t="shared" ca="1" si="484"/>
        <v>632</v>
      </c>
    </row>
    <row r="4416" spans="1:7" x14ac:dyDescent="0.3">
      <c r="A4416" s="5" t="str">
        <f t="shared" si="485"/>
        <v>Nike</v>
      </c>
      <c r="B4416" s="5" t="str">
        <f t="shared" si="480"/>
        <v>Jordan 1</v>
      </c>
      <c r="C4416" s="3">
        <f t="shared" si="486"/>
        <v>45952</v>
      </c>
      <c r="D4416" s="4">
        <f t="shared" ca="1" si="481"/>
        <v>200</v>
      </c>
      <c r="E4416" s="2">
        <f t="shared" ca="1" si="482"/>
        <v>8692</v>
      </c>
      <c r="F4416" s="2">
        <f t="shared" ca="1" si="483"/>
        <v>24408</v>
      </c>
      <c r="G4416" s="2">
        <f t="shared" ca="1" si="484"/>
        <v>777</v>
      </c>
    </row>
    <row r="4417" spans="1:7" x14ac:dyDescent="0.3">
      <c r="A4417" s="5" t="str">
        <f t="shared" si="485"/>
        <v>Adidas</v>
      </c>
      <c r="B4417" s="5" t="str">
        <f t="shared" si="480"/>
        <v>Ultraboost 23</v>
      </c>
      <c r="C4417" s="3">
        <f t="shared" si="486"/>
        <v>45952</v>
      </c>
      <c r="D4417" s="4">
        <f t="shared" ca="1" si="481"/>
        <v>76</v>
      </c>
      <c r="E4417" s="2">
        <f t="shared" ca="1" si="482"/>
        <v>5551</v>
      </c>
      <c r="F4417" s="2">
        <f t="shared" ca="1" si="483"/>
        <v>22528</v>
      </c>
      <c r="G4417" s="2">
        <f t="shared" ca="1" si="484"/>
        <v>751</v>
      </c>
    </row>
    <row r="4418" spans="1:7" x14ac:dyDescent="0.3">
      <c r="A4418" s="5" t="str">
        <f t="shared" si="485"/>
        <v>Puma</v>
      </c>
      <c r="B4418" s="5" t="str">
        <f t="shared" si="480"/>
        <v>RS-X</v>
      </c>
      <c r="C4418" s="3">
        <f t="shared" si="486"/>
        <v>45952</v>
      </c>
      <c r="D4418" s="4">
        <f t="shared" ca="1" si="481"/>
        <v>231</v>
      </c>
      <c r="E4418" s="2">
        <f t="shared" ca="1" si="482"/>
        <v>11974</v>
      </c>
      <c r="F4418" s="2">
        <f t="shared" ca="1" si="483"/>
        <v>27646</v>
      </c>
      <c r="G4418" s="2">
        <f t="shared" ca="1" si="484"/>
        <v>993</v>
      </c>
    </row>
    <row r="4419" spans="1:7" x14ac:dyDescent="0.3">
      <c r="A4419" s="5" t="str">
        <f t="shared" si="485"/>
        <v>New Balance</v>
      </c>
      <c r="B4419" s="5" t="str">
        <f t="shared" ref="B4419:B4482" si="487">IF(A4419="Nike",CHOOSE(MOD(ROW(A4418),6)+1,"Air Max 270","Air Force 1","Pegasus 40","Vaporfly 3","Cortez","Jordan 1"),
 IF(A4419="Adidas",CHOOSE(MOD(ROW(A4418),6)+1,"Ultraboost 23","Stan Smith","Superstar","Gazelle","Samba","NMD S1"),
 IF(A4419="Puma",CHOOSE(MOD(ROW(A4418),6)+1,"Suede Classic","RS-X","Cali Dream","Rider Vintage","Slipstream","Mayze"),
 IF(A4419="New Balance",CHOOSE(MOD(ROW(A4418),6)+1,"574 Core","990v6","2002R","9060","327","550"),
 IF(A4419="Reebok",CHOOSE(MOD(ROW(A4418),6)+1,"Classic Leather","Club C 85","Nano X3","Instapump Fury","Zig Kinetica","Question Mid"),"")))))</f>
        <v>2002R</v>
      </c>
      <c r="C4419" s="3">
        <f t="shared" si="486"/>
        <v>45952</v>
      </c>
      <c r="D4419" s="4">
        <f t="shared" ref="D4419:D4482" ca="1" si="488">RANDBETWEEN(20,250)</f>
        <v>62</v>
      </c>
      <c r="E4419" s="2">
        <f t="shared" ref="E4419:E4482" ca="1" si="489">ROUND(RANDBETWEEN(1500,12000)+(RANDBETWEEN(-200,200)),2)</f>
        <v>8400</v>
      </c>
      <c r="F4419" s="2">
        <f t="shared" ref="F4419:F4482" ca="1" si="490">RANDBETWEEN(5000,35000)</f>
        <v>7021</v>
      </c>
      <c r="G4419" s="2">
        <f t="shared" ref="G4419:G4482" ca="1" si="491">RANDBETWEEN(ROUND(F4419*0.02,0),ROUND(F4419*0.08,0))</f>
        <v>330</v>
      </c>
    </row>
    <row r="4420" spans="1:7" x14ac:dyDescent="0.3">
      <c r="A4420" s="5" t="str">
        <f t="shared" si="485"/>
        <v>Reebok</v>
      </c>
      <c r="B4420" s="5" t="str">
        <f t="shared" si="487"/>
        <v>Instapump Fury</v>
      </c>
      <c r="C4420" s="3">
        <f t="shared" si="486"/>
        <v>45952</v>
      </c>
      <c r="D4420" s="4">
        <f t="shared" ca="1" si="488"/>
        <v>45</v>
      </c>
      <c r="E4420" s="2">
        <f t="shared" ca="1" si="489"/>
        <v>11269</v>
      </c>
      <c r="F4420" s="2">
        <f t="shared" ca="1" si="490"/>
        <v>31533</v>
      </c>
      <c r="G4420" s="2">
        <f t="shared" ca="1" si="491"/>
        <v>1921</v>
      </c>
    </row>
    <row r="4421" spans="1:7" x14ac:dyDescent="0.3">
      <c r="A4421" s="5" t="str">
        <f t="shared" si="485"/>
        <v>Nike</v>
      </c>
      <c r="B4421" s="5" t="str">
        <f t="shared" si="487"/>
        <v>Cortez</v>
      </c>
      <c r="C4421" s="3">
        <f t="shared" si="486"/>
        <v>45952</v>
      </c>
      <c r="D4421" s="4">
        <f t="shared" ca="1" si="488"/>
        <v>240</v>
      </c>
      <c r="E4421" s="2">
        <f t="shared" ca="1" si="489"/>
        <v>4436</v>
      </c>
      <c r="F4421" s="2">
        <f t="shared" ca="1" si="490"/>
        <v>32295</v>
      </c>
      <c r="G4421" s="2">
        <f t="shared" ca="1" si="491"/>
        <v>2167</v>
      </c>
    </row>
    <row r="4422" spans="1:7" x14ac:dyDescent="0.3">
      <c r="A4422" s="5" t="str">
        <f t="shared" si="485"/>
        <v>Adidas</v>
      </c>
      <c r="B4422" s="5" t="str">
        <f t="shared" si="487"/>
        <v>NMD S1</v>
      </c>
      <c r="C4422" s="3">
        <f t="shared" si="486"/>
        <v>45952</v>
      </c>
      <c r="D4422" s="4">
        <f t="shared" ca="1" si="488"/>
        <v>247</v>
      </c>
      <c r="E4422" s="2">
        <f t="shared" ca="1" si="489"/>
        <v>2770</v>
      </c>
      <c r="F4422" s="2">
        <f t="shared" ca="1" si="490"/>
        <v>17570</v>
      </c>
      <c r="G4422" s="2">
        <f t="shared" ca="1" si="491"/>
        <v>504</v>
      </c>
    </row>
    <row r="4423" spans="1:7" x14ac:dyDescent="0.3">
      <c r="A4423" s="5" t="str">
        <f t="shared" si="485"/>
        <v>Puma</v>
      </c>
      <c r="B4423" s="5" t="str">
        <f t="shared" si="487"/>
        <v>Suede Classic</v>
      </c>
      <c r="C4423" s="3">
        <f t="shared" si="486"/>
        <v>45952</v>
      </c>
      <c r="D4423" s="4">
        <f t="shared" ca="1" si="488"/>
        <v>205</v>
      </c>
      <c r="E4423" s="2">
        <f t="shared" ca="1" si="489"/>
        <v>4008</v>
      </c>
      <c r="F4423" s="2">
        <f t="shared" ca="1" si="490"/>
        <v>31037</v>
      </c>
      <c r="G4423" s="2">
        <f t="shared" ca="1" si="491"/>
        <v>2317</v>
      </c>
    </row>
    <row r="4424" spans="1:7" x14ac:dyDescent="0.3">
      <c r="A4424" s="5" t="str">
        <f t="shared" si="485"/>
        <v>New Balance</v>
      </c>
      <c r="B4424" s="5" t="str">
        <f t="shared" si="487"/>
        <v>990v6</v>
      </c>
      <c r="C4424" s="3">
        <f t="shared" si="486"/>
        <v>45952</v>
      </c>
      <c r="D4424" s="4">
        <f t="shared" ca="1" si="488"/>
        <v>196</v>
      </c>
      <c r="E4424" s="2">
        <f t="shared" ca="1" si="489"/>
        <v>6326</v>
      </c>
      <c r="F4424" s="2">
        <f t="shared" ca="1" si="490"/>
        <v>9506</v>
      </c>
      <c r="G4424" s="2">
        <f t="shared" ca="1" si="491"/>
        <v>683</v>
      </c>
    </row>
    <row r="4425" spans="1:7" x14ac:dyDescent="0.3">
      <c r="A4425" s="5" t="str">
        <f t="shared" si="485"/>
        <v>Reebok</v>
      </c>
      <c r="B4425" s="5" t="str">
        <f t="shared" si="487"/>
        <v>Nano X3</v>
      </c>
      <c r="C4425" s="3">
        <f t="shared" si="486"/>
        <v>45952</v>
      </c>
      <c r="D4425" s="4">
        <f t="shared" ca="1" si="488"/>
        <v>56</v>
      </c>
      <c r="E4425" s="2">
        <f t="shared" ca="1" si="489"/>
        <v>11124</v>
      </c>
      <c r="F4425" s="2">
        <f t="shared" ca="1" si="490"/>
        <v>10416</v>
      </c>
      <c r="G4425" s="2">
        <f t="shared" ca="1" si="491"/>
        <v>625</v>
      </c>
    </row>
    <row r="4426" spans="1:7" x14ac:dyDescent="0.3">
      <c r="A4426" s="5" t="str">
        <f t="shared" si="485"/>
        <v>Nike</v>
      </c>
      <c r="B4426" s="5" t="str">
        <f t="shared" si="487"/>
        <v>Vaporfly 3</v>
      </c>
      <c r="C4426" s="3">
        <f t="shared" si="486"/>
        <v>45952</v>
      </c>
      <c r="D4426" s="4">
        <f t="shared" ca="1" si="488"/>
        <v>40</v>
      </c>
      <c r="E4426" s="2">
        <f t="shared" ca="1" si="489"/>
        <v>6626</v>
      </c>
      <c r="F4426" s="2">
        <f t="shared" ca="1" si="490"/>
        <v>21596</v>
      </c>
      <c r="G4426" s="2">
        <f t="shared" ca="1" si="491"/>
        <v>918</v>
      </c>
    </row>
    <row r="4427" spans="1:7" x14ac:dyDescent="0.3">
      <c r="A4427" s="5" t="str">
        <f t="shared" si="485"/>
        <v>Adidas</v>
      </c>
      <c r="B4427" s="5" t="str">
        <f t="shared" si="487"/>
        <v>Samba</v>
      </c>
      <c r="C4427" s="3">
        <f t="shared" si="486"/>
        <v>45953</v>
      </c>
      <c r="D4427" s="4">
        <f t="shared" ca="1" si="488"/>
        <v>127</v>
      </c>
      <c r="E4427" s="2">
        <f t="shared" ca="1" si="489"/>
        <v>8593</v>
      </c>
      <c r="F4427" s="2">
        <f t="shared" ca="1" si="490"/>
        <v>29398</v>
      </c>
      <c r="G4427" s="2">
        <f t="shared" ca="1" si="491"/>
        <v>891</v>
      </c>
    </row>
    <row r="4428" spans="1:7" x14ac:dyDescent="0.3">
      <c r="A4428" s="5" t="str">
        <f t="shared" si="485"/>
        <v>Puma</v>
      </c>
      <c r="B4428" s="5" t="str">
        <f t="shared" si="487"/>
        <v>Mayze</v>
      </c>
      <c r="C4428" s="3">
        <f t="shared" si="486"/>
        <v>45953</v>
      </c>
      <c r="D4428" s="4">
        <f t="shared" ca="1" si="488"/>
        <v>236</v>
      </c>
      <c r="E4428" s="2">
        <f t="shared" ca="1" si="489"/>
        <v>9824</v>
      </c>
      <c r="F4428" s="2">
        <f t="shared" ca="1" si="490"/>
        <v>32303</v>
      </c>
      <c r="G4428" s="2">
        <f t="shared" ca="1" si="491"/>
        <v>2242</v>
      </c>
    </row>
    <row r="4429" spans="1:7" x14ac:dyDescent="0.3">
      <c r="A4429" s="5" t="str">
        <f t="shared" si="485"/>
        <v>New Balance</v>
      </c>
      <c r="B4429" s="5" t="str">
        <f t="shared" si="487"/>
        <v>574 Core</v>
      </c>
      <c r="C4429" s="3">
        <f t="shared" si="486"/>
        <v>45953</v>
      </c>
      <c r="D4429" s="4">
        <f t="shared" ca="1" si="488"/>
        <v>235</v>
      </c>
      <c r="E4429" s="2">
        <f t="shared" ca="1" si="489"/>
        <v>8898</v>
      </c>
      <c r="F4429" s="2">
        <f t="shared" ca="1" si="490"/>
        <v>13121</v>
      </c>
      <c r="G4429" s="2">
        <f t="shared" ca="1" si="491"/>
        <v>635</v>
      </c>
    </row>
    <row r="4430" spans="1:7" x14ac:dyDescent="0.3">
      <c r="A4430" s="5" t="str">
        <f t="shared" si="485"/>
        <v>Reebok</v>
      </c>
      <c r="B4430" s="5" t="str">
        <f t="shared" si="487"/>
        <v>Club C 85</v>
      </c>
      <c r="C4430" s="3">
        <f t="shared" si="486"/>
        <v>45953</v>
      </c>
      <c r="D4430" s="4">
        <f t="shared" ca="1" si="488"/>
        <v>22</v>
      </c>
      <c r="E4430" s="2">
        <f t="shared" ca="1" si="489"/>
        <v>8301</v>
      </c>
      <c r="F4430" s="2">
        <f t="shared" ca="1" si="490"/>
        <v>23729</v>
      </c>
      <c r="G4430" s="2">
        <f t="shared" ca="1" si="491"/>
        <v>1540</v>
      </c>
    </row>
    <row r="4431" spans="1:7" x14ac:dyDescent="0.3">
      <c r="A4431" s="5" t="str">
        <f t="shared" si="485"/>
        <v>Nike</v>
      </c>
      <c r="B4431" s="5" t="str">
        <f t="shared" si="487"/>
        <v>Pegasus 40</v>
      </c>
      <c r="C4431" s="3">
        <f t="shared" si="486"/>
        <v>45953</v>
      </c>
      <c r="D4431" s="4">
        <f t="shared" ca="1" si="488"/>
        <v>150</v>
      </c>
      <c r="E4431" s="2">
        <f t="shared" ca="1" si="489"/>
        <v>10134</v>
      </c>
      <c r="F4431" s="2">
        <f t="shared" ca="1" si="490"/>
        <v>27688</v>
      </c>
      <c r="G4431" s="2">
        <f t="shared" ca="1" si="491"/>
        <v>906</v>
      </c>
    </row>
    <row r="4432" spans="1:7" x14ac:dyDescent="0.3">
      <c r="A4432" s="5" t="str">
        <f t="shared" si="485"/>
        <v>Adidas</v>
      </c>
      <c r="B4432" s="5" t="str">
        <f t="shared" si="487"/>
        <v>Gazelle</v>
      </c>
      <c r="C4432" s="3">
        <f t="shared" si="486"/>
        <v>45953</v>
      </c>
      <c r="D4432" s="4">
        <f t="shared" ca="1" si="488"/>
        <v>170</v>
      </c>
      <c r="E4432" s="2">
        <f t="shared" ca="1" si="489"/>
        <v>2185</v>
      </c>
      <c r="F4432" s="2">
        <f t="shared" ca="1" si="490"/>
        <v>5795</v>
      </c>
      <c r="G4432" s="2">
        <f t="shared" ca="1" si="491"/>
        <v>370</v>
      </c>
    </row>
    <row r="4433" spans="1:7" x14ac:dyDescent="0.3">
      <c r="A4433" s="5" t="str">
        <f t="shared" si="485"/>
        <v>Puma</v>
      </c>
      <c r="B4433" s="5" t="str">
        <f t="shared" si="487"/>
        <v>Slipstream</v>
      </c>
      <c r="C4433" s="3">
        <f t="shared" si="486"/>
        <v>45953</v>
      </c>
      <c r="D4433" s="4">
        <f t="shared" ca="1" si="488"/>
        <v>54</v>
      </c>
      <c r="E4433" s="2">
        <f t="shared" ca="1" si="489"/>
        <v>11883</v>
      </c>
      <c r="F4433" s="2">
        <f t="shared" ca="1" si="490"/>
        <v>17545</v>
      </c>
      <c r="G4433" s="2">
        <f t="shared" ca="1" si="491"/>
        <v>1022</v>
      </c>
    </row>
    <row r="4434" spans="1:7" x14ac:dyDescent="0.3">
      <c r="A4434" s="5" t="str">
        <f t="shared" si="485"/>
        <v>New Balance</v>
      </c>
      <c r="B4434" s="5" t="str">
        <f t="shared" si="487"/>
        <v>550</v>
      </c>
      <c r="C4434" s="3">
        <f t="shared" si="486"/>
        <v>45953</v>
      </c>
      <c r="D4434" s="4">
        <f t="shared" ca="1" si="488"/>
        <v>250</v>
      </c>
      <c r="E4434" s="2">
        <f t="shared" ca="1" si="489"/>
        <v>6040</v>
      </c>
      <c r="F4434" s="2">
        <f t="shared" ca="1" si="490"/>
        <v>14430</v>
      </c>
      <c r="G4434" s="2">
        <f t="shared" ca="1" si="491"/>
        <v>790</v>
      </c>
    </row>
    <row r="4435" spans="1:7" x14ac:dyDescent="0.3">
      <c r="A4435" s="5" t="str">
        <f t="shared" si="485"/>
        <v>Reebok</v>
      </c>
      <c r="B4435" s="5" t="str">
        <f t="shared" si="487"/>
        <v>Classic Leather</v>
      </c>
      <c r="C4435" s="3">
        <f t="shared" si="486"/>
        <v>45953</v>
      </c>
      <c r="D4435" s="4">
        <f t="shared" ca="1" si="488"/>
        <v>158</v>
      </c>
      <c r="E4435" s="2">
        <f t="shared" ca="1" si="489"/>
        <v>9558</v>
      </c>
      <c r="F4435" s="2">
        <f t="shared" ca="1" si="490"/>
        <v>10550</v>
      </c>
      <c r="G4435" s="2">
        <f t="shared" ca="1" si="491"/>
        <v>773</v>
      </c>
    </row>
    <row r="4436" spans="1:7" x14ac:dyDescent="0.3">
      <c r="A4436" s="5" t="str">
        <f t="shared" si="485"/>
        <v>Nike</v>
      </c>
      <c r="B4436" s="5" t="str">
        <f t="shared" si="487"/>
        <v>Air Force 1</v>
      </c>
      <c r="C4436" s="3">
        <f t="shared" si="486"/>
        <v>45953</v>
      </c>
      <c r="D4436" s="4">
        <f t="shared" ca="1" si="488"/>
        <v>33</v>
      </c>
      <c r="E4436" s="2">
        <f t="shared" ca="1" si="489"/>
        <v>10391</v>
      </c>
      <c r="F4436" s="2">
        <f t="shared" ca="1" si="490"/>
        <v>30353</v>
      </c>
      <c r="G4436" s="2">
        <f t="shared" ca="1" si="491"/>
        <v>897</v>
      </c>
    </row>
    <row r="4437" spans="1:7" x14ac:dyDescent="0.3">
      <c r="A4437" s="5" t="str">
        <f t="shared" si="485"/>
        <v>Adidas</v>
      </c>
      <c r="B4437" s="5" t="str">
        <f t="shared" si="487"/>
        <v>Superstar</v>
      </c>
      <c r="C4437" s="3">
        <f t="shared" si="486"/>
        <v>45953</v>
      </c>
      <c r="D4437" s="4">
        <f t="shared" ca="1" si="488"/>
        <v>92</v>
      </c>
      <c r="E4437" s="2">
        <f t="shared" ca="1" si="489"/>
        <v>3355</v>
      </c>
      <c r="F4437" s="2">
        <f t="shared" ca="1" si="490"/>
        <v>28058</v>
      </c>
      <c r="G4437" s="2">
        <f t="shared" ca="1" si="491"/>
        <v>2140</v>
      </c>
    </row>
    <row r="4438" spans="1:7" x14ac:dyDescent="0.3">
      <c r="A4438" s="5" t="str">
        <f t="shared" si="485"/>
        <v>Puma</v>
      </c>
      <c r="B4438" s="5" t="str">
        <f t="shared" si="487"/>
        <v>Rider Vintage</v>
      </c>
      <c r="C4438" s="3">
        <f t="shared" si="486"/>
        <v>45953</v>
      </c>
      <c r="D4438" s="4">
        <f t="shared" ca="1" si="488"/>
        <v>68</v>
      </c>
      <c r="E4438" s="2">
        <f t="shared" ca="1" si="489"/>
        <v>1875</v>
      </c>
      <c r="F4438" s="2">
        <f t="shared" ca="1" si="490"/>
        <v>27301</v>
      </c>
      <c r="G4438" s="2">
        <f t="shared" ca="1" si="491"/>
        <v>572</v>
      </c>
    </row>
    <row r="4439" spans="1:7" x14ac:dyDescent="0.3">
      <c r="A4439" s="5" t="str">
        <f t="shared" si="485"/>
        <v>New Balance</v>
      </c>
      <c r="B4439" s="5" t="str">
        <f t="shared" si="487"/>
        <v>327</v>
      </c>
      <c r="C4439" s="3">
        <f t="shared" si="486"/>
        <v>45953</v>
      </c>
      <c r="D4439" s="4">
        <f t="shared" ca="1" si="488"/>
        <v>99</v>
      </c>
      <c r="E4439" s="2">
        <f t="shared" ca="1" si="489"/>
        <v>7882</v>
      </c>
      <c r="F4439" s="2">
        <f t="shared" ca="1" si="490"/>
        <v>5586</v>
      </c>
      <c r="G4439" s="2">
        <f t="shared" ca="1" si="491"/>
        <v>358</v>
      </c>
    </row>
    <row r="4440" spans="1:7" x14ac:dyDescent="0.3">
      <c r="A4440" s="5" t="str">
        <f t="shared" si="485"/>
        <v>Reebok</v>
      </c>
      <c r="B4440" s="5" t="str">
        <f t="shared" si="487"/>
        <v>Question Mid</v>
      </c>
      <c r="C4440" s="3">
        <f t="shared" si="486"/>
        <v>45953</v>
      </c>
      <c r="D4440" s="4">
        <f t="shared" ca="1" si="488"/>
        <v>245</v>
      </c>
      <c r="E4440" s="2">
        <f t="shared" ca="1" si="489"/>
        <v>11885</v>
      </c>
      <c r="F4440" s="2">
        <f t="shared" ca="1" si="490"/>
        <v>30458</v>
      </c>
      <c r="G4440" s="2">
        <f t="shared" ca="1" si="491"/>
        <v>1697</v>
      </c>
    </row>
    <row r="4441" spans="1:7" x14ac:dyDescent="0.3">
      <c r="A4441" s="5" t="str">
        <f t="shared" si="485"/>
        <v>Nike</v>
      </c>
      <c r="B4441" s="5" t="str">
        <f t="shared" si="487"/>
        <v>Air Max 270</v>
      </c>
      <c r="C4441" s="3">
        <f t="shared" si="486"/>
        <v>45953</v>
      </c>
      <c r="D4441" s="4">
        <f t="shared" ca="1" si="488"/>
        <v>29</v>
      </c>
      <c r="E4441" s="2">
        <f t="shared" ca="1" si="489"/>
        <v>10307</v>
      </c>
      <c r="F4441" s="2">
        <f t="shared" ca="1" si="490"/>
        <v>21304</v>
      </c>
      <c r="G4441" s="2">
        <f t="shared" ca="1" si="491"/>
        <v>1544</v>
      </c>
    </row>
    <row r="4442" spans="1:7" x14ac:dyDescent="0.3">
      <c r="A4442" s="5" t="str">
        <f t="shared" si="485"/>
        <v>Adidas</v>
      </c>
      <c r="B4442" s="5" t="str">
        <f t="shared" si="487"/>
        <v>Stan Smith</v>
      </c>
      <c r="C4442" s="3">
        <f t="shared" si="486"/>
        <v>45954</v>
      </c>
      <c r="D4442" s="4">
        <f t="shared" ca="1" si="488"/>
        <v>93</v>
      </c>
      <c r="E4442" s="2">
        <f t="shared" ca="1" si="489"/>
        <v>5908</v>
      </c>
      <c r="F4442" s="2">
        <f t="shared" ca="1" si="490"/>
        <v>20386</v>
      </c>
      <c r="G4442" s="2">
        <f t="shared" ca="1" si="491"/>
        <v>531</v>
      </c>
    </row>
    <row r="4443" spans="1:7" x14ac:dyDescent="0.3">
      <c r="A4443" s="5" t="str">
        <f t="shared" si="485"/>
        <v>Puma</v>
      </c>
      <c r="B4443" s="5" t="str">
        <f t="shared" si="487"/>
        <v>Cali Dream</v>
      </c>
      <c r="C4443" s="3">
        <f t="shared" si="486"/>
        <v>45954</v>
      </c>
      <c r="D4443" s="4">
        <f t="shared" ca="1" si="488"/>
        <v>172</v>
      </c>
      <c r="E4443" s="2">
        <f t="shared" ca="1" si="489"/>
        <v>9502</v>
      </c>
      <c r="F4443" s="2">
        <f t="shared" ca="1" si="490"/>
        <v>15722</v>
      </c>
      <c r="G4443" s="2">
        <f t="shared" ca="1" si="491"/>
        <v>953</v>
      </c>
    </row>
    <row r="4444" spans="1:7" x14ac:dyDescent="0.3">
      <c r="A4444" s="5" t="str">
        <f t="shared" si="485"/>
        <v>New Balance</v>
      </c>
      <c r="B4444" s="5" t="str">
        <f t="shared" si="487"/>
        <v>9060</v>
      </c>
      <c r="C4444" s="3">
        <f t="shared" si="486"/>
        <v>45954</v>
      </c>
      <c r="D4444" s="4">
        <f t="shared" ca="1" si="488"/>
        <v>215</v>
      </c>
      <c r="E4444" s="2">
        <f t="shared" ca="1" si="489"/>
        <v>2906</v>
      </c>
      <c r="F4444" s="2">
        <f t="shared" ca="1" si="490"/>
        <v>21538</v>
      </c>
      <c r="G4444" s="2">
        <f t="shared" ca="1" si="491"/>
        <v>664</v>
      </c>
    </row>
    <row r="4445" spans="1:7" x14ac:dyDescent="0.3">
      <c r="A4445" s="5" t="str">
        <f t="shared" si="485"/>
        <v>Reebok</v>
      </c>
      <c r="B4445" s="5" t="str">
        <f t="shared" si="487"/>
        <v>Zig Kinetica</v>
      </c>
      <c r="C4445" s="3">
        <f t="shared" si="486"/>
        <v>45954</v>
      </c>
      <c r="D4445" s="4">
        <f t="shared" ca="1" si="488"/>
        <v>130</v>
      </c>
      <c r="E4445" s="2">
        <f t="shared" ca="1" si="489"/>
        <v>5749</v>
      </c>
      <c r="F4445" s="2">
        <f t="shared" ca="1" si="490"/>
        <v>15634</v>
      </c>
      <c r="G4445" s="2">
        <f t="shared" ca="1" si="491"/>
        <v>332</v>
      </c>
    </row>
    <row r="4446" spans="1:7" x14ac:dyDescent="0.3">
      <c r="A4446" s="5" t="str">
        <f t="shared" si="485"/>
        <v>Nike</v>
      </c>
      <c r="B4446" s="5" t="str">
        <f t="shared" si="487"/>
        <v>Jordan 1</v>
      </c>
      <c r="C4446" s="3">
        <f t="shared" si="486"/>
        <v>45954</v>
      </c>
      <c r="D4446" s="4">
        <f t="shared" ca="1" si="488"/>
        <v>166</v>
      </c>
      <c r="E4446" s="2">
        <f t="shared" ca="1" si="489"/>
        <v>3242</v>
      </c>
      <c r="F4446" s="2">
        <f t="shared" ca="1" si="490"/>
        <v>19551</v>
      </c>
      <c r="G4446" s="2">
        <f t="shared" ca="1" si="491"/>
        <v>1143</v>
      </c>
    </row>
    <row r="4447" spans="1:7" x14ac:dyDescent="0.3">
      <c r="A4447" s="5" t="str">
        <f t="shared" si="485"/>
        <v>Adidas</v>
      </c>
      <c r="B4447" s="5" t="str">
        <f t="shared" si="487"/>
        <v>Ultraboost 23</v>
      </c>
      <c r="C4447" s="3">
        <f t="shared" si="486"/>
        <v>45954</v>
      </c>
      <c r="D4447" s="4">
        <f t="shared" ca="1" si="488"/>
        <v>184</v>
      </c>
      <c r="E4447" s="2">
        <f t="shared" ca="1" si="489"/>
        <v>5311</v>
      </c>
      <c r="F4447" s="2">
        <f t="shared" ca="1" si="490"/>
        <v>11751</v>
      </c>
      <c r="G4447" s="2">
        <f t="shared" ca="1" si="491"/>
        <v>718</v>
      </c>
    </row>
    <row r="4448" spans="1:7" x14ac:dyDescent="0.3">
      <c r="A4448" s="5" t="str">
        <f t="shared" si="485"/>
        <v>Puma</v>
      </c>
      <c r="B4448" s="5" t="str">
        <f t="shared" si="487"/>
        <v>RS-X</v>
      </c>
      <c r="C4448" s="3">
        <f t="shared" si="486"/>
        <v>45954</v>
      </c>
      <c r="D4448" s="4">
        <f t="shared" ca="1" si="488"/>
        <v>103</v>
      </c>
      <c r="E4448" s="2">
        <f t="shared" ca="1" si="489"/>
        <v>6139</v>
      </c>
      <c r="F4448" s="2">
        <f t="shared" ca="1" si="490"/>
        <v>33494</v>
      </c>
      <c r="G4448" s="2">
        <f t="shared" ca="1" si="491"/>
        <v>1216</v>
      </c>
    </row>
    <row r="4449" spans="1:7" x14ac:dyDescent="0.3">
      <c r="A4449" s="5" t="str">
        <f t="shared" si="485"/>
        <v>New Balance</v>
      </c>
      <c r="B4449" s="5" t="str">
        <f t="shared" si="487"/>
        <v>2002R</v>
      </c>
      <c r="C4449" s="3">
        <f t="shared" si="486"/>
        <v>45954</v>
      </c>
      <c r="D4449" s="4">
        <f t="shared" ca="1" si="488"/>
        <v>236</v>
      </c>
      <c r="E4449" s="2">
        <f t="shared" ca="1" si="489"/>
        <v>8207</v>
      </c>
      <c r="F4449" s="2">
        <f t="shared" ca="1" si="490"/>
        <v>13498</v>
      </c>
      <c r="G4449" s="2">
        <f t="shared" ca="1" si="491"/>
        <v>484</v>
      </c>
    </row>
    <row r="4450" spans="1:7" x14ac:dyDescent="0.3">
      <c r="A4450" s="5" t="str">
        <f t="shared" si="485"/>
        <v>Reebok</v>
      </c>
      <c r="B4450" s="5" t="str">
        <f t="shared" si="487"/>
        <v>Instapump Fury</v>
      </c>
      <c r="C4450" s="3">
        <f t="shared" si="486"/>
        <v>45954</v>
      </c>
      <c r="D4450" s="4">
        <f t="shared" ca="1" si="488"/>
        <v>192</v>
      </c>
      <c r="E4450" s="2">
        <f t="shared" ca="1" si="489"/>
        <v>6343</v>
      </c>
      <c r="F4450" s="2">
        <f t="shared" ca="1" si="490"/>
        <v>9920</v>
      </c>
      <c r="G4450" s="2">
        <f t="shared" ca="1" si="491"/>
        <v>232</v>
      </c>
    </row>
    <row r="4451" spans="1:7" x14ac:dyDescent="0.3">
      <c r="A4451" s="5" t="str">
        <f t="shared" si="485"/>
        <v>Nike</v>
      </c>
      <c r="B4451" s="5" t="str">
        <f t="shared" si="487"/>
        <v>Cortez</v>
      </c>
      <c r="C4451" s="3">
        <f t="shared" si="486"/>
        <v>45954</v>
      </c>
      <c r="D4451" s="4">
        <f t="shared" ca="1" si="488"/>
        <v>77</v>
      </c>
      <c r="E4451" s="2">
        <f t="shared" ca="1" si="489"/>
        <v>9444</v>
      </c>
      <c r="F4451" s="2">
        <f t="shared" ca="1" si="490"/>
        <v>21941</v>
      </c>
      <c r="G4451" s="2">
        <f t="shared" ca="1" si="491"/>
        <v>1525</v>
      </c>
    </row>
    <row r="4452" spans="1:7" x14ac:dyDescent="0.3">
      <c r="A4452" s="5" t="str">
        <f t="shared" si="485"/>
        <v>Adidas</v>
      </c>
      <c r="B4452" s="5" t="str">
        <f t="shared" si="487"/>
        <v>NMD S1</v>
      </c>
      <c r="C4452" s="3">
        <f t="shared" si="486"/>
        <v>45954</v>
      </c>
      <c r="D4452" s="4">
        <f t="shared" ca="1" si="488"/>
        <v>235</v>
      </c>
      <c r="E4452" s="2">
        <f t="shared" ca="1" si="489"/>
        <v>8811</v>
      </c>
      <c r="F4452" s="2">
        <f t="shared" ca="1" si="490"/>
        <v>10502</v>
      </c>
      <c r="G4452" s="2">
        <f t="shared" ca="1" si="491"/>
        <v>570</v>
      </c>
    </row>
    <row r="4453" spans="1:7" x14ac:dyDescent="0.3">
      <c r="A4453" s="5" t="str">
        <f t="shared" si="485"/>
        <v>Puma</v>
      </c>
      <c r="B4453" s="5" t="str">
        <f t="shared" si="487"/>
        <v>Suede Classic</v>
      </c>
      <c r="C4453" s="3">
        <f t="shared" si="486"/>
        <v>45954</v>
      </c>
      <c r="D4453" s="4">
        <f t="shared" ca="1" si="488"/>
        <v>25</v>
      </c>
      <c r="E4453" s="2">
        <f t="shared" ca="1" si="489"/>
        <v>8007</v>
      </c>
      <c r="F4453" s="2">
        <f t="shared" ca="1" si="490"/>
        <v>26964</v>
      </c>
      <c r="G4453" s="2">
        <f t="shared" ca="1" si="491"/>
        <v>1199</v>
      </c>
    </row>
    <row r="4454" spans="1:7" x14ac:dyDescent="0.3">
      <c r="A4454" s="5" t="str">
        <f t="shared" si="485"/>
        <v>New Balance</v>
      </c>
      <c r="B4454" s="5" t="str">
        <f t="shared" si="487"/>
        <v>990v6</v>
      </c>
      <c r="C4454" s="3">
        <f t="shared" si="486"/>
        <v>45954</v>
      </c>
      <c r="D4454" s="4">
        <f t="shared" ca="1" si="488"/>
        <v>180</v>
      </c>
      <c r="E4454" s="2">
        <f t="shared" ca="1" si="489"/>
        <v>2034</v>
      </c>
      <c r="F4454" s="2">
        <f t="shared" ca="1" si="490"/>
        <v>11248</v>
      </c>
      <c r="G4454" s="2">
        <f t="shared" ca="1" si="491"/>
        <v>366</v>
      </c>
    </row>
    <row r="4455" spans="1:7" x14ac:dyDescent="0.3">
      <c r="A4455" s="5" t="str">
        <f t="shared" si="485"/>
        <v>Reebok</v>
      </c>
      <c r="B4455" s="5" t="str">
        <f t="shared" si="487"/>
        <v>Nano X3</v>
      </c>
      <c r="C4455" s="3">
        <f t="shared" si="486"/>
        <v>45954</v>
      </c>
      <c r="D4455" s="4">
        <f t="shared" ca="1" si="488"/>
        <v>43</v>
      </c>
      <c r="E4455" s="2">
        <f t="shared" ca="1" si="489"/>
        <v>8566</v>
      </c>
      <c r="F4455" s="2">
        <f t="shared" ca="1" si="490"/>
        <v>20011</v>
      </c>
      <c r="G4455" s="2">
        <f t="shared" ca="1" si="491"/>
        <v>1230</v>
      </c>
    </row>
    <row r="4456" spans="1:7" x14ac:dyDescent="0.3">
      <c r="A4456" s="5" t="str">
        <f t="shared" si="485"/>
        <v>Nike</v>
      </c>
      <c r="B4456" s="5" t="str">
        <f t="shared" si="487"/>
        <v>Vaporfly 3</v>
      </c>
      <c r="C4456" s="3">
        <f t="shared" si="486"/>
        <v>45954</v>
      </c>
      <c r="D4456" s="4">
        <f t="shared" ca="1" si="488"/>
        <v>146</v>
      </c>
      <c r="E4456" s="2">
        <f t="shared" ca="1" si="489"/>
        <v>9660</v>
      </c>
      <c r="F4456" s="2">
        <f t="shared" ca="1" si="490"/>
        <v>25499</v>
      </c>
      <c r="G4456" s="2">
        <f t="shared" ca="1" si="491"/>
        <v>2004</v>
      </c>
    </row>
    <row r="4457" spans="1:7" x14ac:dyDescent="0.3">
      <c r="A4457" s="5" t="str">
        <f t="shared" si="485"/>
        <v>Adidas</v>
      </c>
      <c r="B4457" s="5" t="str">
        <f t="shared" si="487"/>
        <v>Samba</v>
      </c>
      <c r="C4457" s="3">
        <f t="shared" si="486"/>
        <v>45955</v>
      </c>
      <c r="D4457" s="4">
        <f t="shared" ca="1" si="488"/>
        <v>198</v>
      </c>
      <c r="E4457" s="2">
        <f t="shared" ca="1" si="489"/>
        <v>4739</v>
      </c>
      <c r="F4457" s="2">
        <f t="shared" ca="1" si="490"/>
        <v>20232</v>
      </c>
      <c r="G4457" s="2">
        <f t="shared" ca="1" si="491"/>
        <v>1373</v>
      </c>
    </row>
    <row r="4458" spans="1:7" x14ac:dyDescent="0.3">
      <c r="A4458" s="5" t="str">
        <f t="shared" si="485"/>
        <v>Puma</v>
      </c>
      <c r="B4458" s="5" t="str">
        <f t="shared" si="487"/>
        <v>Mayze</v>
      </c>
      <c r="C4458" s="3">
        <f t="shared" si="486"/>
        <v>45955</v>
      </c>
      <c r="D4458" s="4">
        <f t="shared" ca="1" si="488"/>
        <v>203</v>
      </c>
      <c r="E4458" s="2">
        <f t="shared" ca="1" si="489"/>
        <v>9771</v>
      </c>
      <c r="F4458" s="2">
        <f t="shared" ca="1" si="490"/>
        <v>29609</v>
      </c>
      <c r="G4458" s="2">
        <f t="shared" ca="1" si="491"/>
        <v>2273</v>
      </c>
    </row>
    <row r="4459" spans="1:7" x14ac:dyDescent="0.3">
      <c r="A4459" s="5" t="str">
        <f t="shared" ref="A4459:A4522" si="492">CHOOSE(MOD(ROW(A4458),5)+1,"Nike","Adidas","Puma","New Balance","Reebok")</f>
        <v>New Balance</v>
      </c>
      <c r="B4459" s="5" t="str">
        <f t="shared" si="487"/>
        <v>574 Core</v>
      </c>
      <c r="C4459" s="3">
        <f t="shared" ref="C4459:C4522" si="493">DATE(2025,1,1)+INT((ROW(A4459)-2)/15)</f>
        <v>45955</v>
      </c>
      <c r="D4459" s="4">
        <f t="shared" ca="1" si="488"/>
        <v>204</v>
      </c>
      <c r="E4459" s="2">
        <f t="shared" ca="1" si="489"/>
        <v>8110</v>
      </c>
      <c r="F4459" s="2">
        <f t="shared" ca="1" si="490"/>
        <v>29080</v>
      </c>
      <c r="G4459" s="2">
        <f t="shared" ca="1" si="491"/>
        <v>1822</v>
      </c>
    </row>
    <row r="4460" spans="1:7" x14ac:dyDescent="0.3">
      <c r="A4460" s="5" t="str">
        <f t="shared" si="492"/>
        <v>Reebok</v>
      </c>
      <c r="B4460" s="5" t="str">
        <f t="shared" si="487"/>
        <v>Club C 85</v>
      </c>
      <c r="C4460" s="3">
        <f t="shared" si="493"/>
        <v>45955</v>
      </c>
      <c r="D4460" s="4">
        <f t="shared" ca="1" si="488"/>
        <v>79</v>
      </c>
      <c r="E4460" s="2">
        <f t="shared" ca="1" si="489"/>
        <v>9711</v>
      </c>
      <c r="F4460" s="2">
        <f t="shared" ca="1" si="490"/>
        <v>34781</v>
      </c>
      <c r="G4460" s="2">
        <f t="shared" ca="1" si="491"/>
        <v>2513</v>
      </c>
    </row>
    <row r="4461" spans="1:7" x14ac:dyDescent="0.3">
      <c r="A4461" s="5" t="str">
        <f t="shared" si="492"/>
        <v>Nike</v>
      </c>
      <c r="B4461" s="5" t="str">
        <f t="shared" si="487"/>
        <v>Pegasus 40</v>
      </c>
      <c r="C4461" s="3">
        <f t="shared" si="493"/>
        <v>45955</v>
      </c>
      <c r="D4461" s="4">
        <f t="shared" ca="1" si="488"/>
        <v>236</v>
      </c>
      <c r="E4461" s="2">
        <f t="shared" ca="1" si="489"/>
        <v>8142</v>
      </c>
      <c r="F4461" s="2">
        <f t="shared" ca="1" si="490"/>
        <v>30065</v>
      </c>
      <c r="G4461" s="2">
        <f t="shared" ca="1" si="491"/>
        <v>2174</v>
      </c>
    </row>
    <row r="4462" spans="1:7" x14ac:dyDescent="0.3">
      <c r="A4462" s="5" t="str">
        <f t="shared" si="492"/>
        <v>Adidas</v>
      </c>
      <c r="B4462" s="5" t="str">
        <f t="shared" si="487"/>
        <v>Gazelle</v>
      </c>
      <c r="C4462" s="3">
        <f t="shared" si="493"/>
        <v>45955</v>
      </c>
      <c r="D4462" s="4">
        <f t="shared" ca="1" si="488"/>
        <v>203</v>
      </c>
      <c r="E4462" s="2">
        <f t="shared" ca="1" si="489"/>
        <v>8406</v>
      </c>
      <c r="F4462" s="2">
        <f t="shared" ca="1" si="490"/>
        <v>21949</v>
      </c>
      <c r="G4462" s="2">
        <f t="shared" ca="1" si="491"/>
        <v>1472</v>
      </c>
    </row>
    <row r="4463" spans="1:7" x14ac:dyDescent="0.3">
      <c r="A4463" s="5" t="str">
        <f t="shared" si="492"/>
        <v>Puma</v>
      </c>
      <c r="B4463" s="5" t="str">
        <f t="shared" si="487"/>
        <v>Slipstream</v>
      </c>
      <c r="C4463" s="3">
        <f t="shared" si="493"/>
        <v>45955</v>
      </c>
      <c r="D4463" s="4">
        <f t="shared" ca="1" si="488"/>
        <v>114</v>
      </c>
      <c r="E4463" s="2">
        <f t="shared" ca="1" si="489"/>
        <v>8707</v>
      </c>
      <c r="F4463" s="2">
        <f t="shared" ca="1" si="490"/>
        <v>28656</v>
      </c>
      <c r="G4463" s="2">
        <f t="shared" ca="1" si="491"/>
        <v>2220</v>
      </c>
    </row>
    <row r="4464" spans="1:7" x14ac:dyDescent="0.3">
      <c r="A4464" s="5" t="str">
        <f t="shared" si="492"/>
        <v>New Balance</v>
      </c>
      <c r="B4464" s="5" t="str">
        <f t="shared" si="487"/>
        <v>550</v>
      </c>
      <c r="C4464" s="3">
        <f t="shared" si="493"/>
        <v>45955</v>
      </c>
      <c r="D4464" s="4">
        <f t="shared" ca="1" si="488"/>
        <v>114</v>
      </c>
      <c r="E4464" s="2">
        <f t="shared" ca="1" si="489"/>
        <v>5553</v>
      </c>
      <c r="F4464" s="2">
        <f t="shared" ca="1" si="490"/>
        <v>16989</v>
      </c>
      <c r="G4464" s="2">
        <f t="shared" ca="1" si="491"/>
        <v>378</v>
      </c>
    </row>
    <row r="4465" spans="1:7" x14ac:dyDescent="0.3">
      <c r="A4465" s="5" t="str">
        <f t="shared" si="492"/>
        <v>Reebok</v>
      </c>
      <c r="B4465" s="5" t="str">
        <f t="shared" si="487"/>
        <v>Classic Leather</v>
      </c>
      <c r="C4465" s="3">
        <f t="shared" si="493"/>
        <v>45955</v>
      </c>
      <c r="D4465" s="4">
        <f t="shared" ca="1" si="488"/>
        <v>143</v>
      </c>
      <c r="E4465" s="2">
        <f t="shared" ca="1" si="489"/>
        <v>12046</v>
      </c>
      <c r="F4465" s="2">
        <f t="shared" ca="1" si="490"/>
        <v>30099</v>
      </c>
      <c r="G4465" s="2">
        <f t="shared" ca="1" si="491"/>
        <v>1926</v>
      </c>
    </row>
    <row r="4466" spans="1:7" x14ac:dyDescent="0.3">
      <c r="A4466" s="5" t="str">
        <f t="shared" si="492"/>
        <v>Nike</v>
      </c>
      <c r="B4466" s="5" t="str">
        <f t="shared" si="487"/>
        <v>Air Force 1</v>
      </c>
      <c r="C4466" s="3">
        <f t="shared" si="493"/>
        <v>45955</v>
      </c>
      <c r="D4466" s="4">
        <f t="shared" ca="1" si="488"/>
        <v>176</v>
      </c>
      <c r="E4466" s="2">
        <f t="shared" ca="1" si="489"/>
        <v>7307</v>
      </c>
      <c r="F4466" s="2">
        <f t="shared" ca="1" si="490"/>
        <v>24560</v>
      </c>
      <c r="G4466" s="2">
        <f t="shared" ca="1" si="491"/>
        <v>1238</v>
      </c>
    </row>
    <row r="4467" spans="1:7" x14ac:dyDescent="0.3">
      <c r="A4467" s="5" t="str">
        <f t="shared" si="492"/>
        <v>Adidas</v>
      </c>
      <c r="B4467" s="5" t="str">
        <f t="shared" si="487"/>
        <v>Superstar</v>
      </c>
      <c r="C4467" s="3">
        <f t="shared" si="493"/>
        <v>45955</v>
      </c>
      <c r="D4467" s="4">
        <f t="shared" ca="1" si="488"/>
        <v>215</v>
      </c>
      <c r="E4467" s="2">
        <f t="shared" ca="1" si="489"/>
        <v>10081</v>
      </c>
      <c r="F4467" s="2">
        <f t="shared" ca="1" si="490"/>
        <v>25498</v>
      </c>
      <c r="G4467" s="2">
        <f t="shared" ca="1" si="491"/>
        <v>528</v>
      </c>
    </row>
    <row r="4468" spans="1:7" x14ac:dyDescent="0.3">
      <c r="A4468" s="5" t="str">
        <f t="shared" si="492"/>
        <v>Puma</v>
      </c>
      <c r="B4468" s="5" t="str">
        <f t="shared" si="487"/>
        <v>Rider Vintage</v>
      </c>
      <c r="C4468" s="3">
        <f t="shared" si="493"/>
        <v>45955</v>
      </c>
      <c r="D4468" s="4">
        <f t="shared" ca="1" si="488"/>
        <v>234</v>
      </c>
      <c r="E4468" s="2">
        <f t="shared" ca="1" si="489"/>
        <v>11011</v>
      </c>
      <c r="F4468" s="2">
        <f t="shared" ca="1" si="490"/>
        <v>29914</v>
      </c>
      <c r="G4468" s="2">
        <f t="shared" ca="1" si="491"/>
        <v>1034</v>
      </c>
    </row>
    <row r="4469" spans="1:7" x14ac:dyDescent="0.3">
      <c r="A4469" s="5" t="str">
        <f t="shared" si="492"/>
        <v>New Balance</v>
      </c>
      <c r="B4469" s="5" t="str">
        <f t="shared" si="487"/>
        <v>327</v>
      </c>
      <c r="C4469" s="3">
        <f t="shared" si="493"/>
        <v>45955</v>
      </c>
      <c r="D4469" s="4">
        <f t="shared" ca="1" si="488"/>
        <v>59</v>
      </c>
      <c r="E4469" s="2">
        <f t="shared" ca="1" si="489"/>
        <v>1812</v>
      </c>
      <c r="F4469" s="2">
        <f t="shared" ca="1" si="490"/>
        <v>33894</v>
      </c>
      <c r="G4469" s="2">
        <f t="shared" ca="1" si="491"/>
        <v>1685</v>
      </c>
    </row>
    <row r="4470" spans="1:7" x14ac:dyDescent="0.3">
      <c r="A4470" s="5" t="str">
        <f t="shared" si="492"/>
        <v>Reebok</v>
      </c>
      <c r="B4470" s="5" t="str">
        <f t="shared" si="487"/>
        <v>Question Mid</v>
      </c>
      <c r="C4470" s="3">
        <f t="shared" si="493"/>
        <v>45955</v>
      </c>
      <c r="D4470" s="4">
        <f t="shared" ca="1" si="488"/>
        <v>166</v>
      </c>
      <c r="E4470" s="2">
        <f t="shared" ca="1" si="489"/>
        <v>9824</v>
      </c>
      <c r="F4470" s="2">
        <f t="shared" ca="1" si="490"/>
        <v>32093</v>
      </c>
      <c r="G4470" s="2">
        <f t="shared" ca="1" si="491"/>
        <v>1308</v>
      </c>
    </row>
    <row r="4471" spans="1:7" x14ac:dyDescent="0.3">
      <c r="A4471" s="5" t="str">
        <f t="shared" si="492"/>
        <v>Nike</v>
      </c>
      <c r="B4471" s="5" t="str">
        <f t="shared" si="487"/>
        <v>Air Max 270</v>
      </c>
      <c r="C4471" s="3">
        <f t="shared" si="493"/>
        <v>45955</v>
      </c>
      <c r="D4471" s="4">
        <f t="shared" ca="1" si="488"/>
        <v>182</v>
      </c>
      <c r="E4471" s="2">
        <f t="shared" ca="1" si="489"/>
        <v>11803</v>
      </c>
      <c r="F4471" s="2">
        <f t="shared" ca="1" si="490"/>
        <v>9460</v>
      </c>
      <c r="G4471" s="2">
        <f t="shared" ca="1" si="491"/>
        <v>437</v>
      </c>
    </row>
    <row r="4472" spans="1:7" x14ac:dyDescent="0.3">
      <c r="A4472" s="5" t="str">
        <f t="shared" si="492"/>
        <v>Adidas</v>
      </c>
      <c r="B4472" s="5" t="str">
        <f t="shared" si="487"/>
        <v>Stan Smith</v>
      </c>
      <c r="C4472" s="3">
        <f t="shared" si="493"/>
        <v>45956</v>
      </c>
      <c r="D4472" s="4">
        <f t="shared" ca="1" si="488"/>
        <v>196</v>
      </c>
      <c r="E4472" s="2">
        <f t="shared" ca="1" si="489"/>
        <v>7779</v>
      </c>
      <c r="F4472" s="2">
        <f t="shared" ca="1" si="490"/>
        <v>22910</v>
      </c>
      <c r="G4472" s="2">
        <f t="shared" ca="1" si="491"/>
        <v>1273</v>
      </c>
    </row>
    <row r="4473" spans="1:7" x14ac:dyDescent="0.3">
      <c r="A4473" s="5" t="str">
        <f t="shared" si="492"/>
        <v>Puma</v>
      </c>
      <c r="B4473" s="5" t="str">
        <f t="shared" si="487"/>
        <v>Cali Dream</v>
      </c>
      <c r="C4473" s="3">
        <f t="shared" si="493"/>
        <v>45956</v>
      </c>
      <c r="D4473" s="4">
        <f t="shared" ca="1" si="488"/>
        <v>78</v>
      </c>
      <c r="E4473" s="2">
        <f t="shared" ca="1" si="489"/>
        <v>8083</v>
      </c>
      <c r="F4473" s="2">
        <f t="shared" ca="1" si="490"/>
        <v>32238</v>
      </c>
      <c r="G4473" s="2">
        <f t="shared" ca="1" si="491"/>
        <v>1025</v>
      </c>
    </row>
    <row r="4474" spans="1:7" x14ac:dyDescent="0.3">
      <c r="A4474" s="5" t="str">
        <f t="shared" si="492"/>
        <v>New Balance</v>
      </c>
      <c r="B4474" s="5" t="str">
        <f t="shared" si="487"/>
        <v>9060</v>
      </c>
      <c r="C4474" s="3">
        <f t="shared" si="493"/>
        <v>45956</v>
      </c>
      <c r="D4474" s="4">
        <f t="shared" ca="1" si="488"/>
        <v>242</v>
      </c>
      <c r="E4474" s="2">
        <f t="shared" ca="1" si="489"/>
        <v>8401</v>
      </c>
      <c r="F4474" s="2">
        <f t="shared" ca="1" si="490"/>
        <v>8031</v>
      </c>
      <c r="G4474" s="2">
        <f t="shared" ca="1" si="491"/>
        <v>285</v>
      </c>
    </row>
    <row r="4475" spans="1:7" x14ac:dyDescent="0.3">
      <c r="A4475" s="5" t="str">
        <f t="shared" si="492"/>
        <v>Reebok</v>
      </c>
      <c r="B4475" s="5" t="str">
        <f t="shared" si="487"/>
        <v>Zig Kinetica</v>
      </c>
      <c r="C4475" s="3">
        <f t="shared" si="493"/>
        <v>45956</v>
      </c>
      <c r="D4475" s="4">
        <f t="shared" ca="1" si="488"/>
        <v>46</v>
      </c>
      <c r="E4475" s="2">
        <f t="shared" ca="1" si="489"/>
        <v>7518</v>
      </c>
      <c r="F4475" s="2">
        <f t="shared" ca="1" si="490"/>
        <v>6043</v>
      </c>
      <c r="G4475" s="2">
        <f t="shared" ca="1" si="491"/>
        <v>238</v>
      </c>
    </row>
    <row r="4476" spans="1:7" x14ac:dyDescent="0.3">
      <c r="A4476" s="5" t="str">
        <f t="shared" si="492"/>
        <v>Nike</v>
      </c>
      <c r="B4476" s="5" t="str">
        <f t="shared" si="487"/>
        <v>Jordan 1</v>
      </c>
      <c r="C4476" s="3">
        <f t="shared" si="493"/>
        <v>45956</v>
      </c>
      <c r="D4476" s="4">
        <f t="shared" ca="1" si="488"/>
        <v>183</v>
      </c>
      <c r="E4476" s="2">
        <f t="shared" ca="1" si="489"/>
        <v>9146</v>
      </c>
      <c r="F4476" s="2">
        <f t="shared" ca="1" si="490"/>
        <v>16185</v>
      </c>
      <c r="G4476" s="2">
        <f t="shared" ca="1" si="491"/>
        <v>983</v>
      </c>
    </row>
    <row r="4477" spans="1:7" x14ac:dyDescent="0.3">
      <c r="A4477" s="5" t="str">
        <f t="shared" si="492"/>
        <v>Adidas</v>
      </c>
      <c r="B4477" s="5" t="str">
        <f t="shared" si="487"/>
        <v>Ultraboost 23</v>
      </c>
      <c r="C4477" s="3">
        <f t="shared" si="493"/>
        <v>45956</v>
      </c>
      <c r="D4477" s="4">
        <f t="shared" ca="1" si="488"/>
        <v>247</v>
      </c>
      <c r="E4477" s="2">
        <f t="shared" ca="1" si="489"/>
        <v>5985</v>
      </c>
      <c r="F4477" s="2">
        <f t="shared" ca="1" si="490"/>
        <v>14589</v>
      </c>
      <c r="G4477" s="2">
        <f t="shared" ca="1" si="491"/>
        <v>1088</v>
      </c>
    </row>
    <row r="4478" spans="1:7" x14ac:dyDescent="0.3">
      <c r="A4478" s="5" t="str">
        <f t="shared" si="492"/>
        <v>Puma</v>
      </c>
      <c r="B4478" s="5" t="str">
        <f t="shared" si="487"/>
        <v>RS-X</v>
      </c>
      <c r="C4478" s="3">
        <f t="shared" si="493"/>
        <v>45956</v>
      </c>
      <c r="D4478" s="4">
        <f t="shared" ca="1" si="488"/>
        <v>125</v>
      </c>
      <c r="E4478" s="2">
        <f t="shared" ca="1" si="489"/>
        <v>5545</v>
      </c>
      <c r="F4478" s="2">
        <f t="shared" ca="1" si="490"/>
        <v>11549</v>
      </c>
      <c r="G4478" s="2">
        <f t="shared" ca="1" si="491"/>
        <v>704</v>
      </c>
    </row>
    <row r="4479" spans="1:7" x14ac:dyDescent="0.3">
      <c r="A4479" s="5" t="str">
        <f t="shared" si="492"/>
        <v>New Balance</v>
      </c>
      <c r="B4479" s="5" t="str">
        <f t="shared" si="487"/>
        <v>2002R</v>
      </c>
      <c r="C4479" s="3">
        <f t="shared" si="493"/>
        <v>45956</v>
      </c>
      <c r="D4479" s="4">
        <f t="shared" ca="1" si="488"/>
        <v>218</v>
      </c>
      <c r="E4479" s="2">
        <f t="shared" ca="1" si="489"/>
        <v>2258</v>
      </c>
      <c r="F4479" s="2">
        <f t="shared" ca="1" si="490"/>
        <v>15859</v>
      </c>
      <c r="G4479" s="2">
        <f t="shared" ca="1" si="491"/>
        <v>655</v>
      </c>
    </row>
    <row r="4480" spans="1:7" x14ac:dyDescent="0.3">
      <c r="A4480" s="5" t="str">
        <f t="shared" si="492"/>
        <v>Reebok</v>
      </c>
      <c r="B4480" s="5" t="str">
        <f t="shared" si="487"/>
        <v>Instapump Fury</v>
      </c>
      <c r="C4480" s="3">
        <f t="shared" si="493"/>
        <v>45956</v>
      </c>
      <c r="D4480" s="4">
        <f t="shared" ca="1" si="488"/>
        <v>211</v>
      </c>
      <c r="E4480" s="2">
        <f t="shared" ca="1" si="489"/>
        <v>7991</v>
      </c>
      <c r="F4480" s="2">
        <f t="shared" ca="1" si="490"/>
        <v>12108</v>
      </c>
      <c r="G4480" s="2">
        <f t="shared" ca="1" si="491"/>
        <v>823</v>
      </c>
    </row>
    <row r="4481" spans="1:7" x14ac:dyDescent="0.3">
      <c r="A4481" s="5" t="str">
        <f t="shared" si="492"/>
        <v>Nike</v>
      </c>
      <c r="B4481" s="5" t="str">
        <f t="shared" si="487"/>
        <v>Cortez</v>
      </c>
      <c r="C4481" s="3">
        <f t="shared" si="493"/>
        <v>45956</v>
      </c>
      <c r="D4481" s="4">
        <f t="shared" ca="1" si="488"/>
        <v>36</v>
      </c>
      <c r="E4481" s="2">
        <f t="shared" ca="1" si="489"/>
        <v>9466</v>
      </c>
      <c r="F4481" s="2">
        <f t="shared" ca="1" si="490"/>
        <v>12706</v>
      </c>
      <c r="G4481" s="2">
        <f t="shared" ca="1" si="491"/>
        <v>466</v>
      </c>
    </row>
    <row r="4482" spans="1:7" x14ac:dyDescent="0.3">
      <c r="A4482" s="5" t="str">
        <f t="shared" si="492"/>
        <v>Adidas</v>
      </c>
      <c r="B4482" s="5" t="str">
        <f t="shared" si="487"/>
        <v>NMD S1</v>
      </c>
      <c r="C4482" s="3">
        <f t="shared" si="493"/>
        <v>45956</v>
      </c>
      <c r="D4482" s="4">
        <f t="shared" ca="1" si="488"/>
        <v>52</v>
      </c>
      <c r="E4482" s="2">
        <f t="shared" ca="1" si="489"/>
        <v>6573</v>
      </c>
      <c r="F4482" s="2">
        <f t="shared" ca="1" si="490"/>
        <v>19654</v>
      </c>
      <c r="G4482" s="2">
        <f t="shared" ca="1" si="491"/>
        <v>909</v>
      </c>
    </row>
    <row r="4483" spans="1:7" x14ac:dyDescent="0.3">
      <c r="A4483" s="5" t="str">
        <f t="shared" si="492"/>
        <v>Puma</v>
      </c>
      <c r="B4483" s="5" t="str">
        <f t="shared" ref="B4483:B4546" si="494">IF(A4483="Nike",CHOOSE(MOD(ROW(A4482),6)+1,"Air Max 270","Air Force 1","Pegasus 40","Vaporfly 3","Cortez","Jordan 1"),
 IF(A4483="Adidas",CHOOSE(MOD(ROW(A4482),6)+1,"Ultraboost 23","Stan Smith","Superstar","Gazelle","Samba","NMD S1"),
 IF(A4483="Puma",CHOOSE(MOD(ROW(A4482),6)+1,"Suede Classic","RS-X","Cali Dream","Rider Vintage","Slipstream","Mayze"),
 IF(A4483="New Balance",CHOOSE(MOD(ROW(A4482),6)+1,"574 Core","990v6","2002R","9060","327","550"),
 IF(A4483="Reebok",CHOOSE(MOD(ROW(A4482),6)+1,"Classic Leather","Club C 85","Nano X3","Instapump Fury","Zig Kinetica","Question Mid"),"")))))</f>
        <v>Suede Classic</v>
      </c>
      <c r="C4483" s="3">
        <f t="shared" si="493"/>
        <v>45956</v>
      </c>
      <c r="D4483" s="4">
        <f t="shared" ref="D4483:D4546" ca="1" si="495">RANDBETWEEN(20,250)</f>
        <v>59</v>
      </c>
      <c r="E4483" s="2">
        <f t="shared" ref="E4483:E4546" ca="1" si="496">ROUND(RANDBETWEEN(1500,12000)+(RANDBETWEEN(-200,200)),2)</f>
        <v>5761</v>
      </c>
      <c r="F4483" s="2">
        <f t="shared" ref="F4483:F4546" ca="1" si="497">RANDBETWEEN(5000,35000)</f>
        <v>19139</v>
      </c>
      <c r="G4483" s="2">
        <f t="shared" ref="G4483:G4546" ca="1" si="498">RANDBETWEEN(ROUND(F4483*0.02,0),ROUND(F4483*0.08,0))</f>
        <v>1214</v>
      </c>
    </row>
    <row r="4484" spans="1:7" x14ac:dyDescent="0.3">
      <c r="A4484" s="5" t="str">
        <f t="shared" si="492"/>
        <v>New Balance</v>
      </c>
      <c r="B4484" s="5" t="str">
        <f t="shared" si="494"/>
        <v>990v6</v>
      </c>
      <c r="C4484" s="3">
        <f t="shared" si="493"/>
        <v>45956</v>
      </c>
      <c r="D4484" s="4">
        <f t="shared" ca="1" si="495"/>
        <v>129</v>
      </c>
      <c r="E4484" s="2">
        <f t="shared" ca="1" si="496"/>
        <v>10909</v>
      </c>
      <c r="F4484" s="2">
        <f t="shared" ca="1" si="497"/>
        <v>29425</v>
      </c>
      <c r="G4484" s="2">
        <f t="shared" ca="1" si="498"/>
        <v>1955</v>
      </c>
    </row>
    <row r="4485" spans="1:7" x14ac:dyDescent="0.3">
      <c r="A4485" s="5" t="str">
        <f t="shared" si="492"/>
        <v>Reebok</v>
      </c>
      <c r="B4485" s="5" t="str">
        <f t="shared" si="494"/>
        <v>Nano X3</v>
      </c>
      <c r="C4485" s="3">
        <f t="shared" si="493"/>
        <v>45956</v>
      </c>
      <c r="D4485" s="4">
        <f t="shared" ca="1" si="495"/>
        <v>250</v>
      </c>
      <c r="E4485" s="2">
        <f t="shared" ca="1" si="496"/>
        <v>5091</v>
      </c>
      <c r="F4485" s="2">
        <f t="shared" ca="1" si="497"/>
        <v>16309</v>
      </c>
      <c r="G4485" s="2">
        <f t="shared" ca="1" si="498"/>
        <v>1003</v>
      </c>
    </row>
    <row r="4486" spans="1:7" x14ac:dyDescent="0.3">
      <c r="A4486" s="5" t="str">
        <f t="shared" si="492"/>
        <v>Nike</v>
      </c>
      <c r="B4486" s="5" t="str">
        <f t="shared" si="494"/>
        <v>Vaporfly 3</v>
      </c>
      <c r="C4486" s="3">
        <f t="shared" si="493"/>
        <v>45956</v>
      </c>
      <c r="D4486" s="4">
        <f t="shared" ca="1" si="495"/>
        <v>165</v>
      </c>
      <c r="E4486" s="2">
        <f t="shared" ca="1" si="496"/>
        <v>2174</v>
      </c>
      <c r="F4486" s="2">
        <f t="shared" ca="1" si="497"/>
        <v>34095</v>
      </c>
      <c r="G4486" s="2">
        <f t="shared" ca="1" si="498"/>
        <v>2431</v>
      </c>
    </row>
    <row r="4487" spans="1:7" x14ac:dyDescent="0.3">
      <c r="A4487" s="5" t="str">
        <f t="shared" si="492"/>
        <v>Adidas</v>
      </c>
      <c r="B4487" s="5" t="str">
        <f t="shared" si="494"/>
        <v>Samba</v>
      </c>
      <c r="C4487" s="3">
        <f t="shared" si="493"/>
        <v>45957</v>
      </c>
      <c r="D4487" s="4">
        <f t="shared" ca="1" si="495"/>
        <v>135</v>
      </c>
      <c r="E4487" s="2">
        <f t="shared" ca="1" si="496"/>
        <v>11890</v>
      </c>
      <c r="F4487" s="2">
        <f t="shared" ca="1" si="497"/>
        <v>30411</v>
      </c>
      <c r="G4487" s="2">
        <f t="shared" ca="1" si="498"/>
        <v>1196</v>
      </c>
    </row>
    <row r="4488" spans="1:7" x14ac:dyDescent="0.3">
      <c r="A4488" s="5" t="str">
        <f t="shared" si="492"/>
        <v>Puma</v>
      </c>
      <c r="B4488" s="5" t="str">
        <f t="shared" si="494"/>
        <v>Mayze</v>
      </c>
      <c r="C4488" s="3">
        <f t="shared" si="493"/>
        <v>45957</v>
      </c>
      <c r="D4488" s="4">
        <f t="shared" ca="1" si="495"/>
        <v>159</v>
      </c>
      <c r="E4488" s="2">
        <f t="shared" ca="1" si="496"/>
        <v>10969</v>
      </c>
      <c r="F4488" s="2">
        <f t="shared" ca="1" si="497"/>
        <v>6652</v>
      </c>
      <c r="G4488" s="2">
        <f t="shared" ca="1" si="498"/>
        <v>258</v>
      </c>
    </row>
    <row r="4489" spans="1:7" x14ac:dyDescent="0.3">
      <c r="A4489" s="5" t="str">
        <f t="shared" si="492"/>
        <v>New Balance</v>
      </c>
      <c r="B4489" s="5" t="str">
        <f t="shared" si="494"/>
        <v>574 Core</v>
      </c>
      <c r="C4489" s="3">
        <f t="shared" si="493"/>
        <v>45957</v>
      </c>
      <c r="D4489" s="4">
        <f t="shared" ca="1" si="495"/>
        <v>51</v>
      </c>
      <c r="E4489" s="2">
        <f t="shared" ca="1" si="496"/>
        <v>3394</v>
      </c>
      <c r="F4489" s="2">
        <f t="shared" ca="1" si="497"/>
        <v>24012</v>
      </c>
      <c r="G4489" s="2">
        <f t="shared" ca="1" si="498"/>
        <v>847</v>
      </c>
    </row>
    <row r="4490" spans="1:7" x14ac:dyDescent="0.3">
      <c r="A4490" s="5" t="str">
        <f t="shared" si="492"/>
        <v>Reebok</v>
      </c>
      <c r="B4490" s="5" t="str">
        <f t="shared" si="494"/>
        <v>Club C 85</v>
      </c>
      <c r="C4490" s="3">
        <f t="shared" si="493"/>
        <v>45957</v>
      </c>
      <c r="D4490" s="4">
        <f t="shared" ca="1" si="495"/>
        <v>206</v>
      </c>
      <c r="E4490" s="2">
        <f t="shared" ca="1" si="496"/>
        <v>9050</v>
      </c>
      <c r="F4490" s="2">
        <f t="shared" ca="1" si="497"/>
        <v>8781</v>
      </c>
      <c r="G4490" s="2">
        <f t="shared" ca="1" si="498"/>
        <v>365</v>
      </c>
    </row>
    <row r="4491" spans="1:7" x14ac:dyDescent="0.3">
      <c r="A4491" s="5" t="str">
        <f t="shared" si="492"/>
        <v>Nike</v>
      </c>
      <c r="B4491" s="5" t="str">
        <f t="shared" si="494"/>
        <v>Pegasus 40</v>
      </c>
      <c r="C4491" s="3">
        <f t="shared" si="493"/>
        <v>45957</v>
      </c>
      <c r="D4491" s="4">
        <f t="shared" ca="1" si="495"/>
        <v>234</v>
      </c>
      <c r="E4491" s="2">
        <f t="shared" ca="1" si="496"/>
        <v>7559</v>
      </c>
      <c r="F4491" s="2">
        <f t="shared" ca="1" si="497"/>
        <v>13699</v>
      </c>
      <c r="G4491" s="2">
        <f t="shared" ca="1" si="498"/>
        <v>847</v>
      </c>
    </row>
    <row r="4492" spans="1:7" x14ac:dyDescent="0.3">
      <c r="A4492" s="5" t="str">
        <f t="shared" si="492"/>
        <v>Adidas</v>
      </c>
      <c r="B4492" s="5" t="str">
        <f t="shared" si="494"/>
        <v>Gazelle</v>
      </c>
      <c r="C4492" s="3">
        <f t="shared" si="493"/>
        <v>45957</v>
      </c>
      <c r="D4492" s="4">
        <f t="shared" ca="1" si="495"/>
        <v>121</v>
      </c>
      <c r="E4492" s="2">
        <f t="shared" ca="1" si="496"/>
        <v>8489</v>
      </c>
      <c r="F4492" s="2">
        <f t="shared" ca="1" si="497"/>
        <v>29921</v>
      </c>
      <c r="G4492" s="2">
        <f t="shared" ca="1" si="498"/>
        <v>2251</v>
      </c>
    </row>
    <row r="4493" spans="1:7" x14ac:dyDescent="0.3">
      <c r="A4493" s="5" t="str">
        <f t="shared" si="492"/>
        <v>Puma</v>
      </c>
      <c r="B4493" s="5" t="str">
        <f t="shared" si="494"/>
        <v>Slipstream</v>
      </c>
      <c r="C4493" s="3">
        <f t="shared" si="493"/>
        <v>45957</v>
      </c>
      <c r="D4493" s="4">
        <f t="shared" ca="1" si="495"/>
        <v>241</v>
      </c>
      <c r="E4493" s="2">
        <f t="shared" ca="1" si="496"/>
        <v>6579</v>
      </c>
      <c r="F4493" s="2">
        <f t="shared" ca="1" si="497"/>
        <v>26711</v>
      </c>
      <c r="G4493" s="2">
        <f t="shared" ca="1" si="498"/>
        <v>1618</v>
      </c>
    </row>
    <row r="4494" spans="1:7" x14ac:dyDescent="0.3">
      <c r="A4494" s="5" t="str">
        <f t="shared" si="492"/>
        <v>New Balance</v>
      </c>
      <c r="B4494" s="5" t="str">
        <f t="shared" si="494"/>
        <v>550</v>
      </c>
      <c r="C4494" s="3">
        <f t="shared" si="493"/>
        <v>45957</v>
      </c>
      <c r="D4494" s="4">
        <f t="shared" ca="1" si="495"/>
        <v>229</v>
      </c>
      <c r="E4494" s="2">
        <f t="shared" ca="1" si="496"/>
        <v>11612</v>
      </c>
      <c r="F4494" s="2">
        <f t="shared" ca="1" si="497"/>
        <v>29547</v>
      </c>
      <c r="G4494" s="2">
        <f t="shared" ca="1" si="498"/>
        <v>1595</v>
      </c>
    </row>
    <row r="4495" spans="1:7" x14ac:dyDescent="0.3">
      <c r="A4495" s="5" t="str">
        <f t="shared" si="492"/>
        <v>Reebok</v>
      </c>
      <c r="B4495" s="5" t="str">
        <f t="shared" si="494"/>
        <v>Classic Leather</v>
      </c>
      <c r="C4495" s="3">
        <f t="shared" si="493"/>
        <v>45957</v>
      </c>
      <c r="D4495" s="4">
        <f t="shared" ca="1" si="495"/>
        <v>214</v>
      </c>
      <c r="E4495" s="2">
        <f t="shared" ca="1" si="496"/>
        <v>6684</v>
      </c>
      <c r="F4495" s="2">
        <f t="shared" ca="1" si="497"/>
        <v>19150</v>
      </c>
      <c r="G4495" s="2">
        <f t="shared" ca="1" si="498"/>
        <v>424</v>
      </c>
    </row>
    <row r="4496" spans="1:7" x14ac:dyDescent="0.3">
      <c r="A4496" s="5" t="str">
        <f t="shared" si="492"/>
        <v>Nike</v>
      </c>
      <c r="B4496" s="5" t="str">
        <f t="shared" si="494"/>
        <v>Air Force 1</v>
      </c>
      <c r="C4496" s="3">
        <f t="shared" si="493"/>
        <v>45957</v>
      </c>
      <c r="D4496" s="4">
        <f t="shared" ca="1" si="495"/>
        <v>194</v>
      </c>
      <c r="E4496" s="2">
        <f t="shared" ca="1" si="496"/>
        <v>2398</v>
      </c>
      <c r="F4496" s="2">
        <f t="shared" ca="1" si="497"/>
        <v>17877</v>
      </c>
      <c r="G4496" s="2">
        <f t="shared" ca="1" si="498"/>
        <v>504</v>
      </c>
    </row>
    <row r="4497" spans="1:7" x14ac:dyDescent="0.3">
      <c r="A4497" s="5" t="str">
        <f t="shared" si="492"/>
        <v>Adidas</v>
      </c>
      <c r="B4497" s="5" t="str">
        <f t="shared" si="494"/>
        <v>Superstar</v>
      </c>
      <c r="C4497" s="3">
        <f t="shared" si="493"/>
        <v>45957</v>
      </c>
      <c r="D4497" s="4">
        <f t="shared" ca="1" si="495"/>
        <v>56</v>
      </c>
      <c r="E4497" s="2">
        <f t="shared" ca="1" si="496"/>
        <v>8728</v>
      </c>
      <c r="F4497" s="2">
        <f t="shared" ca="1" si="497"/>
        <v>15547</v>
      </c>
      <c r="G4497" s="2">
        <f t="shared" ca="1" si="498"/>
        <v>842</v>
      </c>
    </row>
    <row r="4498" spans="1:7" x14ac:dyDescent="0.3">
      <c r="A4498" s="5" t="str">
        <f t="shared" si="492"/>
        <v>Puma</v>
      </c>
      <c r="B4498" s="5" t="str">
        <f t="shared" si="494"/>
        <v>Rider Vintage</v>
      </c>
      <c r="C4498" s="3">
        <f t="shared" si="493"/>
        <v>45957</v>
      </c>
      <c r="D4498" s="4">
        <f t="shared" ca="1" si="495"/>
        <v>193</v>
      </c>
      <c r="E4498" s="2">
        <f t="shared" ca="1" si="496"/>
        <v>6497</v>
      </c>
      <c r="F4498" s="2">
        <f t="shared" ca="1" si="497"/>
        <v>29338</v>
      </c>
      <c r="G4498" s="2">
        <f t="shared" ca="1" si="498"/>
        <v>1736</v>
      </c>
    </row>
    <row r="4499" spans="1:7" x14ac:dyDescent="0.3">
      <c r="A4499" s="5" t="str">
        <f t="shared" si="492"/>
        <v>New Balance</v>
      </c>
      <c r="B4499" s="5" t="str">
        <f t="shared" si="494"/>
        <v>327</v>
      </c>
      <c r="C4499" s="3">
        <f t="shared" si="493"/>
        <v>45957</v>
      </c>
      <c r="D4499" s="4">
        <f t="shared" ca="1" si="495"/>
        <v>110</v>
      </c>
      <c r="E4499" s="2">
        <f t="shared" ca="1" si="496"/>
        <v>12040</v>
      </c>
      <c r="F4499" s="2">
        <f t="shared" ca="1" si="497"/>
        <v>30106</v>
      </c>
      <c r="G4499" s="2">
        <f t="shared" ca="1" si="498"/>
        <v>2234</v>
      </c>
    </row>
    <row r="4500" spans="1:7" x14ac:dyDescent="0.3">
      <c r="A4500" s="5" t="str">
        <f t="shared" si="492"/>
        <v>Reebok</v>
      </c>
      <c r="B4500" s="5" t="str">
        <f t="shared" si="494"/>
        <v>Question Mid</v>
      </c>
      <c r="C4500" s="3">
        <f t="shared" si="493"/>
        <v>45957</v>
      </c>
      <c r="D4500" s="4">
        <f t="shared" ca="1" si="495"/>
        <v>46</v>
      </c>
      <c r="E4500" s="2">
        <f t="shared" ca="1" si="496"/>
        <v>8572</v>
      </c>
      <c r="F4500" s="2">
        <f t="shared" ca="1" si="497"/>
        <v>10860</v>
      </c>
      <c r="G4500" s="2">
        <f t="shared" ca="1" si="498"/>
        <v>642</v>
      </c>
    </row>
    <row r="4501" spans="1:7" x14ac:dyDescent="0.3">
      <c r="A4501" s="5" t="str">
        <f t="shared" si="492"/>
        <v>Nike</v>
      </c>
      <c r="B4501" s="5" t="str">
        <f t="shared" si="494"/>
        <v>Air Max 270</v>
      </c>
      <c r="C4501" s="3">
        <f t="shared" si="493"/>
        <v>45957</v>
      </c>
      <c r="D4501" s="4">
        <f t="shared" ca="1" si="495"/>
        <v>69</v>
      </c>
      <c r="E4501" s="2">
        <f t="shared" ca="1" si="496"/>
        <v>7398</v>
      </c>
      <c r="F4501" s="2">
        <f t="shared" ca="1" si="497"/>
        <v>29709</v>
      </c>
      <c r="G4501" s="2">
        <f t="shared" ca="1" si="498"/>
        <v>689</v>
      </c>
    </row>
    <row r="4502" spans="1:7" x14ac:dyDescent="0.3">
      <c r="A4502" s="5" t="str">
        <f t="shared" si="492"/>
        <v>Adidas</v>
      </c>
      <c r="B4502" s="5" t="str">
        <f t="shared" si="494"/>
        <v>Stan Smith</v>
      </c>
      <c r="C4502" s="3">
        <f t="shared" si="493"/>
        <v>45958</v>
      </c>
      <c r="D4502" s="4">
        <f t="shared" ca="1" si="495"/>
        <v>93</v>
      </c>
      <c r="E4502" s="2">
        <f t="shared" ca="1" si="496"/>
        <v>4362</v>
      </c>
      <c r="F4502" s="2">
        <f t="shared" ca="1" si="497"/>
        <v>7005</v>
      </c>
      <c r="G4502" s="2">
        <f t="shared" ca="1" si="498"/>
        <v>361</v>
      </c>
    </row>
    <row r="4503" spans="1:7" x14ac:dyDescent="0.3">
      <c r="A4503" s="5" t="str">
        <f t="shared" si="492"/>
        <v>Puma</v>
      </c>
      <c r="B4503" s="5" t="str">
        <f t="shared" si="494"/>
        <v>Cali Dream</v>
      </c>
      <c r="C4503" s="3">
        <f t="shared" si="493"/>
        <v>45958</v>
      </c>
      <c r="D4503" s="4">
        <f t="shared" ca="1" si="495"/>
        <v>209</v>
      </c>
      <c r="E4503" s="2">
        <f t="shared" ca="1" si="496"/>
        <v>7193</v>
      </c>
      <c r="F4503" s="2">
        <f t="shared" ca="1" si="497"/>
        <v>12776</v>
      </c>
      <c r="G4503" s="2">
        <f t="shared" ca="1" si="498"/>
        <v>778</v>
      </c>
    </row>
    <row r="4504" spans="1:7" x14ac:dyDescent="0.3">
      <c r="A4504" s="5" t="str">
        <f t="shared" si="492"/>
        <v>New Balance</v>
      </c>
      <c r="B4504" s="5" t="str">
        <f t="shared" si="494"/>
        <v>9060</v>
      </c>
      <c r="C4504" s="3">
        <f t="shared" si="493"/>
        <v>45958</v>
      </c>
      <c r="D4504" s="4">
        <f t="shared" ca="1" si="495"/>
        <v>250</v>
      </c>
      <c r="E4504" s="2">
        <f t="shared" ca="1" si="496"/>
        <v>7300</v>
      </c>
      <c r="F4504" s="2">
        <f t="shared" ca="1" si="497"/>
        <v>32148</v>
      </c>
      <c r="G4504" s="2">
        <f t="shared" ca="1" si="498"/>
        <v>1420</v>
      </c>
    </row>
    <row r="4505" spans="1:7" x14ac:dyDescent="0.3">
      <c r="A4505" s="5" t="str">
        <f t="shared" si="492"/>
        <v>Reebok</v>
      </c>
      <c r="B4505" s="5" t="str">
        <f t="shared" si="494"/>
        <v>Zig Kinetica</v>
      </c>
      <c r="C4505" s="3">
        <f t="shared" si="493"/>
        <v>45958</v>
      </c>
      <c r="D4505" s="4">
        <f t="shared" ca="1" si="495"/>
        <v>42</v>
      </c>
      <c r="E4505" s="2">
        <f t="shared" ca="1" si="496"/>
        <v>7818</v>
      </c>
      <c r="F4505" s="2">
        <f t="shared" ca="1" si="497"/>
        <v>23794</v>
      </c>
      <c r="G4505" s="2">
        <f t="shared" ca="1" si="498"/>
        <v>1625</v>
      </c>
    </row>
    <row r="4506" spans="1:7" x14ac:dyDescent="0.3">
      <c r="A4506" s="5" t="str">
        <f t="shared" si="492"/>
        <v>Nike</v>
      </c>
      <c r="B4506" s="5" t="str">
        <f t="shared" si="494"/>
        <v>Jordan 1</v>
      </c>
      <c r="C4506" s="3">
        <f t="shared" si="493"/>
        <v>45958</v>
      </c>
      <c r="D4506" s="4">
        <f t="shared" ca="1" si="495"/>
        <v>195</v>
      </c>
      <c r="E4506" s="2">
        <f t="shared" ca="1" si="496"/>
        <v>7402</v>
      </c>
      <c r="F4506" s="2">
        <f t="shared" ca="1" si="497"/>
        <v>26161</v>
      </c>
      <c r="G4506" s="2">
        <f t="shared" ca="1" si="498"/>
        <v>2048</v>
      </c>
    </row>
    <row r="4507" spans="1:7" x14ac:dyDescent="0.3">
      <c r="A4507" s="5" t="str">
        <f t="shared" si="492"/>
        <v>Adidas</v>
      </c>
      <c r="B4507" s="5" t="str">
        <f t="shared" si="494"/>
        <v>Ultraboost 23</v>
      </c>
      <c r="C4507" s="3">
        <f t="shared" si="493"/>
        <v>45958</v>
      </c>
      <c r="D4507" s="4">
        <f t="shared" ca="1" si="495"/>
        <v>28</v>
      </c>
      <c r="E4507" s="2">
        <f t="shared" ca="1" si="496"/>
        <v>1793</v>
      </c>
      <c r="F4507" s="2">
        <f t="shared" ca="1" si="497"/>
        <v>8740</v>
      </c>
      <c r="G4507" s="2">
        <f t="shared" ca="1" si="498"/>
        <v>699</v>
      </c>
    </row>
    <row r="4508" spans="1:7" x14ac:dyDescent="0.3">
      <c r="A4508" s="5" t="str">
        <f t="shared" si="492"/>
        <v>Puma</v>
      </c>
      <c r="B4508" s="5" t="str">
        <f t="shared" si="494"/>
        <v>RS-X</v>
      </c>
      <c r="C4508" s="3">
        <f t="shared" si="493"/>
        <v>45958</v>
      </c>
      <c r="D4508" s="4">
        <f t="shared" ca="1" si="495"/>
        <v>189</v>
      </c>
      <c r="E4508" s="2">
        <f t="shared" ca="1" si="496"/>
        <v>3923</v>
      </c>
      <c r="F4508" s="2">
        <f t="shared" ca="1" si="497"/>
        <v>5403</v>
      </c>
      <c r="G4508" s="2">
        <f t="shared" ca="1" si="498"/>
        <v>374</v>
      </c>
    </row>
    <row r="4509" spans="1:7" x14ac:dyDescent="0.3">
      <c r="A4509" s="5" t="str">
        <f t="shared" si="492"/>
        <v>New Balance</v>
      </c>
      <c r="B4509" s="5" t="str">
        <f t="shared" si="494"/>
        <v>2002R</v>
      </c>
      <c r="C4509" s="3">
        <f t="shared" si="493"/>
        <v>45958</v>
      </c>
      <c r="D4509" s="4">
        <f t="shared" ca="1" si="495"/>
        <v>179</v>
      </c>
      <c r="E4509" s="2">
        <f t="shared" ca="1" si="496"/>
        <v>7268</v>
      </c>
      <c r="F4509" s="2">
        <f t="shared" ca="1" si="497"/>
        <v>7647</v>
      </c>
      <c r="G4509" s="2">
        <f t="shared" ca="1" si="498"/>
        <v>535</v>
      </c>
    </row>
    <row r="4510" spans="1:7" x14ac:dyDescent="0.3">
      <c r="A4510" s="5" t="str">
        <f t="shared" si="492"/>
        <v>Reebok</v>
      </c>
      <c r="B4510" s="5" t="str">
        <f t="shared" si="494"/>
        <v>Instapump Fury</v>
      </c>
      <c r="C4510" s="3">
        <f t="shared" si="493"/>
        <v>45958</v>
      </c>
      <c r="D4510" s="4">
        <f t="shared" ca="1" si="495"/>
        <v>225</v>
      </c>
      <c r="E4510" s="2">
        <f t="shared" ca="1" si="496"/>
        <v>8711</v>
      </c>
      <c r="F4510" s="2">
        <f t="shared" ca="1" si="497"/>
        <v>10190</v>
      </c>
      <c r="G4510" s="2">
        <f t="shared" ca="1" si="498"/>
        <v>471</v>
      </c>
    </row>
    <row r="4511" spans="1:7" x14ac:dyDescent="0.3">
      <c r="A4511" s="5" t="str">
        <f t="shared" si="492"/>
        <v>Nike</v>
      </c>
      <c r="B4511" s="5" t="str">
        <f t="shared" si="494"/>
        <v>Cortez</v>
      </c>
      <c r="C4511" s="3">
        <f t="shared" si="493"/>
        <v>45958</v>
      </c>
      <c r="D4511" s="4">
        <f t="shared" ca="1" si="495"/>
        <v>84</v>
      </c>
      <c r="E4511" s="2">
        <f t="shared" ca="1" si="496"/>
        <v>10133</v>
      </c>
      <c r="F4511" s="2">
        <f t="shared" ca="1" si="497"/>
        <v>10357</v>
      </c>
      <c r="G4511" s="2">
        <f t="shared" ca="1" si="498"/>
        <v>262</v>
      </c>
    </row>
    <row r="4512" spans="1:7" x14ac:dyDescent="0.3">
      <c r="A4512" s="5" t="str">
        <f t="shared" si="492"/>
        <v>Adidas</v>
      </c>
      <c r="B4512" s="5" t="str">
        <f t="shared" si="494"/>
        <v>NMD S1</v>
      </c>
      <c r="C4512" s="3">
        <f t="shared" si="493"/>
        <v>45958</v>
      </c>
      <c r="D4512" s="4">
        <f t="shared" ca="1" si="495"/>
        <v>160</v>
      </c>
      <c r="E4512" s="2">
        <f t="shared" ca="1" si="496"/>
        <v>4482</v>
      </c>
      <c r="F4512" s="2">
        <f t="shared" ca="1" si="497"/>
        <v>12704</v>
      </c>
      <c r="G4512" s="2">
        <f t="shared" ca="1" si="498"/>
        <v>821</v>
      </c>
    </row>
    <row r="4513" spans="1:7" x14ac:dyDescent="0.3">
      <c r="A4513" s="5" t="str">
        <f t="shared" si="492"/>
        <v>Puma</v>
      </c>
      <c r="B4513" s="5" t="str">
        <f t="shared" si="494"/>
        <v>Suede Classic</v>
      </c>
      <c r="C4513" s="3">
        <f t="shared" si="493"/>
        <v>45958</v>
      </c>
      <c r="D4513" s="4">
        <f t="shared" ca="1" si="495"/>
        <v>216</v>
      </c>
      <c r="E4513" s="2">
        <f t="shared" ca="1" si="496"/>
        <v>5320</v>
      </c>
      <c r="F4513" s="2">
        <f t="shared" ca="1" si="497"/>
        <v>22827</v>
      </c>
      <c r="G4513" s="2">
        <f t="shared" ca="1" si="498"/>
        <v>1012</v>
      </c>
    </row>
    <row r="4514" spans="1:7" x14ac:dyDescent="0.3">
      <c r="A4514" s="5" t="str">
        <f t="shared" si="492"/>
        <v>New Balance</v>
      </c>
      <c r="B4514" s="5" t="str">
        <f t="shared" si="494"/>
        <v>990v6</v>
      </c>
      <c r="C4514" s="3">
        <f t="shared" si="493"/>
        <v>45958</v>
      </c>
      <c r="D4514" s="4">
        <f t="shared" ca="1" si="495"/>
        <v>152</v>
      </c>
      <c r="E4514" s="2">
        <f t="shared" ca="1" si="496"/>
        <v>4568</v>
      </c>
      <c r="F4514" s="2">
        <f t="shared" ca="1" si="497"/>
        <v>24869</v>
      </c>
      <c r="G4514" s="2">
        <f t="shared" ca="1" si="498"/>
        <v>720</v>
      </c>
    </row>
    <row r="4515" spans="1:7" x14ac:dyDescent="0.3">
      <c r="A4515" s="5" t="str">
        <f t="shared" si="492"/>
        <v>Reebok</v>
      </c>
      <c r="B4515" s="5" t="str">
        <f t="shared" si="494"/>
        <v>Nano X3</v>
      </c>
      <c r="C4515" s="3">
        <f t="shared" si="493"/>
        <v>45958</v>
      </c>
      <c r="D4515" s="4">
        <f t="shared" ca="1" si="495"/>
        <v>196</v>
      </c>
      <c r="E4515" s="2">
        <f t="shared" ca="1" si="496"/>
        <v>2513</v>
      </c>
      <c r="F4515" s="2">
        <f t="shared" ca="1" si="497"/>
        <v>28954</v>
      </c>
      <c r="G4515" s="2">
        <f t="shared" ca="1" si="498"/>
        <v>1853</v>
      </c>
    </row>
    <row r="4516" spans="1:7" x14ac:dyDescent="0.3">
      <c r="A4516" s="5" t="str">
        <f t="shared" si="492"/>
        <v>Nike</v>
      </c>
      <c r="B4516" s="5" t="str">
        <f t="shared" si="494"/>
        <v>Vaporfly 3</v>
      </c>
      <c r="C4516" s="3">
        <f t="shared" si="493"/>
        <v>45958</v>
      </c>
      <c r="D4516" s="4">
        <f t="shared" ca="1" si="495"/>
        <v>174</v>
      </c>
      <c r="E4516" s="2">
        <f t="shared" ca="1" si="496"/>
        <v>10344</v>
      </c>
      <c r="F4516" s="2">
        <f t="shared" ca="1" si="497"/>
        <v>20328</v>
      </c>
      <c r="G4516" s="2">
        <f t="shared" ca="1" si="498"/>
        <v>1163</v>
      </c>
    </row>
    <row r="4517" spans="1:7" x14ac:dyDescent="0.3">
      <c r="A4517" s="5" t="str">
        <f t="shared" si="492"/>
        <v>Adidas</v>
      </c>
      <c r="B4517" s="5" t="str">
        <f t="shared" si="494"/>
        <v>Samba</v>
      </c>
      <c r="C4517" s="3">
        <f t="shared" si="493"/>
        <v>45959</v>
      </c>
      <c r="D4517" s="4">
        <f t="shared" ca="1" si="495"/>
        <v>149</v>
      </c>
      <c r="E4517" s="2">
        <f t="shared" ca="1" si="496"/>
        <v>7560</v>
      </c>
      <c r="F4517" s="2">
        <f t="shared" ca="1" si="497"/>
        <v>6089</v>
      </c>
      <c r="G4517" s="2">
        <f t="shared" ca="1" si="498"/>
        <v>419</v>
      </c>
    </row>
    <row r="4518" spans="1:7" x14ac:dyDescent="0.3">
      <c r="A4518" s="5" t="str">
        <f t="shared" si="492"/>
        <v>Puma</v>
      </c>
      <c r="B4518" s="5" t="str">
        <f t="shared" si="494"/>
        <v>Mayze</v>
      </c>
      <c r="C4518" s="3">
        <f t="shared" si="493"/>
        <v>45959</v>
      </c>
      <c r="D4518" s="4">
        <f t="shared" ca="1" si="495"/>
        <v>224</v>
      </c>
      <c r="E4518" s="2">
        <f t="shared" ca="1" si="496"/>
        <v>2998</v>
      </c>
      <c r="F4518" s="2">
        <f t="shared" ca="1" si="497"/>
        <v>18716</v>
      </c>
      <c r="G4518" s="2">
        <f t="shared" ca="1" si="498"/>
        <v>1193</v>
      </c>
    </row>
    <row r="4519" spans="1:7" x14ac:dyDescent="0.3">
      <c r="A4519" s="5" t="str">
        <f t="shared" si="492"/>
        <v>New Balance</v>
      </c>
      <c r="B4519" s="5" t="str">
        <f t="shared" si="494"/>
        <v>574 Core</v>
      </c>
      <c r="C4519" s="3">
        <f t="shared" si="493"/>
        <v>45959</v>
      </c>
      <c r="D4519" s="4">
        <f t="shared" ca="1" si="495"/>
        <v>106</v>
      </c>
      <c r="E4519" s="2">
        <f t="shared" ca="1" si="496"/>
        <v>2046</v>
      </c>
      <c r="F4519" s="2">
        <f t="shared" ca="1" si="497"/>
        <v>13511</v>
      </c>
      <c r="G4519" s="2">
        <f t="shared" ca="1" si="498"/>
        <v>496</v>
      </c>
    </row>
    <row r="4520" spans="1:7" x14ac:dyDescent="0.3">
      <c r="A4520" s="5" t="str">
        <f t="shared" si="492"/>
        <v>Reebok</v>
      </c>
      <c r="B4520" s="5" t="str">
        <f t="shared" si="494"/>
        <v>Club C 85</v>
      </c>
      <c r="C4520" s="3">
        <f t="shared" si="493"/>
        <v>45959</v>
      </c>
      <c r="D4520" s="4">
        <f t="shared" ca="1" si="495"/>
        <v>91</v>
      </c>
      <c r="E4520" s="2">
        <f t="shared" ca="1" si="496"/>
        <v>11666</v>
      </c>
      <c r="F4520" s="2">
        <f t="shared" ca="1" si="497"/>
        <v>27751</v>
      </c>
      <c r="G4520" s="2">
        <f t="shared" ca="1" si="498"/>
        <v>868</v>
      </c>
    </row>
    <row r="4521" spans="1:7" x14ac:dyDescent="0.3">
      <c r="A4521" s="5" t="str">
        <f t="shared" si="492"/>
        <v>Nike</v>
      </c>
      <c r="B4521" s="5" t="str">
        <f t="shared" si="494"/>
        <v>Pegasus 40</v>
      </c>
      <c r="C4521" s="3">
        <f t="shared" si="493"/>
        <v>45959</v>
      </c>
      <c r="D4521" s="4">
        <f t="shared" ca="1" si="495"/>
        <v>154</v>
      </c>
      <c r="E4521" s="2">
        <f t="shared" ca="1" si="496"/>
        <v>1992</v>
      </c>
      <c r="F4521" s="2">
        <f t="shared" ca="1" si="497"/>
        <v>12719</v>
      </c>
      <c r="G4521" s="2">
        <f t="shared" ca="1" si="498"/>
        <v>519</v>
      </c>
    </row>
    <row r="4522" spans="1:7" x14ac:dyDescent="0.3">
      <c r="A4522" s="5" t="str">
        <f t="shared" si="492"/>
        <v>Adidas</v>
      </c>
      <c r="B4522" s="5" t="str">
        <f t="shared" si="494"/>
        <v>Gazelle</v>
      </c>
      <c r="C4522" s="3">
        <f t="shared" si="493"/>
        <v>45959</v>
      </c>
      <c r="D4522" s="4">
        <f t="shared" ca="1" si="495"/>
        <v>209</v>
      </c>
      <c r="E4522" s="2">
        <f t="shared" ca="1" si="496"/>
        <v>7998</v>
      </c>
      <c r="F4522" s="2">
        <f t="shared" ca="1" si="497"/>
        <v>28120</v>
      </c>
      <c r="G4522" s="2">
        <f t="shared" ca="1" si="498"/>
        <v>1242</v>
      </c>
    </row>
    <row r="4523" spans="1:7" x14ac:dyDescent="0.3">
      <c r="A4523" s="5" t="str">
        <f t="shared" ref="A4523:A4586" si="499">CHOOSE(MOD(ROW(A4522),5)+1,"Nike","Adidas","Puma","New Balance","Reebok")</f>
        <v>Puma</v>
      </c>
      <c r="B4523" s="5" t="str">
        <f t="shared" si="494"/>
        <v>Slipstream</v>
      </c>
      <c r="C4523" s="3">
        <f t="shared" ref="C4523:C4586" si="500">DATE(2025,1,1)+INT((ROW(A4523)-2)/15)</f>
        <v>45959</v>
      </c>
      <c r="D4523" s="4">
        <f t="shared" ca="1" si="495"/>
        <v>83</v>
      </c>
      <c r="E4523" s="2">
        <f t="shared" ca="1" si="496"/>
        <v>5769</v>
      </c>
      <c r="F4523" s="2">
        <f t="shared" ca="1" si="497"/>
        <v>6302</v>
      </c>
      <c r="G4523" s="2">
        <f t="shared" ca="1" si="498"/>
        <v>421</v>
      </c>
    </row>
    <row r="4524" spans="1:7" x14ac:dyDescent="0.3">
      <c r="A4524" s="5" t="str">
        <f t="shared" si="499"/>
        <v>New Balance</v>
      </c>
      <c r="B4524" s="5" t="str">
        <f t="shared" si="494"/>
        <v>550</v>
      </c>
      <c r="C4524" s="3">
        <f t="shared" si="500"/>
        <v>45959</v>
      </c>
      <c r="D4524" s="4">
        <f t="shared" ca="1" si="495"/>
        <v>55</v>
      </c>
      <c r="E4524" s="2">
        <f t="shared" ca="1" si="496"/>
        <v>9540</v>
      </c>
      <c r="F4524" s="2">
        <f t="shared" ca="1" si="497"/>
        <v>9308</v>
      </c>
      <c r="G4524" s="2">
        <f t="shared" ca="1" si="498"/>
        <v>622</v>
      </c>
    </row>
    <row r="4525" spans="1:7" x14ac:dyDescent="0.3">
      <c r="A4525" s="5" t="str">
        <f t="shared" si="499"/>
        <v>Reebok</v>
      </c>
      <c r="B4525" s="5" t="str">
        <f t="shared" si="494"/>
        <v>Classic Leather</v>
      </c>
      <c r="C4525" s="3">
        <f t="shared" si="500"/>
        <v>45959</v>
      </c>
      <c r="D4525" s="4">
        <f t="shared" ca="1" si="495"/>
        <v>84</v>
      </c>
      <c r="E4525" s="2">
        <f t="shared" ca="1" si="496"/>
        <v>6846</v>
      </c>
      <c r="F4525" s="2">
        <f t="shared" ca="1" si="497"/>
        <v>10629</v>
      </c>
      <c r="G4525" s="2">
        <f t="shared" ca="1" si="498"/>
        <v>673</v>
      </c>
    </row>
    <row r="4526" spans="1:7" x14ac:dyDescent="0.3">
      <c r="A4526" s="5" t="str">
        <f t="shared" si="499"/>
        <v>Nike</v>
      </c>
      <c r="B4526" s="5" t="str">
        <f t="shared" si="494"/>
        <v>Air Force 1</v>
      </c>
      <c r="C4526" s="3">
        <f t="shared" si="500"/>
        <v>45959</v>
      </c>
      <c r="D4526" s="4">
        <f t="shared" ca="1" si="495"/>
        <v>131</v>
      </c>
      <c r="E4526" s="2">
        <f t="shared" ca="1" si="496"/>
        <v>5446</v>
      </c>
      <c r="F4526" s="2">
        <f t="shared" ca="1" si="497"/>
        <v>25732</v>
      </c>
      <c r="G4526" s="2">
        <f t="shared" ca="1" si="498"/>
        <v>1589</v>
      </c>
    </row>
    <row r="4527" spans="1:7" x14ac:dyDescent="0.3">
      <c r="A4527" s="5" t="str">
        <f t="shared" si="499"/>
        <v>Adidas</v>
      </c>
      <c r="B4527" s="5" t="str">
        <f t="shared" si="494"/>
        <v>Superstar</v>
      </c>
      <c r="C4527" s="3">
        <f t="shared" si="500"/>
        <v>45959</v>
      </c>
      <c r="D4527" s="4">
        <f t="shared" ca="1" si="495"/>
        <v>152</v>
      </c>
      <c r="E4527" s="2">
        <f t="shared" ca="1" si="496"/>
        <v>11423</v>
      </c>
      <c r="F4527" s="2">
        <f t="shared" ca="1" si="497"/>
        <v>10372</v>
      </c>
      <c r="G4527" s="2">
        <f t="shared" ca="1" si="498"/>
        <v>276</v>
      </c>
    </row>
    <row r="4528" spans="1:7" x14ac:dyDescent="0.3">
      <c r="A4528" s="5" t="str">
        <f t="shared" si="499"/>
        <v>Puma</v>
      </c>
      <c r="B4528" s="5" t="str">
        <f t="shared" si="494"/>
        <v>Rider Vintage</v>
      </c>
      <c r="C4528" s="3">
        <f t="shared" si="500"/>
        <v>45959</v>
      </c>
      <c r="D4528" s="4">
        <f t="shared" ca="1" si="495"/>
        <v>95</v>
      </c>
      <c r="E4528" s="2">
        <f t="shared" ca="1" si="496"/>
        <v>6959</v>
      </c>
      <c r="F4528" s="2">
        <f t="shared" ca="1" si="497"/>
        <v>25166</v>
      </c>
      <c r="G4528" s="2">
        <f t="shared" ca="1" si="498"/>
        <v>1176</v>
      </c>
    </row>
    <row r="4529" spans="1:7" x14ac:dyDescent="0.3">
      <c r="A4529" s="5" t="str">
        <f t="shared" si="499"/>
        <v>New Balance</v>
      </c>
      <c r="B4529" s="5" t="str">
        <f t="shared" si="494"/>
        <v>327</v>
      </c>
      <c r="C4529" s="3">
        <f t="shared" si="500"/>
        <v>45959</v>
      </c>
      <c r="D4529" s="4">
        <f t="shared" ca="1" si="495"/>
        <v>138</v>
      </c>
      <c r="E4529" s="2">
        <f t="shared" ca="1" si="496"/>
        <v>11208</v>
      </c>
      <c r="F4529" s="2">
        <f t="shared" ca="1" si="497"/>
        <v>13785</v>
      </c>
      <c r="G4529" s="2">
        <f t="shared" ca="1" si="498"/>
        <v>657</v>
      </c>
    </row>
    <row r="4530" spans="1:7" x14ac:dyDescent="0.3">
      <c r="A4530" s="5" t="str">
        <f t="shared" si="499"/>
        <v>Reebok</v>
      </c>
      <c r="B4530" s="5" t="str">
        <f t="shared" si="494"/>
        <v>Question Mid</v>
      </c>
      <c r="C4530" s="3">
        <f t="shared" si="500"/>
        <v>45959</v>
      </c>
      <c r="D4530" s="4">
        <f t="shared" ca="1" si="495"/>
        <v>78</v>
      </c>
      <c r="E4530" s="2">
        <f t="shared" ca="1" si="496"/>
        <v>8153</v>
      </c>
      <c r="F4530" s="2">
        <f t="shared" ca="1" si="497"/>
        <v>34720</v>
      </c>
      <c r="G4530" s="2">
        <f t="shared" ca="1" si="498"/>
        <v>1549</v>
      </c>
    </row>
    <row r="4531" spans="1:7" x14ac:dyDescent="0.3">
      <c r="A4531" s="5" t="str">
        <f t="shared" si="499"/>
        <v>Nike</v>
      </c>
      <c r="B4531" s="5" t="str">
        <f t="shared" si="494"/>
        <v>Air Max 270</v>
      </c>
      <c r="C4531" s="3">
        <f t="shared" si="500"/>
        <v>45959</v>
      </c>
      <c r="D4531" s="4">
        <f t="shared" ca="1" si="495"/>
        <v>37</v>
      </c>
      <c r="E4531" s="2">
        <f t="shared" ca="1" si="496"/>
        <v>10809</v>
      </c>
      <c r="F4531" s="2">
        <f t="shared" ca="1" si="497"/>
        <v>19162</v>
      </c>
      <c r="G4531" s="2">
        <f t="shared" ca="1" si="498"/>
        <v>899</v>
      </c>
    </row>
    <row r="4532" spans="1:7" x14ac:dyDescent="0.3">
      <c r="A4532" s="5" t="str">
        <f t="shared" si="499"/>
        <v>Adidas</v>
      </c>
      <c r="B4532" s="5" t="str">
        <f t="shared" si="494"/>
        <v>Stan Smith</v>
      </c>
      <c r="C4532" s="3">
        <f t="shared" si="500"/>
        <v>45960</v>
      </c>
      <c r="D4532" s="4">
        <f t="shared" ca="1" si="495"/>
        <v>29</v>
      </c>
      <c r="E4532" s="2">
        <f t="shared" ca="1" si="496"/>
        <v>10378</v>
      </c>
      <c r="F4532" s="2">
        <f t="shared" ca="1" si="497"/>
        <v>24113</v>
      </c>
      <c r="G4532" s="2">
        <f t="shared" ca="1" si="498"/>
        <v>1822</v>
      </c>
    </row>
    <row r="4533" spans="1:7" x14ac:dyDescent="0.3">
      <c r="A4533" s="5" t="str">
        <f t="shared" si="499"/>
        <v>Puma</v>
      </c>
      <c r="B4533" s="5" t="str">
        <f t="shared" si="494"/>
        <v>Cali Dream</v>
      </c>
      <c r="C4533" s="3">
        <f t="shared" si="500"/>
        <v>45960</v>
      </c>
      <c r="D4533" s="4">
        <f t="shared" ca="1" si="495"/>
        <v>93</v>
      </c>
      <c r="E4533" s="2">
        <f t="shared" ca="1" si="496"/>
        <v>7550</v>
      </c>
      <c r="F4533" s="2">
        <f t="shared" ca="1" si="497"/>
        <v>12961</v>
      </c>
      <c r="G4533" s="2">
        <f t="shared" ca="1" si="498"/>
        <v>1001</v>
      </c>
    </row>
    <row r="4534" spans="1:7" x14ac:dyDescent="0.3">
      <c r="A4534" s="5" t="str">
        <f t="shared" si="499"/>
        <v>New Balance</v>
      </c>
      <c r="B4534" s="5" t="str">
        <f t="shared" si="494"/>
        <v>9060</v>
      </c>
      <c r="C4534" s="3">
        <f t="shared" si="500"/>
        <v>45960</v>
      </c>
      <c r="D4534" s="4">
        <f t="shared" ca="1" si="495"/>
        <v>45</v>
      </c>
      <c r="E4534" s="2">
        <f t="shared" ca="1" si="496"/>
        <v>6074</v>
      </c>
      <c r="F4534" s="2">
        <f t="shared" ca="1" si="497"/>
        <v>22149</v>
      </c>
      <c r="G4534" s="2">
        <f t="shared" ca="1" si="498"/>
        <v>504</v>
      </c>
    </row>
    <row r="4535" spans="1:7" x14ac:dyDescent="0.3">
      <c r="A4535" s="5" t="str">
        <f t="shared" si="499"/>
        <v>Reebok</v>
      </c>
      <c r="B4535" s="5" t="str">
        <f t="shared" si="494"/>
        <v>Zig Kinetica</v>
      </c>
      <c r="C4535" s="3">
        <f t="shared" si="500"/>
        <v>45960</v>
      </c>
      <c r="D4535" s="4">
        <f t="shared" ca="1" si="495"/>
        <v>152</v>
      </c>
      <c r="E4535" s="2">
        <f t="shared" ca="1" si="496"/>
        <v>2853</v>
      </c>
      <c r="F4535" s="2">
        <f t="shared" ca="1" si="497"/>
        <v>12584</v>
      </c>
      <c r="G4535" s="2">
        <f t="shared" ca="1" si="498"/>
        <v>706</v>
      </c>
    </row>
    <row r="4536" spans="1:7" x14ac:dyDescent="0.3">
      <c r="A4536" s="5" t="str">
        <f t="shared" si="499"/>
        <v>Nike</v>
      </c>
      <c r="B4536" s="5" t="str">
        <f t="shared" si="494"/>
        <v>Jordan 1</v>
      </c>
      <c r="C4536" s="3">
        <f t="shared" si="500"/>
        <v>45960</v>
      </c>
      <c r="D4536" s="4">
        <f t="shared" ca="1" si="495"/>
        <v>96</v>
      </c>
      <c r="E4536" s="2">
        <f t="shared" ca="1" si="496"/>
        <v>9933</v>
      </c>
      <c r="F4536" s="2">
        <f t="shared" ca="1" si="497"/>
        <v>18871</v>
      </c>
      <c r="G4536" s="2">
        <f t="shared" ca="1" si="498"/>
        <v>924</v>
      </c>
    </row>
    <row r="4537" spans="1:7" x14ac:dyDescent="0.3">
      <c r="A4537" s="5" t="str">
        <f t="shared" si="499"/>
        <v>Adidas</v>
      </c>
      <c r="B4537" s="5" t="str">
        <f t="shared" si="494"/>
        <v>Ultraboost 23</v>
      </c>
      <c r="C4537" s="3">
        <f t="shared" si="500"/>
        <v>45960</v>
      </c>
      <c r="D4537" s="4">
        <f t="shared" ca="1" si="495"/>
        <v>44</v>
      </c>
      <c r="E4537" s="2">
        <f t="shared" ca="1" si="496"/>
        <v>8684</v>
      </c>
      <c r="F4537" s="2">
        <f t="shared" ca="1" si="497"/>
        <v>26768</v>
      </c>
      <c r="G4537" s="2">
        <f t="shared" ca="1" si="498"/>
        <v>546</v>
      </c>
    </row>
    <row r="4538" spans="1:7" x14ac:dyDescent="0.3">
      <c r="A4538" s="5" t="str">
        <f t="shared" si="499"/>
        <v>Puma</v>
      </c>
      <c r="B4538" s="5" t="str">
        <f t="shared" si="494"/>
        <v>RS-X</v>
      </c>
      <c r="C4538" s="3">
        <f t="shared" si="500"/>
        <v>45960</v>
      </c>
      <c r="D4538" s="4">
        <f t="shared" ca="1" si="495"/>
        <v>41</v>
      </c>
      <c r="E4538" s="2">
        <f t="shared" ca="1" si="496"/>
        <v>8882</v>
      </c>
      <c r="F4538" s="2">
        <f t="shared" ca="1" si="497"/>
        <v>21005</v>
      </c>
      <c r="G4538" s="2">
        <f t="shared" ca="1" si="498"/>
        <v>1443</v>
      </c>
    </row>
    <row r="4539" spans="1:7" x14ac:dyDescent="0.3">
      <c r="A4539" s="5" t="str">
        <f t="shared" si="499"/>
        <v>New Balance</v>
      </c>
      <c r="B4539" s="5" t="str">
        <f t="shared" si="494"/>
        <v>2002R</v>
      </c>
      <c r="C4539" s="3">
        <f t="shared" si="500"/>
        <v>45960</v>
      </c>
      <c r="D4539" s="4">
        <f t="shared" ca="1" si="495"/>
        <v>156</v>
      </c>
      <c r="E4539" s="2">
        <f t="shared" ca="1" si="496"/>
        <v>4154</v>
      </c>
      <c r="F4539" s="2">
        <f t="shared" ca="1" si="497"/>
        <v>20287</v>
      </c>
      <c r="G4539" s="2">
        <f t="shared" ca="1" si="498"/>
        <v>1320</v>
      </c>
    </row>
    <row r="4540" spans="1:7" x14ac:dyDescent="0.3">
      <c r="A4540" s="5" t="str">
        <f t="shared" si="499"/>
        <v>Reebok</v>
      </c>
      <c r="B4540" s="5" t="str">
        <f t="shared" si="494"/>
        <v>Instapump Fury</v>
      </c>
      <c r="C4540" s="3">
        <f t="shared" si="500"/>
        <v>45960</v>
      </c>
      <c r="D4540" s="4">
        <f t="shared" ca="1" si="495"/>
        <v>189</v>
      </c>
      <c r="E4540" s="2">
        <f t="shared" ca="1" si="496"/>
        <v>3280</v>
      </c>
      <c r="F4540" s="2">
        <f t="shared" ca="1" si="497"/>
        <v>10626</v>
      </c>
      <c r="G4540" s="2">
        <f t="shared" ca="1" si="498"/>
        <v>317</v>
      </c>
    </row>
    <row r="4541" spans="1:7" x14ac:dyDescent="0.3">
      <c r="A4541" s="5" t="str">
        <f t="shared" si="499"/>
        <v>Nike</v>
      </c>
      <c r="B4541" s="5" t="str">
        <f t="shared" si="494"/>
        <v>Cortez</v>
      </c>
      <c r="C4541" s="3">
        <f t="shared" si="500"/>
        <v>45960</v>
      </c>
      <c r="D4541" s="4">
        <f t="shared" ca="1" si="495"/>
        <v>38</v>
      </c>
      <c r="E4541" s="2">
        <f t="shared" ca="1" si="496"/>
        <v>8120</v>
      </c>
      <c r="F4541" s="2">
        <f t="shared" ca="1" si="497"/>
        <v>6283</v>
      </c>
      <c r="G4541" s="2">
        <f t="shared" ca="1" si="498"/>
        <v>405</v>
      </c>
    </row>
    <row r="4542" spans="1:7" x14ac:dyDescent="0.3">
      <c r="A4542" s="5" t="str">
        <f t="shared" si="499"/>
        <v>Adidas</v>
      </c>
      <c r="B4542" s="5" t="str">
        <f t="shared" si="494"/>
        <v>NMD S1</v>
      </c>
      <c r="C4542" s="3">
        <f t="shared" si="500"/>
        <v>45960</v>
      </c>
      <c r="D4542" s="4">
        <f t="shared" ca="1" si="495"/>
        <v>197</v>
      </c>
      <c r="E4542" s="2">
        <f t="shared" ca="1" si="496"/>
        <v>10238</v>
      </c>
      <c r="F4542" s="2">
        <f t="shared" ca="1" si="497"/>
        <v>13245</v>
      </c>
      <c r="G4542" s="2">
        <f t="shared" ca="1" si="498"/>
        <v>852</v>
      </c>
    </row>
    <row r="4543" spans="1:7" x14ac:dyDescent="0.3">
      <c r="A4543" s="5" t="str">
        <f t="shared" si="499"/>
        <v>Puma</v>
      </c>
      <c r="B4543" s="5" t="str">
        <f t="shared" si="494"/>
        <v>Suede Classic</v>
      </c>
      <c r="C4543" s="3">
        <f t="shared" si="500"/>
        <v>45960</v>
      </c>
      <c r="D4543" s="4">
        <f t="shared" ca="1" si="495"/>
        <v>231</v>
      </c>
      <c r="E4543" s="2">
        <f t="shared" ca="1" si="496"/>
        <v>2333</v>
      </c>
      <c r="F4543" s="2">
        <f t="shared" ca="1" si="497"/>
        <v>13274</v>
      </c>
      <c r="G4543" s="2">
        <f t="shared" ca="1" si="498"/>
        <v>368</v>
      </c>
    </row>
    <row r="4544" spans="1:7" x14ac:dyDescent="0.3">
      <c r="A4544" s="5" t="str">
        <f t="shared" si="499"/>
        <v>New Balance</v>
      </c>
      <c r="B4544" s="5" t="str">
        <f t="shared" si="494"/>
        <v>990v6</v>
      </c>
      <c r="C4544" s="3">
        <f t="shared" si="500"/>
        <v>45960</v>
      </c>
      <c r="D4544" s="4">
        <f t="shared" ca="1" si="495"/>
        <v>230</v>
      </c>
      <c r="E4544" s="2">
        <f t="shared" ca="1" si="496"/>
        <v>5503</v>
      </c>
      <c r="F4544" s="2">
        <f t="shared" ca="1" si="497"/>
        <v>11703</v>
      </c>
      <c r="G4544" s="2">
        <f t="shared" ca="1" si="498"/>
        <v>878</v>
      </c>
    </row>
    <row r="4545" spans="1:7" x14ac:dyDescent="0.3">
      <c r="A4545" s="5" t="str">
        <f t="shared" si="499"/>
        <v>Reebok</v>
      </c>
      <c r="B4545" s="5" t="str">
        <f t="shared" si="494"/>
        <v>Nano X3</v>
      </c>
      <c r="C4545" s="3">
        <f t="shared" si="500"/>
        <v>45960</v>
      </c>
      <c r="D4545" s="4">
        <f t="shared" ca="1" si="495"/>
        <v>104</v>
      </c>
      <c r="E4545" s="2">
        <f t="shared" ca="1" si="496"/>
        <v>1514</v>
      </c>
      <c r="F4545" s="2">
        <f t="shared" ca="1" si="497"/>
        <v>24927</v>
      </c>
      <c r="G4545" s="2">
        <f t="shared" ca="1" si="498"/>
        <v>1382</v>
      </c>
    </row>
    <row r="4546" spans="1:7" x14ac:dyDescent="0.3">
      <c r="A4546" s="5" t="str">
        <f t="shared" si="499"/>
        <v>Nike</v>
      </c>
      <c r="B4546" s="5" t="str">
        <f t="shared" si="494"/>
        <v>Vaporfly 3</v>
      </c>
      <c r="C4546" s="3">
        <f t="shared" si="500"/>
        <v>45960</v>
      </c>
      <c r="D4546" s="4">
        <f t="shared" ca="1" si="495"/>
        <v>96</v>
      </c>
      <c r="E4546" s="2">
        <f t="shared" ca="1" si="496"/>
        <v>11212</v>
      </c>
      <c r="F4546" s="2">
        <f t="shared" ca="1" si="497"/>
        <v>5728</v>
      </c>
      <c r="G4546" s="2">
        <f t="shared" ca="1" si="498"/>
        <v>306</v>
      </c>
    </row>
    <row r="4547" spans="1:7" x14ac:dyDescent="0.3">
      <c r="A4547" s="5" t="str">
        <f t="shared" si="499"/>
        <v>Adidas</v>
      </c>
      <c r="B4547" s="5" t="str">
        <f t="shared" ref="B4547:B4610" si="501">IF(A4547="Nike",CHOOSE(MOD(ROW(A4546),6)+1,"Air Max 270","Air Force 1","Pegasus 40","Vaporfly 3","Cortez","Jordan 1"),
 IF(A4547="Adidas",CHOOSE(MOD(ROW(A4546),6)+1,"Ultraboost 23","Stan Smith","Superstar","Gazelle","Samba","NMD S1"),
 IF(A4547="Puma",CHOOSE(MOD(ROW(A4546),6)+1,"Suede Classic","RS-X","Cali Dream","Rider Vintage","Slipstream","Mayze"),
 IF(A4547="New Balance",CHOOSE(MOD(ROW(A4546),6)+1,"574 Core","990v6","2002R","9060","327","550"),
 IF(A4547="Reebok",CHOOSE(MOD(ROW(A4546),6)+1,"Classic Leather","Club C 85","Nano X3","Instapump Fury","Zig Kinetica","Question Mid"),"")))))</f>
        <v>Samba</v>
      </c>
      <c r="C4547" s="3">
        <f t="shared" si="500"/>
        <v>45961</v>
      </c>
      <c r="D4547" s="4">
        <f t="shared" ref="D4547:D4610" ca="1" si="502">RANDBETWEEN(20,250)</f>
        <v>178</v>
      </c>
      <c r="E4547" s="2">
        <f t="shared" ref="E4547:E4610" ca="1" si="503">ROUND(RANDBETWEEN(1500,12000)+(RANDBETWEEN(-200,200)),2)</f>
        <v>9880</v>
      </c>
      <c r="F4547" s="2">
        <f t="shared" ref="F4547:F4610" ca="1" si="504">RANDBETWEEN(5000,35000)</f>
        <v>23536</v>
      </c>
      <c r="G4547" s="2">
        <f t="shared" ref="G4547:G4610" ca="1" si="505">RANDBETWEEN(ROUND(F4547*0.02,0),ROUND(F4547*0.08,0))</f>
        <v>1562</v>
      </c>
    </row>
    <row r="4548" spans="1:7" x14ac:dyDescent="0.3">
      <c r="A4548" s="5" t="str">
        <f t="shared" si="499"/>
        <v>Puma</v>
      </c>
      <c r="B4548" s="5" t="str">
        <f t="shared" si="501"/>
        <v>Mayze</v>
      </c>
      <c r="C4548" s="3">
        <f t="shared" si="500"/>
        <v>45961</v>
      </c>
      <c r="D4548" s="4">
        <f t="shared" ca="1" si="502"/>
        <v>207</v>
      </c>
      <c r="E4548" s="2">
        <f t="shared" ca="1" si="503"/>
        <v>7956</v>
      </c>
      <c r="F4548" s="2">
        <f t="shared" ca="1" si="504"/>
        <v>6629</v>
      </c>
      <c r="G4548" s="2">
        <f t="shared" ca="1" si="505"/>
        <v>259</v>
      </c>
    </row>
    <row r="4549" spans="1:7" x14ac:dyDescent="0.3">
      <c r="A4549" s="5" t="str">
        <f t="shared" si="499"/>
        <v>New Balance</v>
      </c>
      <c r="B4549" s="5" t="str">
        <f t="shared" si="501"/>
        <v>574 Core</v>
      </c>
      <c r="C4549" s="3">
        <f t="shared" si="500"/>
        <v>45961</v>
      </c>
      <c r="D4549" s="4">
        <f t="shared" ca="1" si="502"/>
        <v>134</v>
      </c>
      <c r="E4549" s="2">
        <f t="shared" ca="1" si="503"/>
        <v>7733</v>
      </c>
      <c r="F4549" s="2">
        <f t="shared" ca="1" si="504"/>
        <v>6763</v>
      </c>
      <c r="G4549" s="2">
        <f t="shared" ca="1" si="505"/>
        <v>451</v>
      </c>
    </row>
    <row r="4550" spans="1:7" x14ac:dyDescent="0.3">
      <c r="A4550" s="5" t="str">
        <f t="shared" si="499"/>
        <v>Reebok</v>
      </c>
      <c r="B4550" s="5" t="str">
        <f t="shared" si="501"/>
        <v>Club C 85</v>
      </c>
      <c r="C4550" s="3">
        <f t="shared" si="500"/>
        <v>45961</v>
      </c>
      <c r="D4550" s="4">
        <f t="shared" ca="1" si="502"/>
        <v>121</v>
      </c>
      <c r="E4550" s="2">
        <f t="shared" ca="1" si="503"/>
        <v>2042</v>
      </c>
      <c r="F4550" s="2">
        <f t="shared" ca="1" si="504"/>
        <v>28126</v>
      </c>
      <c r="G4550" s="2">
        <f t="shared" ca="1" si="505"/>
        <v>927</v>
      </c>
    </row>
    <row r="4551" spans="1:7" x14ac:dyDescent="0.3">
      <c r="A4551" s="5" t="str">
        <f t="shared" si="499"/>
        <v>Nike</v>
      </c>
      <c r="B4551" s="5" t="str">
        <f t="shared" si="501"/>
        <v>Pegasus 40</v>
      </c>
      <c r="C4551" s="3">
        <f t="shared" si="500"/>
        <v>45961</v>
      </c>
      <c r="D4551" s="4">
        <f t="shared" ca="1" si="502"/>
        <v>191</v>
      </c>
      <c r="E4551" s="2">
        <f t="shared" ca="1" si="503"/>
        <v>1511</v>
      </c>
      <c r="F4551" s="2">
        <f t="shared" ca="1" si="504"/>
        <v>20631</v>
      </c>
      <c r="G4551" s="2">
        <f t="shared" ca="1" si="505"/>
        <v>990</v>
      </c>
    </row>
    <row r="4552" spans="1:7" x14ac:dyDescent="0.3">
      <c r="A4552" s="5" t="str">
        <f t="shared" si="499"/>
        <v>Adidas</v>
      </c>
      <c r="B4552" s="5" t="str">
        <f t="shared" si="501"/>
        <v>Gazelle</v>
      </c>
      <c r="C4552" s="3">
        <f t="shared" si="500"/>
        <v>45961</v>
      </c>
      <c r="D4552" s="4">
        <f t="shared" ca="1" si="502"/>
        <v>106</v>
      </c>
      <c r="E4552" s="2">
        <f t="shared" ca="1" si="503"/>
        <v>7131</v>
      </c>
      <c r="F4552" s="2">
        <f t="shared" ca="1" si="504"/>
        <v>10938</v>
      </c>
      <c r="G4552" s="2">
        <f t="shared" ca="1" si="505"/>
        <v>782</v>
      </c>
    </row>
    <row r="4553" spans="1:7" x14ac:dyDescent="0.3">
      <c r="A4553" s="5" t="str">
        <f t="shared" si="499"/>
        <v>Puma</v>
      </c>
      <c r="B4553" s="5" t="str">
        <f t="shared" si="501"/>
        <v>Slipstream</v>
      </c>
      <c r="C4553" s="3">
        <f t="shared" si="500"/>
        <v>45961</v>
      </c>
      <c r="D4553" s="4">
        <f t="shared" ca="1" si="502"/>
        <v>158</v>
      </c>
      <c r="E4553" s="2">
        <f t="shared" ca="1" si="503"/>
        <v>2095</v>
      </c>
      <c r="F4553" s="2">
        <f t="shared" ca="1" si="504"/>
        <v>24820</v>
      </c>
      <c r="G4553" s="2">
        <f t="shared" ca="1" si="505"/>
        <v>1795</v>
      </c>
    </row>
    <row r="4554" spans="1:7" x14ac:dyDescent="0.3">
      <c r="A4554" s="5" t="str">
        <f t="shared" si="499"/>
        <v>New Balance</v>
      </c>
      <c r="B4554" s="5" t="str">
        <f t="shared" si="501"/>
        <v>550</v>
      </c>
      <c r="C4554" s="3">
        <f t="shared" si="500"/>
        <v>45961</v>
      </c>
      <c r="D4554" s="4">
        <f t="shared" ca="1" si="502"/>
        <v>101</v>
      </c>
      <c r="E4554" s="2">
        <f t="shared" ca="1" si="503"/>
        <v>2363</v>
      </c>
      <c r="F4554" s="2">
        <f t="shared" ca="1" si="504"/>
        <v>22926</v>
      </c>
      <c r="G4554" s="2">
        <f t="shared" ca="1" si="505"/>
        <v>1237</v>
      </c>
    </row>
    <row r="4555" spans="1:7" x14ac:dyDescent="0.3">
      <c r="A4555" s="5" t="str">
        <f t="shared" si="499"/>
        <v>Reebok</v>
      </c>
      <c r="B4555" s="5" t="str">
        <f t="shared" si="501"/>
        <v>Classic Leather</v>
      </c>
      <c r="C4555" s="3">
        <f t="shared" si="500"/>
        <v>45961</v>
      </c>
      <c r="D4555" s="4">
        <f t="shared" ca="1" si="502"/>
        <v>201</v>
      </c>
      <c r="E4555" s="2">
        <f t="shared" ca="1" si="503"/>
        <v>11133</v>
      </c>
      <c r="F4555" s="2">
        <f t="shared" ca="1" si="504"/>
        <v>32846</v>
      </c>
      <c r="G4555" s="2">
        <f t="shared" ca="1" si="505"/>
        <v>1633</v>
      </c>
    </row>
    <row r="4556" spans="1:7" x14ac:dyDescent="0.3">
      <c r="A4556" s="5" t="str">
        <f t="shared" si="499"/>
        <v>Nike</v>
      </c>
      <c r="B4556" s="5" t="str">
        <f t="shared" si="501"/>
        <v>Air Force 1</v>
      </c>
      <c r="C4556" s="3">
        <f t="shared" si="500"/>
        <v>45961</v>
      </c>
      <c r="D4556" s="4">
        <f t="shared" ca="1" si="502"/>
        <v>131</v>
      </c>
      <c r="E4556" s="2">
        <f t="shared" ca="1" si="503"/>
        <v>10527</v>
      </c>
      <c r="F4556" s="2">
        <f t="shared" ca="1" si="504"/>
        <v>19795</v>
      </c>
      <c r="G4556" s="2">
        <f t="shared" ca="1" si="505"/>
        <v>1500</v>
      </c>
    </row>
    <row r="4557" spans="1:7" x14ac:dyDescent="0.3">
      <c r="A4557" s="5" t="str">
        <f t="shared" si="499"/>
        <v>Adidas</v>
      </c>
      <c r="B4557" s="5" t="str">
        <f t="shared" si="501"/>
        <v>Superstar</v>
      </c>
      <c r="C4557" s="3">
        <f t="shared" si="500"/>
        <v>45961</v>
      </c>
      <c r="D4557" s="4">
        <f t="shared" ca="1" si="502"/>
        <v>245</v>
      </c>
      <c r="E4557" s="2">
        <f t="shared" ca="1" si="503"/>
        <v>5149</v>
      </c>
      <c r="F4557" s="2">
        <f t="shared" ca="1" si="504"/>
        <v>7197</v>
      </c>
      <c r="G4557" s="2">
        <f t="shared" ca="1" si="505"/>
        <v>351</v>
      </c>
    </row>
    <row r="4558" spans="1:7" x14ac:dyDescent="0.3">
      <c r="A4558" s="5" t="str">
        <f t="shared" si="499"/>
        <v>Puma</v>
      </c>
      <c r="B4558" s="5" t="str">
        <f t="shared" si="501"/>
        <v>Rider Vintage</v>
      </c>
      <c r="C4558" s="3">
        <f t="shared" si="500"/>
        <v>45961</v>
      </c>
      <c r="D4558" s="4">
        <f t="shared" ca="1" si="502"/>
        <v>118</v>
      </c>
      <c r="E4558" s="2">
        <f t="shared" ca="1" si="503"/>
        <v>6786</v>
      </c>
      <c r="F4558" s="2">
        <f t="shared" ca="1" si="504"/>
        <v>29103</v>
      </c>
      <c r="G4558" s="2">
        <f t="shared" ca="1" si="505"/>
        <v>1331</v>
      </c>
    </row>
    <row r="4559" spans="1:7" x14ac:dyDescent="0.3">
      <c r="A4559" s="5" t="str">
        <f t="shared" si="499"/>
        <v>New Balance</v>
      </c>
      <c r="B4559" s="5" t="str">
        <f t="shared" si="501"/>
        <v>327</v>
      </c>
      <c r="C4559" s="3">
        <f t="shared" si="500"/>
        <v>45961</v>
      </c>
      <c r="D4559" s="4">
        <f t="shared" ca="1" si="502"/>
        <v>91</v>
      </c>
      <c r="E4559" s="2">
        <f t="shared" ca="1" si="503"/>
        <v>8057</v>
      </c>
      <c r="F4559" s="2">
        <f t="shared" ca="1" si="504"/>
        <v>6551</v>
      </c>
      <c r="G4559" s="2">
        <f t="shared" ca="1" si="505"/>
        <v>474</v>
      </c>
    </row>
    <row r="4560" spans="1:7" x14ac:dyDescent="0.3">
      <c r="A4560" s="5" t="str">
        <f t="shared" si="499"/>
        <v>Reebok</v>
      </c>
      <c r="B4560" s="5" t="str">
        <f t="shared" si="501"/>
        <v>Question Mid</v>
      </c>
      <c r="C4560" s="3">
        <f t="shared" si="500"/>
        <v>45961</v>
      </c>
      <c r="D4560" s="4">
        <f t="shared" ca="1" si="502"/>
        <v>86</v>
      </c>
      <c r="E4560" s="2">
        <f t="shared" ca="1" si="503"/>
        <v>9161</v>
      </c>
      <c r="F4560" s="2">
        <f t="shared" ca="1" si="504"/>
        <v>17926</v>
      </c>
      <c r="G4560" s="2">
        <f t="shared" ca="1" si="505"/>
        <v>850</v>
      </c>
    </row>
    <row r="4561" spans="1:7" x14ac:dyDescent="0.3">
      <c r="A4561" s="5" t="str">
        <f t="shared" si="499"/>
        <v>Nike</v>
      </c>
      <c r="B4561" s="5" t="str">
        <f t="shared" si="501"/>
        <v>Air Max 270</v>
      </c>
      <c r="C4561" s="3">
        <f t="shared" si="500"/>
        <v>45961</v>
      </c>
      <c r="D4561" s="4">
        <f t="shared" ca="1" si="502"/>
        <v>30</v>
      </c>
      <c r="E4561" s="2">
        <f t="shared" ca="1" si="503"/>
        <v>7533</v>
      </c>
      <c r="F4561" s="2">
        <f t="shared" ca="1" si="504"/>
        <v>33079</v>
      </c>
      <c r="G4561" s="2">
        <f t="shared" ca="1" si="505"/>
        <v>1971</v>
      </c>
    </row>
    <row r="4562" spans="1:7" x14ac:dyDescent="0.3">
      <c r="A4562" s="5" t="str">
        <f t="shared" si="499"/>
        <v>Adidas</v>
      </c>
      <c r="B4562" s="5" t="str">
        <f t="shared" si="501"/>
        <v>Stan Smith</v>
      </c>
      <c r="C4562" s="3">
        <f t="shared" si="500"/>
        <v>45962</v>
      </c>
      <c r="D4562" s="4">
        <f t="shared" ca="1" si="502"/>
        <v>235</v>
      </c>
      <c r="E4562" s="2">
        <f t="shared" ca="1" si="503"/>
        <v>4363</v>
      </c>
      <c r="F4562" s="2">
        <f t="shared" ca="1" si="504"/>
        <v>11344</v>
      </c>
      <c r="G4562" s="2">
        <f t="shared" ca="1" si="505"/>
        <v>492</v>
      </c>
    </row>
    <row r="4563" spans="1:7" x14ac:dyDescent="0.3">
      <c r="A4563" s="5" t="str">
        <f t="shared" si="499"/>
        <v>Puma</v>
      </c>
      <c r="B4563" s="5" t="str">
        <f t="shared" si="501"/>
        <v>Cali Dream</v>
      </c>
      <c r="C4563" s="3">
        <f t="shared" si="500"/>
        <v>45962</v>
      </c>
      <c r="D4563" s="4">
        <f t="shared" ca="1" si="502"/>
        <v>169</v>
      </c>
      <c r="E4563" s="2">
        <f t="shared" ca="1" si="503"/>
        <v>11212</v>
      </c>
      <c r="F4563" s="2">
        <f t="shared" ca="1" si="504"/>
        <v>6255</v>
      </c>
      <c r="G4563" s="2">
        <f t="shared" ca="1" si="505"/>
        <v>448</v>
      </c>
    </row>
    <row r="4564" spans="1:7" x14ac:dyDescent="0.3">
      <c r="A4564" s="5" t="str">
        <f t="shared" si="499"/>
        <v>New Balance</v>
      </c>
      <c r="B4564" s="5" t="str">
        <f t="shared" si="501"/>
        <v>9060</v>
      </c>
      <c r="C4564" s="3">
        <f t="shared" si="500"/>
        <v>45962</v>
      </c>
      <c r="D4564" s="4">
        <f t="shared" ca="1" si="502"/>
        <v>160</v>
      </c>
      <c r="E4564" s="2">
        <f t="shared" ca="1" si="503"/>
        <v>4849</v>
      </c>
      <c r="F4564" s="2">
        <f t="shared" ca="1" si="504"/>
        <v>7024</v>
      </c>
      <c r="G4564" s="2">
        <f t="shared" ca="1" si="505"/>
        <v>148</v>
      </c>
    </row>
    <row r="4565" spans="1:7" x14ac:dyDescent="0.3">
      <c r="A4565" s="5" t="str">
        <f t="shared" si="499"/>
        <v>Reebok</v>
      </c>
      <c r="B4565" s="5" t="str">
        <f t="shared" si="501"/>
        <v>Zig Kinetica</v>
      </c>
      <c r="C4565" s="3">
        <f t="shared" si="500"/>
        <v>45962</v>
      </c>
      <c r="D4565" s="4">
        <f t="shared" ca="1" si="502"/>
        <v>28</v>
      </c>
      <c r="E4565" s="2">
        <f t="shared" ca="1" si="503"/>
        <v>5097</v>
      </c>
      <c r="F4565" s="2">
        <f t="shared" ca="1" si="504"/>
        <v>22294</v>
      </c>
      <c r="G4565" s="2">
        <f t="shared" ca="1" si="505"/>
        <v>1554</v>
      </c>
    </row>
    <row r="4566" spans="1:7" x14ac:dyDescent="0.3">
      <c r="A4566" s="5" t="str">
        <f t="shared" si="499"/>
        <v>Nike</v>
      </c>
      <c r="B4566" s="5" t="str">
        <f t="shared" si="501"/>
        <v>Jordan 1</v>
      </c>
      <c r="C4566" s="3">
        <f t="shared" si="500"/>
        <v>45962</v>
      </c>
      <c r="D4566" s="4">
        <f t="shared" ca="1" si="502"/>
        <v>64</v>
      </c>
      <c r="E4566" s="2">
        <f t="shared" ca="1" si="503"/>
        <v>2324</v>
      </c>
      <c r="F4566" s="2">
        <f t="shared" ca="1" si="504"/>
        <v>14516</v>
      </c>
      <c r="G4566" s="2">
        <f t="shared" ca="1" si="505"/>
        <v>398</v>
      </c>
    </row>
    <row r="4567" spans="1:7" x14ac:dyDescent="0.3">
      <c r="A4567" s="5" t="str">
        <f t="shared" si="499"/>
        <v>Adidas</v>
      </c>
      <c r="B4567" s="5" t="str">
        <f t="shared" si="501"/>
        <v>Ultraboost 23</v>
      </c>
      <c r="C4567" s="3">
        <f t="shared" si="500"/>
        <v>45962</v>
      </c>
      <c r="D4567" s="4">
        <f t="shared" ca="1" si="502"/>
        <v>140</v>
      </c>
      <c r="E4567" s="2">
        <f t="shared" ca="1" si="503"/>
        <v>8880</v>
      </c>
      <c r="F4567" s="2">
        <f t="shared" ca="1" si="504"/>
        <v>30810</v>
      </c>
      <c r="G4567" s="2">
        <f t="shared" ca="1" si="505"/>
        <v>1061</v>
      </c>
    </row>
    <row r="4568" spans="1:7" x14ac:dyDescent="0.3">
      <c r="A4568" s="5" t="str">
        <f t="shared" si="499"/>
        <v>Puma</v>
      </c>
      <c r="B4568" s="5" t="str">
        <f t="shared" si="501"/>
        <v>RS-X</v>
      </c>
      <c r="C4568" s="3">
        <f t="shared" si="500"/>
        <v>45962</v>
      </c>
      <c r="D4568" s="4">
        <f t="shared" ca="1" si="502"/>
        <v>128</v>
      </c>
      <c r="E4568" s="2">
        <f t="shared" ca="1" si="503"/>
        <v>4611</v>
      </c>
      <c r="F4568" s="2">
        <f t="shared" ca="1" si="504"/>
        <v>17854</v>
      </c>
      <c r="G4568" s="2">
        <f t="shared" ca="1" si="505"/>
        <v>1192</v>
      </c>
    </row>
    <row r="4569" spans="1:7" x14ac:dyDescent="0.3">
      <c r="A4569" s="5" t="str">
        <f t="shared" si="499"/>
        <v>New Balance</v>
      </c>
      <c r="B4569" s="5" t="str">
        <f t="shared" si="501"/>
        <v>2002R</v>
      </c>
      <c r="C4569" s="3">
        <f t="shared" si="500"/>
        <v>45962</v>
      </c>
      <c r="D4569" s="4">
        <f t="shared" ca="1" si="502"/>
        <v>144</v>
      </c>
      <c r="E4569" s="2">
        <f t="shared" ca="1" si="503"/>
        <v>7095</v>
      </c>
      <c r="F4569" s="2">
        <f t="shared" ca="1" si="504"/>
        <v>13836</v>
      </c>
      <c r="G4569" s="2">
        <f t="shared" ca="1" si="505"/>
        <v>866</v>
      </c>
    </row>
    <row r="4570" spans="1:7" x14ac:dyDescent="0.3">
      <c r="A4570" s="5" t="str">
        <f t="shared" si="499"/>
        <v>Reebok</v>
      </c>
      <c r="B4570" s="5" t="str">
        <f t="shared" si="501"/>
        <v>Instapump Fury</v>
      </c>
      <c r="C4570" s="3">
        <f t="shared" si="500"/>
        <v>45962</v>
      </c>
      <c r="D4570" s="4">
        <f t="shared" ca="1" si="502"/>
        <v>202</v>
      </c>
      <c r="E4570" s="2">
        <f t="shared" ca="1" si="503"/>
        <v>10979</v>
      </c>
      <c r="F4570" s="2">
        <f t="shared" ca="1" si="504"/>
        <v>6196</v>
      </c>
      <c r="G4570" s="2">
        <f t="shared" ca="1" si="505"/>
        <v>428</v>
      </c>
    </row>
    <row r="4571" spans="1:7" x14ac:dyDescent="0.3">
      <c r="A4571" s="5" t="str">
        <f t="shared" si="499"/>
        <v>Nike</v>
      </c>
      <c r="B4571" s="5" t="str">
        <f t="shared" si="501"/>
        <v>Cortez</v>
      </c>
      <c r="C4571" s="3">
        <f t="shared" si="500"/>
        <v>45962</v>
      </c>
      <c r="D4571" s="4">
        <f t="shared" ca="1" si="502"/>
        <v>143</v>
      </c>
      <c r="E4571" s="2">
        <f t="shared" ca="1" si="503"/>
        <v>11410</v>
      </c>
      <c r="F4571" s="2">
        <f t="shared" ca="1" si="504"/>
        <v>18225</v>
      </c>
      <c r="G4571" s="2">
        <f t="shared" ca="1" si="505"/>
        <v>1082</v>
      </c>
    </row>
    <row r="4572" spans="1:7" x14ac:dyDescent="0.3">
      <c r="A4572" s="5" t="str">
        <f t="shared" si="499"/>
        <v>Adidas</v>
      </c>
      <c r="B4572" s="5" t="str">
        <f t="shared" si="501"/>
        <v>NMD S1</v>
      </c>
      <c r="C4572" s="3">
        <f t="shared" si="500"/>
        <v>45962</v>
      </c>
      <c r="D4572" s="4">
        <f t="shared" ca="1" si="502"/>
        <v>104</v>
      </c>
      <c r="E4572" s="2">
        <f t="shared" ca="1" si="503"/>
        <v>9186</v>
      </c>
      <c r="F4572" s="2">
        <f t="shared" ca="1" si="504"/>
        <v>6243</v>
      </c>
      <c r="G4572" s="2">
        <f t="shared" ca="1" si="505"/>
        <v>497</v>
      </c>
    </row>
    <row r="4573" spans="1:7" x14ac:dyDescent="0.3">
      <c r="A4573" s="5" t="str">
        <f t="shared" si="499"/>
        <v>Puma</v>
      </c>
      <c r="B4573" s="5" t="str">
        <f t="shared" si="501"/>
        <v>Suede Classic</v>
      </c>
      <c r="C4573" s="3">
        <f t="shared" si="500"/>
        <v>45962</v>
      </c>
      <c r="D4573" s="4">
        <f t="shared" ca="1" si="502"/>
        <v>241</v>
      </c>
      <c r="E4573" s="2">
        <f t="shared" ca="1" si="503"/>
        <v>4709</v>
      </c>
      <c r="F4573" s="2">
        <f t="shared" ca="1" si="504"/>
        <v>34465</v>
      </c>
      <c r="G4573" s="2">
        <f t="shared" ca="1" si="505"/>
        <v>1866</v>
      </c>
    </row>
    <row r="4574" spans="1:7" x14ac:dyDescent="0.3">
      <c r="A4574" s="5" t="str">
        <f t="shared" si="499"/>
        <v>New Balance</v>
      </c>
      <c r="B4574" s="5" t="str">
        <f t="shared" si="501"/>
        <v>990v6</v>
      </c>
      <c r="C4574" s="3">
        <f t="shared" si="500"/>
        <v>45962</v>
      </c>
      <c r="D4574" s="4">
        <f t="shared" ca="1" si="502"/>
        <v>140</v>
      </c>
      <c r="E4574" s="2">
        <f t="shared" ca="1" si="503"/>
        <v>8730</v>
      </c>
      <c r="F4574" s="2">
        <f t="shared" ca="1" si="504"/>
        <v>30025</v>
      </c>
      <c r="G4574" s="2">
        <f t="shared" ca="1" si="505"/>
        <v>1791</v>
      </c>
    </row>
    <row r="4575" spans="1:7" x14ac:dyDescent="0.3">
      <c r="A4575" s="5" t="str">
        <f t="shared" si="499"/>
        <v>Reebok</v>
      </c>
      <c r="B4575" s="5" t="str">
        <f t="shared" si="501"/>
        <v>Nano X3</v>
      </c>
      <c r="C4575" s="3">
        <f t="shared" si="500"/>
        <v>45962</v>
      </c>
      <c r="D4575" s="4">
        <f t="shared" ca="1" si="502"/>
        <v>163</v>
      </c>
      <c r="E4575" s="2">
        <f t="shared" ca="1" si="503"/>
        <v>7666</v>
      </c>
      <c r="F4575" s="2">
        <f t="shared" ca="1" si="504"/>
        <v>10896</v>
      </c>
      <c r="G4575" s="2">
        <f t="shared" ca="1" si="505"/>
        <v>618</v>
      </c>
    </row>
    <row r="4576" spans="1:7" x14ac:dyDescent="0.3">
      <c r="A4576" s="5" t="str">
        <f t="shared" si="499"/>
        <v>Nike</v>
      </c>
      <c r="B4576" s="5" t="str">
        <f t="shared" si="501"/>
        <v>Vaporfly 3</v>
      </c>
      <c r="C4576" s="3">
        <f t="shared" si="500"/>
        <v>45962</v>
      </c>
      <c r="D4576" s="4">
        <f t="shared" ca="1" si="502"/>
        <v>178</v>
      </c>
      <c r="E4576" s="2">
        <f t="shared" ca="1" si="503"/>
        <v>11495</v>
      </c>
      <c r="F4576" s="2">
        <f t="shared" ca="1" si="504"/>
        <v>8468</v>
      </c>
      <c r="G4576" s="2">
        <f t="shared" ca="1" si="505"/>
        <v>393</v>
      </c>
    </row>
    <row r="4577" spans="1:7" x14ac:dyDescent="0.3">
      <c r="A4577" s="5" t="str">
        <f t="shared" si="499"/>
        <v>Adidas</v>
      </c>
      <c r="B4577" s="5" t="str">
        <f t="shared" si="501"/>
        <v>Samba</v>
      </c>
      <c r="C4577" s="3">
        <f t="shared" si="500"/>
        <v>45963</v>
      </c>
      <c r="D4577" s="4">
        <f t="shared" ca="1" si="502"/>
        <v>216</v>
      </c>
      <c r="E4577" s="2">
        <f t="shared" ca="1" si="503"/>
        <v>9990</v>
      </c>
      <c r="F4577" s="2">
        <f t="shared" ca="1" si="504"/>
        <v>30336</v>
      </c>
      <c r="G4577" s="2">
        <f t="shared" ca="1" si="505"/>
        <v>1964</v>
      </c>
    </row>
    <row r="4578" spans="1:7" x14ac:dyDescent="0.3">
      <c r="A4578" s="5" t="str">
        <f t="shared" si="499"/>
        <v>Puma</v>
      </c>
      <c r="B4578" s="5" t="str">
        <f t="shared" si="501"/>
        <v>Mayze</v>
      </c>
      <c r="C4578" s="3">
        <f t="shared" si="500"/>
        <v>45963</v>
      </c>
      <c r="D4578" s="4">
        <f t="shared" ca="1" si="502"/>
        <v>51</v>
      </c>
      <c r="E4578" s="2">
        <f t="shared" ca="1" si="503"/>
        <v>5552</v>
      </c>
      <c r="F4578" s="2">
        <f t="shared" ca="1" si="504"/>
        <v>26355</v>
      </c>
      <c r="G4578" s="2">
        <f t="shared" ca="1" si="505"/>
        <v>1604</v>
      </c>
    </row>
    <row r="4579" spans="1:7" x14ac:dyDescent="0.3">
      <c r="A4579" s="5" t="str">
        <f t="shared" si="499"/>
        <v>New Balance</v>
      </c>
      <c r="B4579" s="5" t="str">
        <f t="shared" si="501"/>
        <v>574 Core</v>
      </c>
      <c r="C4579" s="3">
        <f t="shared" si="500"/>
        <v>45963</v>
      </c>
      <c r="D4579" s="4">
        <f t="shared" ca="1" si="502"/>
        <v>168</v>
      </c>
      <c r="E4579" s="2">
        <f t="shared" ca="1" si="503"/>
        <v>8352</v>
      </c>
      <c r="F4579" s="2">
        <f t="shared" ca="1" si="504"/>
        <v>20890</v>
      </c>
      <c r="G4579" s="2">
        <f t="shared" ca="1" si="505"/>
        <v>600</v>
      </c>
    </row>
    <row r="4580" spans="1:7" x14ac:dyDescent="0.3">
      <c r="A4580" s="5" t="str">
        <f t="shared" si="499"/>
        <v>Reebok</v>
      </c>
      <c r="B4580" s="5" t="str">
        <f t="shared" si="501"/>
        <v>Club C 85</v>
      </c>
      <c r="C4580" s="3">
        <f t="shared" si="500"/>
        <v>45963</v>
      </c>
      <c r="D4580" s="4">
        <f t="shared" ca="1" si="502"/>
        <v>124</v>
      </c>
      <c r="E4580" s="2">
        <f t="shared" ca="1" si="503"/>
        <v>6073</v>
      </c>
      <c r="F4580" s="2">
        <f t="shared" ca="1" si="504"/>
        <v>19498</v>
      </c>
      <c r="G4580" s="2">
        <f t="shared" ca="1" si="505"/>
        <v>1212</v>
      </c>
    </row>
    <row r="4581" spans="1:7" x14ac:dyDescent="0.3">
      <c r="A4581" s="5" t="str">
        <f t="shared" si="499"/>
        <v>Nike</v>
      </c>
      <c r="B4581" s="5" t="str">
        <f t="shared" si="501"/>
        <v>Pegasus 40</v>
      </c>
      <c r="C4581" s="3">
        <f t="shared" si="500"/>
        <v>45963</v>
      </c>
      <c r="D4581" s="4">
        <f t="shared" ca="1" si="502"/>
        <v>22</v>
      </c>
      <c r="E4581" s="2">
        <f t="shared" ca="1" si="503"/>
        <v>3795</v>
      </c>
      <c r="F4581" s="2">
        <f t="shared" ca="1" si="504"/>
        <v>11978</v>
      </c>
      <c r="G4581" s="2">
        <f t="shared" ca="1" si="505"/>
        <v>554</v>
      </c>
    </row>
    <row r="4582" spans="1:7" x14ac:dyDescent="0.3">
      <c r="A4582" s="5" t="str">
        <f t="shared" si="499"/>
        <v>Adidas</v>
      </c>
      <c r="B4582" s="5" t="str">
        <f t="shared" si="501"/>
        <v>Gazelle</v>
      </c>
      <c r="C4582" s="3">
        <f t="shared" si="500"/>
        <v>45963</v>
      </c>
      <c r="D4582" s="4">
        <f t="shared" ca="1" si="502"/>
        <v>119</v>
      </c>
      <c r="E4582" s="2">
        <f t="shared" ca="1" si="503"/>
        <v>6530</v>
      </c>
      <c r="F4582" s="2">
        <f t="shared" ca="1" si="504"/>
        <v>31268</v>
      </c>
      <c r="G4582" s="2">
        <f t="shared" ca="1" si="505"/>
        <v>1907</v>
      </c>
    </row>
    <row r="4583" spans="1:7" x14ac:dyDescent="0.3">
      <c r="A4583" s="5" t="str">
        <f t="shared" si="499"/>
        <v>Puma</v>
      </c>
      <c r="B4583" s="5" t="str">
        <f t="shared" si="501"/>
        <v>Slipstream</v>
      </c>
      <c r="C4583" s="3">
        <f t="shared" si="500"/>
        <v>45963</v>
      </c>
      <c r="D4583" s="4">
        <f t="shared" ca="1" si="502"/>
        <v>96</v>
      </c>
      <c r="E4583" s="2">
        <f t="shared" ca="1" si="503"/>
        <v>7977</v>
      </c>
      <c r="F4583" s="2">
        <f t="shared" ca="1" si="504"/>
        <v>33925</v>
      </c>
      <c r="G4583" s="2">
        <f t="shared" ca="1" si="505"/>
        <v>1531</v>
      </c>
    </row>
    <row r="4584" spans="1:7" x14ac:dyDescent="0.3">
      <c r="A4584" s="5" t="str">
        <f t="shared" si="499"/>
        <v>New Balance</v>
      </c>
      <c r="B4584" s="5" t="str">
        <f t="shared" si="501"/>
        <v>550</v>
      </c>
      <c r="C4584" s="3">
        <f t="shared" si="500"/>
        <v>45963</v>
      </c>
      <c r="D4584" s="4">
        <f t="shared" ca="1" si="502"/>
        <v>153</v>
      </c>
      <c r="E4584" s="2">
        <f t="shared" ca="1" si="503"/>
        <v>2094</v>
      </c>
      <c r="F4584" s="2">
        <f t="shared" ca="1" si="504"/>
        <v>5494</v>
      </c>
      <c r="G4584" s="2">
        <f t="shared" ca="1" si="505"/>
        <v>269</v>
      </c>
    </row>
    <row r="4585" spans="1:7" x14ac:dyDescent="0.3">
      <c r="A4585" s="5" t="str">
        <f t="shared" si="499"/>
        <v>Reebok</v>
      </c>
      <c r="B4585" s="5" t="str">
        <f t="shared" si="501"/>
        <v>Classic Leather</v>
      </c>
      <c r="C4585" s="3">
        <f t="shared" si="500"/>
        <v>45963</v>
      </c>
      <c r="D4585" s="4">
        <f t="shared" ca="1" si="502"/>
        <v>194</v>
      </c>
      <c r="E4585" s="2">
        <f t="shared" ca="1" si="503"/>
        <v>5273</v>
      </c>
      <c r="F4585" s="2">
        <f t="shared" ca="1" si="504"/>
        <v>20224</v>
      </c>
      <c r="G4585" s="2">
        <f t="shared" ca="1" si="505"/>
        <v>861</v>
      </c>
    </row>
    <row r="4586" spans="1:7" x14ac:dyDescent="0.3">
      <c r="A4586" s="5" t="str">
        <f t="shared" si="499"/>
        <v>Nike</v>
      </c>
      <c r="B4586" s="5" t="str">
        <f t="shared" si="501"/>
        <v>Air Force 1</v>
      </c>
      <c r="C4586" s="3">
        <f t="shared" si="500"/>
        <v>45963</v>
      </c>
      <c r="D4586" s="4">
        <f t="shared" ca="1" si="502"/>
        <v>233</v>
      </c>
      <c r="E4586" s="2">
        <f t="shared" ca="1" si="503"/>
        <v>6798</v>
      </c>
      <c r="F4586" s="2">
        <f t="shared" ca="1" si="504"/>
        <v>21346</v>
      </c>
      <c r="G4586" s="2">
        <f t="shared" ca="1" si="505"/>
        <v>1281</v>
      </c>
    </row>
    <row r="4587" spans="1:7" x14ac:dyDescent="0.3">
      <c r="A4587" s="5" t="str">
        <f t="shared" ref="A4587:A4650" si="506">CHOOSE(MOD(ROW(A4586),5)+1,"Nike","Adidas","Puma","New Balance","Reebok")</f>
        <v>Adidas</v>
      </c>
      <c r="B4587" s="5" t="str">
        <f t="shared" si="501"/>
        <v>Superstar</v>
      </c>
      <c r="C4587" s="3">
        <f t="shared" ref="C4587:C4650" si="507">DATE(2025,1,1)+INT((ROW(A4587)-2)/15)</f>
        <v>45963</v>
      </c>
      <c r="D4587" s="4">
        <f t="shared" ca="1" si="502"/>
        <v>170</v>
      </c>
      <c r="E4587" s="2">
        <f t="shared" ca="1" si="503"/>
        <v>5226</v>
      </c>
      <c r="F4587" s="2">
        <f t="shared" ca="1" si="504"/>
        <v>31473</v>
      </c>
      <c r="G4587" s="2">
        <f t="shared" ca="1" si="505"/>
        <v>1414</v>
      </c>
    </row>
    <row r="4588" spans="1:7" x14ac:dyDescent="0.3">
      <c r="A4588" s="5" t="str">
        <f t="shared" si="506"/>
        <v>Puma</v>
      </c>
      <c r="B4588" s="5" t="str">
        <f t="shared" si="501"/>
        <v>Rider Vintage</v>
      </c>
      <c r="C4588" s="3">
        <f t="shared" si="507"/>
        <v>45963</v>
      </c>
      <c r="D4588" s="4">
        <f t="shared" ca="1" si="502"/>
        <v>146</v>
      </c>
      <c r="E4588" s="2">
        <f t="shared" ca="1" si="503"/>
        <v>8571</v>
      </c>
      <c r="F4588" s="2">
        <f t="shared" ca="1" si="504"/>
        <v>30140</v>
      </c>
      <c r="G4588" s="2">
        <f t="shared" ca="1" si="505"/>
        <v>1168</v>
      </c>
    </row>
    <row r="4589" spans="1:7" x14ac:dyDescent="0.3">
      <c r="A4589" s="5" t="str">
        <f t="shared" si="506"/>
        <v>New Balance</v>
      </c>
      <c r="B4589" s="5" t="str">
        <f t="shared" si="501"/>
        <v>327</v>
      </c>
      <c r="C4589" s="3">
        <f t="shared" si="507"/>
        <v>45963</v>
      </c>
      <c r="D4589" s="4">
        <f t="shared" ca="1" si="502"/>
        <v>44</v>
      </c>
      <c r="E4589" s="2">
        <f t="shared" ca="1" si="503"/>
        <v>10136</v>
      </c>
      <c r="F4589" s="2">
        <f t="shared" ca="1" si="504"/>
        <v>19451</v>
      </c>
      <c r="G4589" s="2">
        <f t="shared" ca="1" si="505"/>
        <v>750</v>
      </c>
    </row>
    <row r="4590" spans="1:7" x14ac:dyDescent="0.3">
      <c r="A4590" s="5" t="str">
        <f t="shared" si="506"/>
        <v>Reebok</v>
      </c>
      <c r="B4590" s="5" t="str">
        <f t="shared" si="501"/>
        <v>Question Mid</v>
      </c>
      <c r="C4590" s="3">
        <f t="shared" si="507"/>
        <v>45963</v>
      </c>
      <c r="D4590" s="4">
        <f t="shared" ca="1" si="502"/>
        <v>177</v>
      </c>
      <c r="E4590" s="2">
        <f t="shared" ca="1" si="503"/>
        <v>8343</v>
      </c>
      <c r="F4590" s="2">
        <f t="shared" ca="1" si="504"/>
        <v>26922</v>
      </c>
      <c r="G4590" s="2">
        <f t="shared" ca="1" si="505"/>
        <v>1759</v>
      </c>
    </row>
    <row r="4591" spans="1:7" x14ac:dyDescent="0.3">
      <c r="A4591" s="5" t="str">
        <f t="shared" si="506"/>
        <v>Nike</v>
      </c>
      <c r="B4591" s="5" t="str">
        <f t="shared" si="501"/>
        <v>Air Max 270</v>
      </c>
      <c r="C4591" s="3">
        <f t="shared" si="507"/>
        <v>45963</v>
      </c>
      <c r="D4591" s="4">
        <f t="shared" ca="1" si="502"/>
        <v>68</v>
      </c>
      <c r="E4591" s="2">
        <f t="shared" ca="1" si="503"/>
        <v>9381</v>
      </c>
      <c r="F4591" s="2">
        <f t="shared" ca="1" si="504"/>
        <v>5428</v>
      </c>
      <c r="G4591" s="2">
        <f t="shared" ca="1" si="505"/>
        <v>376</v>
      </c>
    </row>
    <row r="4592" spans="1:7" x14ac:dyDescent="0.3">
      <c r="A4592" s="5" t="str">
        <f t="shared" si="506"/>
        <v>Adidas</v>
      </c>
      <c r="B4592" s="5" t="str">
        <f t="shared" si="501"/>
        <v>Stan Smith</v>
      </c>
      <c r="C4592" s="3">
        <f t="shared" si="507"/>
        <v>45964</v>
      </c>
      <c r="D4592" s="4">
        <f t="shared" ca="1" si="502"/>
        <v>180</v>
      </c>
      <c r="E4592" s="2">
        <f t="shared" ca="1" si="503"/>
        <v>9117</v>
      </c>
      <c r="F4592" s="2">
        <f t="shared" ca="1" si="504"/>
        <v>19952</v>
      </c>
      <c r="G4592" s="2">
        <f t="shared" ca="1" si="505"/>
        <v>716</v>
      </c>
    </row>
    <row r="4593" spans="1:7" x14ac:dyDescent="0.3">
      <c r="A4593" s="5" t="str">
        <f t="shared" si="506"/>
        <v>Puma</v>
      </c>
      <c r="B4593" s="5" t="str">
        <f t="shared" si="501"/>
        <v>Cali Dream</v>
      </c>
      <c r="C4593" s="3">
        <f t="shared" si="507"/>
        <v>45964</v>
      </c>
      <c r="D4593" s="4">
        <f t="shared" ca="1" si="502"/>
        <v>48</v>
      </c>
      <c r="E4593" s="2">
        <f t="shared" ca="1" si="503"/>
        <v>5146</v>
      </c>
      <c r="F4593" s="2">
        <f t="shared" ca="1" si="504"/>
        <v>24545</v>
      </c>
      <c r="G4593" s="2">
        <f t="shared" ca="1" si="505"/>
        <v>1001</v>
      </c>
    </row>
    <row r="4594" spans="1:7" x14ac:dyDescent="0.3">
      <c r="A4594" s="5" t="str">
        <f t="shared" si="506"/>
        <v>New Balance</v>
      </c>
      <c r="B4594" s="5" t="str">
        <f t="shared" si="501"/>
        <v>9060</v>
      </c>
      <c r="C4594" s="3">
        <f t="shared" si="507"/>
        <v>45964</v>
      </c>
      <c r="D4594" s="4">
        <f t="shared" ca="1" si="502"/>
        <v>45</v>
      </c>
      <c r="E4594" s="2">
        <f t="shared" ca="1" si="503"/>
        <v>5119</v>
      </c>
      <c r="F4594" s="2">
        <f t="shared" ca="1" si="504"/>
        <v>19102</v>
      </c>
      <c r="G4594" s="2">
        <f t="shared" ca="1" si="505"/>
        <v>1392</v>
      </c>
    </row>
    <row r="4595" spans="1:7" x14ac:dyDescent="0.3">
      <c r="A4595" s="5" t="str">
        <f t="shared" si="506"/>
        <v>Reebok</v>
      </c>
      <c r="B4595" s="5" t="str">
        <f t="shared" si="501"/>
        <v>Zig Kinetica</v>
      </c>
      <c r="C4595" s="3">
        <f t="shared" si="507"/>
        <v>45964</v>
      </c>
      <c r="D4595" s="4">
        <f t="shared" ca="1" si="502"/>
        <v>226</v>
      </c>
      <c r="E4595" s="2">
        <f t="shared" ca="1" si="503"/>
        <v>2906</v>
      </c>
      <c r="F4595" s="2">
        <f t="shared" ca="1" si="504"/>
        <v>34658</v>
      </c>
      <c r="G4595" s="2">
        <f t="shared" ca="1" si="505"/>
        <v>2173</v>
      </c>
    </row>
    <row r="4596" spans="1:7" x14ac:dyDescent="0.3">
      <c r="A4596" s="5" t="str">
        <f t="shared" si="506"/>
        <v>Nike</v>
      </c>
      <c r="B4596" s="5" t="str">
        <f t="shared" si="501"/>
        <v>Jordan 1</v>
      </c>
      <c r="C4596" s="3">
        <f t="shared" si="507"/>
        <v>45964</v>
      </c>
      <c r="D4596" s="4">
        <f t="shared" ca="1" si="502"/>
        <v>49</v>
      </c>
      <c r="E4596" s="2">
        <f t="shared" ca="1" si="503"/>
        <v>2944</v>
      </c>
      <c r="F4596" s="2">
        <f t="shared" ca="1" si="504"/>
        <v>6032</v>
      </c>
      <c r="G4596" s="2">
        <f t="shared" ca="1" si="505"/>
        <v>447</v>
      </c>
    </row>
    <row r="4597" spans="1:7" x14ac:dyDescent="0.3">
      <c r="A4597" s="5" t="str">
        <f t="shared" si="506"/>
        <v>Adidas</v>
      </c>
      <c r="B4597" s="5" t="str">
        <f t="shared" si="501"/>
        <v>Ultraboost 23</v>
      </c>
      <c r="C4597" s="3">
        <f t="shared" si="507"/>
        <v>45964</v>
      </c>
      <c r="D4597" s="4">
        <f t="shared" ca="1" si="502"/>
        <v>171</v>
      </c>
      <c r="E4597" s="2">
        <f t="shared" ca="1" si="503"/>
        <v>10920</v>
      </c>
      <c r="F4597" s="2">
        <f t="shared" ca="1" si="504"/>
        <v>9529</v>
      </c>
      <c r="G4597" s="2">
        <f t="shared" ca="1" si="505"/>
        <v>627</v>
      </c>
    </row>
    <row r="4598" spans="1:7" x14ac:dyDescent="0.3">
      <c r="A4598" s="5" t="str">
        <f t="shared" si="506"/>
        <v>Puma</v>
      </c>
      <c r="B4598" s="5" t="str">
        <f t="shared" si="501"/>
        <v>RS-X</v>
      </c>
      <c r="C4598" s="3">
        <f t="shared" si="507"/>
        <v>45964</v>
      </c>
      <c r="D4598" s="4">
        <f t="shared" ca="1" si="502"/>
        <v>114</v>
      </c>
      <c r="E4598" s="2">
        <f t="shared" ca="1" si="503"/>
        <v>6174</v>
      </c>
      <c r="F4598" s="2">
        <f t="shared" ca="1" si="504"/>
        <v>5632</v>
      </c>
      <c r="G4598" s="2">
        <f t="shared" ca="1" si="505"/>
        <v>152</v>
      </c>
    </row>
    <row r="4599" spans="1:7" x14ac:dyDescent="0.3">
      <c r="A4599" s="5" t="str">
        <f t="shared" si="506"/>
        <v>New Balance</v>
      </c>
      <c r="B4599" s="5" t="str">
        <f t="shared" si="501"/>
        <v>2002R</v>
      </c>
      <c r="C4599" s="3">
        <f t="shared" si="507"/>
        <v>45964</v>
      </c>
      <c r="D4599" s="4">
        <f t="shared" ca="1" si="502"/>
        <v>173</v>
      </c>
      <c r="E4599" s="2">
        <f t="shared" ca="1" si="503"/>
        <v>4386</v>
      </c>
      <c r="F4599" s="2">
        <f t="shared" ca="1" si="504"/>
        <v>6033</v>
      </c>
      <c r="G4599" s="2">
        <f t="shared" ca="1" si="505"/>
        <v>400</v>
      </c>
    </row>
    <row r="4600" spans="1:7" x14ac:dyDescent="0.3">
      <c r="A4600" s="5" t="str">
        <f t="shared" si="506"/>
        <v>Reebok</v>
      </c>
      <c r="B4600" s="5" t="str">
        <f t="shared" si="501"/>
        <v>Instapump Fury</v>
      </c>
      <c r="C4600" s="3">
        <f t="shared" si="507"/>
        <v>45964</v>
      </c>
      <c r="D4600" s="4">
        <f t="shared" ca="1" si="502"/>
        <v>193</v>
      </c>
      <c r="E4600" s="2">
        <f t="shared" ca="1" si="503"/>
        <v>10119</v>
      </c>
      <c r="F4600" s="2">
        <f t="shared" ca="1" si="504"/>
        <v>9161</v>
      </c>
      <c r="G4600" s="2">
        <f t="shared" ca="1" si="505"/>
        <v>262</v>
      </c>
    </row>
    <row r="4601" spans="1:7" x14ac:dyDescent="0.3">
      <c r="A4601" s="5" t="str">
        <f t="shared" si="506"/>
        <v>Nike</v>
      </c>
      <c r="B4601" s="5" t="str">
        <f t="shared" si="501"/>
        <v>Cortez</v>
      </c>
      <c r="C4601" s="3">
        <f t="shared" si="507"/>
        <v>45964</v>
      </c>
      <c r="D4601" s="4">
        <f t="shared" ca="1" si="502"/>
        <v>83</v>
      </c>
      <c r="E4601" s="2">
        <f t="shared" ca="1" si="503"/>
        <v>10427</v>
      </c>
      <c r="F4601" s="2">
        <f t="shared" ca="1" si="504"/>
        <v>25776</v>
      </c>
      <c r="G4601" s="2">
        <f t="shared" ca="1" si="505"/>
        <v>875</v>
      </c>
    </row>
    <row r="4602" spans="1:7" x14ac:dyDescent="0.3">
      <c r="A4602" s="5" t="str">
        <f t="shared" si="506"/>
        <v>Adidas</v>
      </c>
      <c r="B4602" s="5" t="str">
        <f t="shared" si="501"/>
        <v>NMD S1</v>
      </c>
      <c r="C4602" s="3">
        <f t="shared" si="507"/>
        <v>45964</v>
      </c>
      <c r="D4602" s="4">
        <f t="shared" ca="1" si="502"/>
        <v>182</v>
      </c>
      <c r="E4602" s="2">
        <f t="shared" ca="1" si="503"/>
        <v>4422</v>
      </c>
      <c r="F4602" s="2">
        <f t="shared" ca="1" si="504"/>
        <v>14731</v>
      </c>
      <c r="G4602" s="2">
        <f t="shared" ca="1" si="505"/>
        <v>969</v>
      </c>
    </row>
    <row r="4603" spans="1:7" x14ac:dyDescent="0.3">
      <c r="A4603" s="5" t="str">
        <f t="shared" si="506"/>
        <v>Puma</v>
      </c>
      <c r="B4603" s="5" t="str">
        <f t="shared" si="501"/>
        <v>Suede Classic</v>
      </c>
      <c r="C4603" s="3">
        <f t="shared" si="507"/>
        <v>45964</v>
      </c>
      <c r="D4603" s="4">
        <f t="shared" ca="1" si="502"/>
        <v>200</v>
      </c>
      <c r="E4603" s="2">
        <f t="shared" ca="1" si="503"/>
        <v>4380</v>
      </c>
      <c r="F4603" s="2">
        <f t="shared" ca="1" si="504"/>
        <v>10921</v>
      </c>
      <c r="G4603" s="2">
        <f t="shared" ca="1" si="505"/>
        <v>703</v>
      </c>
    </row>
    <row r="4604" spans="1:7" x14ac:dyDescent="0.3">
      <c r="A4604" s="5" t="str">
        <f t="shared" si="506"/>
        <v>New Balance</v>
      </c>
      <c r="B4604" s="5" t="str">
        <f t="shared" si="501"/>
        <v>990v6</v>
      </c>
      <c r="C4604" s="3">
        <f t="shared" si="507"/>
        <v>45964</v>
      </c>
      <c r="D4604" s="4">
        <f t="shared" ca="1" si="502"/>
        <v>156</v>
      </c>
      <c r="E4604" s="2">
        <f t="shared" ca="1" si="503"/>
        <v>4651</v>
      </c>
      <c r="F4604" s="2">
        <f t="shared" ca="1" si="504"/>
        <v>29072</v>
      </c>
      <c r="G4604" s="2">
        <f t="shared" ca="1" si="505"/>
        <v>2153</v>
      </c>
    </row>
    <row r="4605" spans="1:7" x14ac:dyDescent="0.3">
      <c r="A4605" s="5" t="str">
        <f t="shared" si="506"/>
        <v>Reebok</v>
      </c>
      <c r="B4605" s="5" t="str">
        <f t="shared" si="501"/>
        <v>Nano X3</v>
      </c>
      <c r="C4605" s="3">
        <f t="shared" si="507"/>
        <v>45964</v>
      </c>
      <c r="D4605" s="4">
        <f t="shared" ca="1" si="502"/>
        <v>237</v>
      </c>
      <c r="E4605" s="2">
        <f t="shared" ca="1" si="503"/>
        <v>9812</v>
      </c>
      <c r="F4605" s="2">
        <f t="shared" ca="1" si="504"/>
        <v>21639</v>
      </c>
      <c r="G4605" s="2">
        <f t="shared" ca="1" si="505"/>
        <v>1399</v>
      </c>
    </row>
    <row r="4606" spans="1:7" x14ac:dyDescent="0.3">
      <c r="A4606" s="5" t="str">
        <f t="shared" si="506"/>
        <v>Nike</v>
      </c>
      <c r="B4606" s="5" t="str">
        <f t="shared" si="501"/>
        <v>Vaporfly 3</v>
      </c>
      <c r="C4606" s="3">
        <f t="shared" si="507"/>
        <v>45964</v>
      </c>
      <c r="D4606" s="4">
        <f t="shared" ca="1" si="502"/>
        <v>123</v>
      </c>
      <c r="E4606" s="2">
        <f t="shared" ca="1" si="503"/>
        <v>8532</v>
      </c>
      <c r="F4606" s="2">
        <f t="shared" ca="1" si="504"/>
        <v>30120</v>
      </c>
      <c r="G4606" s="2">
        <f t="shared" ca="1" si="505"/>
        <v>2280</v>
      </c>
    </row>
    <row r="4607" spans="1:7" x14ac:dyDescent="0.3">
      <c r="A4607" s="5" t="str">
        <f t="shared" si="506"/>
        <v>Adidas</v>
      </c>
      <c r="B4607" s="5" t="str">
        <f t="shared" si="501"/>
        <v>Samba</v>
      </c>
      <c r="C4607" s="3">
        <f t="shared" si="507"/>
        <v>45965</v>
      </c>
      <c r="D4607" s="4">
        <f t="shared" ca="1" si="502"/>
        <v>241</v>
      </c>
      <c r="E4607" s="2">
        <f t="shared" ca="1" si="503"/>
        <v>1855</v>
      </c>
      <c r="F4607" s="2">
        <f t="shared" ca="1" si="504"/>
        <v>33213</v>
      </c>
      <c r="G4607" s="2">
        <f t="shared" ca="1" si="505"/>
        <v>1584</v>
      </c>
    </row>
    <row r="4608" spans="1:7" x14ac:dyDescent="0.3">
      <c r="A4608" s="5" t="str">
        <f t="shared" si="506"/>
        <v>Puma</v>
      </c>
      <c r="B4608" s="5" t="str">
        <f t="shared" si="501"/>
        <v>Mayze</v>
      </c>
      <c r="C4608" s="3">
        <f t="shared" si="507"/>
        <v>45965</v>
      </c>
      <c r="D4608" s="4">
        <f t="shared" ca="1" si="502"/>
        <v>57</v>
      </c>
      <c r="E4608" s="2">
        <f t="shared" ca="1" si="503"/>
        <v>9484</v>
      </c>
      <c r="F4608" s="2">
        <f t="shared" ca="1" si="504"/>
        <v>16968</v>
      </c>
      <c r="G4608" s="2">
        <f t="shared" ca="1" si="505"/>
        <v>1156</v>
      </c>
    </row>
    <row r="4609" spans="1:7" x14ac:dyDescent="0.3">
      <c r="A4609" s="5" t="str">
        <f t="shared" si="506"/>
        <v>New Balance</v>
      </c>
      <c r="B4609" s="5" t="str">
        <f t="shared" si="501"/>
        <v>574 Core</v>
      </c>
      <c r="C4609" s="3">
        <f t="shared" si="507"/>
        <v>45965</v>
      </c>
      <c r="D4609" s="4">
        <f t="shared" ca="1" si="502"/>
        <v>39</v>
      </c>
      <c r="E4609" s="2">
        <f t="shared" ca="1" si="503"/>
        <v>2477</v>
      </c>
      <c r="F4609" s="2">
        <f t="shared" ca="1" si="504"/>
        <v>24882</v>
      </c>
      <c r="G4609" s="2">
        <f t="shared" ca="1" si="505"/>
        <v>608</v>
      </c>
    </row>
    <row r="4610" spans="1:7" x14ac:dyDescent="0.3">
      <c r="A4610" s="5" t="str">
        <f t="shared" si="506"/>
        <v>Reebok</v>
      </c>
      <c r="B4610" s="5" t="str">
        <f t="shared" si="501"/>
        <v>Club C 85</v>
      </c>
      <c r="C4610" s="3">
        <f t="shared" si="507"/>
        <v>45965</v>
      </c>
      <c r="D4610" s="4">
        <f t="shared" ca="1" si="502"/>
        <v>133</v>
      </c>
      <c r="E4610" s="2">
        <f t="shared" ca="1" si="503"/>
        <v>2616</v>
      </c>
      <c r="F4610" s="2">
        <f t="shared" ca="1" si="504"/>
        <v>24607</v>
      </c>
      <c r="G4610" s="2">
        <f t="shared" ca="1" si="505"/>
        <v>610</v>
      </c>
    </row>
    <row r="4611" spans="1:7" x14ac:dyDescent="0.3">
      <c r="A4611" s="5" t="str">
        <f t="shared" si="506"/>
        <v>Nike</v>
      </c>
      <c r="B4611" s="5" t="str">
        <f t="shared" ref="B4611:B4674" si="508">IF(A4611="Nike",CHOOSE(MOD(ROW(A4610),6)+1,"Air Max 270","Air Force 1","Pegasus 40","Vaporfly 3","Cortez","Jordan 1"),
 IF(A4611="Adidas",CHOOSE(MOD(ROW(A4610),6)+1,"Ultraboost 23","Stan Smith","Superstar","Gazelle","Samba","NMD S1"),
 IF(A4611="Puma",CHOOSE(MOD(ROW(A4610),6)+1,"Suede Classic","RS-X","Cali Dream","Rider Vintage","Slipstream","Mayze"),
 IF(A4611="New Balance",CHOOSE(MOD(ROW(A4610),6)+1,"574 Core","990v6","2002R","9060","327","550"),
 IF(A4611="Reebok",CHOOSE(MOD(ROW(A4610),6)+1,"Classic Leather","Club C 85","Nano X3","Instapump Fury","Zig Kinetica","Question Mid"),"")))))</f>
        <v>Pegasus 40</v>
      </c>
      <c r="C4611" s="3">
        <f t="shared" si="507"/>
        <v>45965</v>
      </c>
      <c r="D4611" s="4">
        <f t="shared" ref="D4611:D4674" ca="1" si="509">RANDBETWEEN(20,250)</f>
        <v>165</v>
      </c>
      <c r="E4611" s="2">
        <f t="shared" ref="E4611:E4674" ca="1" si="510">ROUND(RANDBETWEEN(1500,12000)+(RANDBETWEEN(-200,200)),2)</f>
        <v>11566</v>
      </c>
      <c r="F4611" s="2">
        <f t="shared" ref="F4611:F4674" ca="1" si="511">RANDBETWEEN(5000,35000)</f>
        <v>17018</v>
      </c>
      <c r="G4611" s="2">
        <f t="shared" ref="G4611:G4674" ca="1" si="512">RANDBETWEEN(ROUND(F4611*0.02,0),ROUND(F4611*0.08,0))</f>
        <v>409</v>
      </c>
    </row>
    <row r="4612" spans="1:7" x14ac:dyDescent="0.3">
      <c r="A4612" s="5" t="str">
        <f t="shared" si="506"/>
        <v>Adidas</v>
      </c>
      <c r="B4612" s="5" t="str">
        <f t="shared" si="508"/>
        <v>Gazelle</v>
      </c>
      <c r="C4612" s="3">
        <f t="shared" si="507"/>
        <v>45965</v>
      </c>
      <c r="D4612" s="4">
        <f t="shared" ca="1" si="509"/>
        <v>152</v>
      </c>
      <c r="E4612" s="2">
        <f t="shared" ca="1" si="510"/>
        <v>6123</v>
      </c>
      <c r="F4612" s="2">
        <f t="shared" ca="1" si="511"/>
        <v>10322</v>
      </c>
      <c r="G4612" s="2">
        <f t="shared" ca="1" si="512"/>
        <v>321</v>
      </c>
    </row>
    <row r="4613" spans="1:7" x14ac:dyDescent="0.3">
      <c r="A4613" s="5" t="str">
        <f t="shared" si="506"/>
        <v>Puma</v>
      </c>
      <c r="B4613" s="5" t="str">
        <f t="shared" si="508"/>
        <v>Slipstream</v>
      </c>
      <c r="C4613" s="3">
        <f t="shared" si="507"/>
        <v>45965</v>
      </c>
      <c r="D4613" s="4">
        <f t="shared" ca="1" si="509"/>
        <v>112</v>
      </c>
      <c r="E4613" s="2">
        <f t="shared" ca="1" si="510"/>
        <v>1966</v>
      </c>
      <c r="F4613" s="2">
        <f t="shared" ca="1" si="511"/>
        <v>14581</v>
      </c>
      <c r="G4613" s="2">
        <f t="shared" ca="1" si="512"/>
        <v>404</v>
      </c>
    </row>
    <row r="4614" spans="1:7" x14ac:dyDescent="0.3">
      <c r="A4614" s="5" t="str">
        <f t="shared" si="506"/>
        <v>New Balance</v>
      </c>
      <c r="B4614" s="5" t="str">
        <f t="shared" si="508"/>
        <v>550</v>
      </c>
      <c r="C4614" s="3">
        <f t="shared" si="507"/>
        <v>45965</v>
      </c>
      <c r="D4614" s="4">
        <f t="shared" ca="1" si="509"/>
        <v>28</v>
      </c>
      <c r="E4614" s="2">
        <f t="shared" ca="1" si="510"/>
        <v>6021</v>
      </c>
      <c r="F4614" s="2">
        <f t="shared" ca="1" si="511"/>
        <v>5553</v>
      </c>
      <c r="G4614" s="2">
        <f t="shared" ca="1" si="512"/>
        <v>364</v>
      </c>
    </row>
    <row r="4615" spans="1:7" x14ac:dyDescent="0.3">
      <c r="A4615" s="5" t="str">
        <f t="shared" si="506"/>
        <v>Reebok</v>
      </c>
      <c r="B4615" s="5" t="str">
        <f t="shared" si="508"/>
        <v>Classic Leather</v>
      </c>
      <c r="C4615" s="3">
        <f t="shared" si="507"/>
        <v>45965</v>
      </c>
      <c r="D4615" s="4">
        <f t="shared" ca="1" si="509"/>
        <v>167</v>
      </c>
      <c r="E4615" s="2">
        <f t="shared" ca="1" si="510"/>
        <v>9269</v>
      </c>
      <c r="F4615" s="2">
        <f t="shared" ca="1" si="511"/>
        <v>33091</v>
      </c>
      <c r="G4615" s="2">
        <f t="shared" ca="1" si="512"/>
        <v>1331</v>
      </c>
    </row>
    <row r="4616" spans="1:7" x14ac:dyDescent="0.3">
      <c r="A4616" s="5" t="str">
        <f t="shared" si="506"/>
        <v>Nike</v>
      </c>
      <c r="B4616" s="5" t="str">
        <f t="shared" si="508"/>
        <v>Air Force 1</v>
      </c>
      <c r="C4616" s="3">
        <f t="shared" si="507"/>
        <v>45965</v>
      </c>
      <c r="D4616" s="4">
        <f t="shared" ca="1" si="509"/>
        <v>32</v>
      </c>
      <c r="E4616" s="2">
        <f t="shared" ca="1" si="510"/>
        <v>3071</v>
      </c>
      <c r="F4616" s="2">
        <f t="shared" ca="1" si="511"/>
        <v>5878</v>
      </c>
      <c r="G4616" s="2">
        <f t="shared" ca="1" si="512"/>
        <v>437</v>
      </c>
    </row>
    <row r="4617" spans="1:7" x14ac:dyDescent="0.3">
      <c r="A4617" s="5" t="str">
        <f t="shared" si="506"/>
        <v>Adidas</v>
      </c>
      <c r="B4617" s="5" t="str">
        <f t="shared" si="508"/>
        <v>Superstar</v>
      </c>
      <c r="C4617" s="3">
        <f t="shared" si="507"/>
        <v>45965</v>
      </c>
      <c r="D4617" s="4">
        <f t="shared" ca="1" si="509"/>
        <v>158</v>
      </c>
      <c r="E4617" s="2">
        <f t="shared" ca="1" si="510"/>
        <v>4569</v>
      </c>
      <c r="F4617" s="2">
        <f t="shared" ca="1" si="511"/>
        <v>20046</v>
      </c>
      <c r="G4617" s="2">
        <f t="shared" ca="1" si="512"/>
        <v>1283</v>
      </c>
    </row>
    <row r="4618" spans="1:7" x14ac:dyDescent="0.3">
      <c r="A4618" s="5" t="str">
        <f t="shared" si="506"/>
        <v>Puma</v>
      </c>
      <c r="B4618" s="5" t="str">
        <f t="shared" si="508"/>
        <v>Rider Vintage</v>
      </c>
      <c r="C4618" s="3">
        <f t="shared" si="507"/>
        <v>45965</v>
      </c>
      <c r="D4618" s="4">
        <f t="shared" ca="1" si="509"/>
        <v>144</v>
      </c>
      <c r="E4618" s="2">
        <f t="shared" ca="1" si="510"/>
        <v>5553</v>
      </c>
      <c r="F4618" s="2">
        <f t="shared" ca="1" si="511"/>
        <v>5494</v>
      </c>
      <c r="G4618" s="2">
        <f t="shared" ca="1" si="512"/>
        <v>348</v>
      </c>
    </row>
    <row r="4619" spans="1:7" x14ac:dyDescent="0.3">
      <c r="A4619" s="5" t="str">
        <f t="shared" si="506"/>
        <v>New Balance</v>
      </c>
      <c r="B4619" s="5" t="str">
        <f t="shared" si="508"/>
        <v>327</v>
      </c>
      <c r="C4619" s="3">
        <f t="shared" si="507"/>
        <v>45965</v>
      </c>
      <c r="D4619" s="4">
        <f t="shared" ca="1" si="509"/>
        <v>225</v>
      </c>
      <c r="E4619" s="2">
        <f t="shared" ca="1" si="510"/>
        <v>9920</v>
      </c>
      <c r="F4619" s="2">
        <f t="shared" ca="1" si="511"/>
        <v>18452</v>
      </c>
      <c r="G4619" s="2">
        <f t="shared" ca="1" si="512"/>
        <v>808</v>
      </c>
    </row>
    <row r="4620" spans="1:7" x14ac:dyDescent="0.3">
      <c r="A4620" s="5" t="str">
        <f t="shared" si="506"/>
        <v>Reebok</v>
      </c>
      <c r="B4620" s="5" t="str">
        <f t="shared" si="508"/>
        <v>Question Mid</v>
      </c>
      <c r="C4620" s="3">
        <f t="shared" si="507"/>
        <v>45965</v>
      </c>
      <c r="D4620" s="4">
        <f t="shared" ca="1" si="509"/>
        <v>89</v>
      </c>
      <c r="E4620" s="2">
        <f t="shared" ca="1" si="510"/>
        <v>1405</v>
      </c>
      <c r="F4620" s="2">
        <f t="shared" ca="1" si="511"/>
        <v>8492</v>
      </c>
      <c r="G4620" s="2">
        <f t="shared" ca="1" si="512"/>
        <v>241</v>
      </c>
    </row>
    <row r="4621" spans="1:7" x14ac:dyDescent="0.3">
      <c r="A4621" s="5" t="str">
        <f t="shared" si="506"/>
        <v>Nike</v>
      </c>
      <c r="B4621" s="5" t="str">
        <f t="shared" si="508"/>
        <v>Air Max 270</v>
      </c>
      <c r="C4621" s="3">
        <f t="shared" si="507"/>
        <v>45965</v>
      </c>
      <c r="D4621" s="4">
        <f t="shared" ca="1" si="509"/>
        <v>120</v>
      </c>
      <c r="E4621" s="2">
        <f t="shared" ca="1" si="510"/>
        <v>3736</v>
      </c>
      <c r="F4621" s="2">
        <f t="shared" ca="1" si="511"/>
        <v>5983</v>
      </c>
      <c r="G4621" s="2">
        <f t="shared" ca="1" si="512"/>
        <v>452</v>
      </c>
    </row>
    <row r="4622" spans="1:7" x14ac:dyDescent="0.3">
      <c r="A4622" s="5" t="str">
        <f t="shared" si="506"/>
        <v>Adidas</v>
      </c>
      <c r="B4622" s="5" t="str">
        <f t="shared" si="508"/>
        <v>Stan Smith</v>
      </c>
      <c r="C4622" s="3">
        <f t="shared" si="507"/>
        <v>45966</v>
      </c>
      <c r="D4622" s="4">
        <f t="shared" ca="1" si="509"/>
        <v>91</v>
      </c>
      <c r="E4622" s="2">
        <f t="shared" ca="1" si="510"/>
        <v>5009</v>
      </c>
      <c r="F4622" s="2">
        <f t="shared" ca="1" si="511"/>
        <v>30082</v>
      </c>
      <c r="G4622" s="2">
        <f t="shared" ca="1" si="512"/>
        <v>1594</v>
      </c>
    </row>
    <row r="4623" spans="1:7" x14ac:dyDescent="0.3">
      <c r="A4623" s="5" t="str">
        <f t="shared" si="506"/>
        <v>Puma</v>
      </c>
      <c r="B4623" s="5" t="str">
        <f t="shared" si="508"/>
        <v>Cali Dream</v>
      </c>
      <c r="C4623" s="3">
        <f t="shared" si="507"/>
        <v>45966</v>
      </c>
      <c r="D4623" s="4">
        <f t="shared" ca="1" si="509"/>
        <v>108</v>
      </c>
      <c r="E4623" s="2">
        <f t="shared" ca="1" si="510"/>
        <v>5958</v>
      </c>
      <c r="F4623" s="2">
        <f t="shared" ca="1" si="511"/>
        <v>34969</v>
      </c>
      <c r="G4623" s="2">
        <f t="shared" ca="1" si="512"/>
        <v>892</v>
      </c>
    </row>
    <row r="4624" spans="1:7" x14ac:dyDescent="0.3">
      <c r="A4624" s="5" t="str">
        <f t="shared" si="506"/>
        <v>New Balance</v>
      </c>
      <c r="B4624" s="5" t="str">
        <f t="shared" si="508"/>
        <v>9060</v>
      </c>
      <c r="C4624" s="3">
        <f t="shared" si="507"/>
        <v>45966</v>
      </c>
      <c r="D4624" s="4">
        <f t="shared" ca="1" si="509"/>
        <v>240</v>
      </c>
      <c r="E4624" s="2">
        <f t="shared" ca="1" si="510"/>
        <v>4334</v>
      </c>
      <c r="F4624" s="2">
        <f t="shared" ca="1" si="511"/>
        <v>24814</v>
      </c>
      <c r="G4624" s="2">
        <f t="shared" ca="1" si="512"/>
        <v>665</v>
      </c>
    </row>
    <row r="4625" spans="1:7" x14ac:dyDescent="0.3">
      <c r="A4625" s="5" t="str">
        <f t="shared" si="506"/>
        <v>Reebok</v>
      </c>
      <c r="B4625" s="5" t="str">
        <f t="shared" si="508"/>
        <v>Zig Kinetica</v>
      </c>
      <c r="C4625" s="3">
        <f t="shared" si="507"/>
        <v>45966</v>
      </c>
      <c r="D4625" s="4">
        <f t="shared" ca="1" si="509"/>
        <v>128</v>
      </c>
      <c r="E4625" s="2">
        <f t="shared" ca="1" si="510"/>
        <v>10040</v>
      </c>
      <c r="F4625" s="2">
        <f t="shared" ca="1" si="511"/>
        <v>33654</v>
      </c>
      <c r="G4625" s="2">
        <f t="shared" ca="1" si="512"/>
        <v>2219</v>
      </c>
    </row>
    <row r="4626" spans="1:7" x14ac:dyDescent="0.3">
      <c r="A4626" s="5" t="str">
        <f t="shared" si="506"/>
        <v>Nike</v>
      </c>
      <c r="B4626" s="5" t="str">
        <f t="shared" si="508"/>
        <v>Jordan 1</v>
      </c>
      <c r="C4626" s="3">
        <f t="shared" si="507"/>
        <v>45966</v>
      </c>
      <c r="D4626" s="4">
        <f t="shared" ca="1" si="509"/>
        <v>128</v>
      </c>
      <c r="E4626" s="2">
        <f t="shared" ca="1" si="510"/>
        <v>3473</v>
      </c>
      <c r="F4626" s="2">
        <f t="shared" ca="1" si="511"/>
        <v>8239</v>
      </c>
      <c r="G4626" s="2">
        <f t="shared" ca="1" si="512"/>
        <v>367</v>
      </c>
    </row>
    <row r="4627" spans="1:7" x14ac:dyDescent="0.3">
      <c r="A4627" s="5" t="str">
        <f t="shared" si="506"/>
        <v>Adidas</v>
      </c>
      <c r="B4627" s="5" t="str">
        <f t="shared" si="508"/>
        <v>Ultraboost 23</v>
      </c>
      <c r="C4627" s="3">
        <f t="shared" si="507"/>
        <v>45966</v>
      </c>
      <c r="D4627" s="4">
        <f t="shared" ca="1" si="509"/>
        <v>23</v>
      </c>
      <c r="E4627" s="2">
        <f t="shared" ca="1" si="510"/>
        <v>1654</v>
      </c>
      <c r="F4627" s="2">
        <f t="shared" ca="1" si="511"/>
        <v>17522</v>
      </c>
      <c r="G4627" s="2">
        <f t="shared" ca="1" si="512"/>
        <v>1336</v>
      </c>
    </row>
    <row r="4628" spans="1:7" x14ac:dyDescent="0.3">
      <c r="A4628" s="5" t="str">
        <f t="shared" si="506"/>
        <v>Puma</v>
      </c>
      <c r="B4628" s="5" t="str">
        <f t="shared" si="508"/>
        <v>RS-X</v>
      </c>
      <c r="C4628" s="3">
        <f t="shared" si="507"/>
        <v>45966</v>
      </c>
      <c r="D4628" s="4">
        <f t="shared" ca="1" si="509"/>
        <v>163</v>
      </c>
      <c r="E4628" s="2">
        <f t="shared" ca="1" si="510"/>
        <v>7756</v>
      </c>
      <c r="F4628" s="2">
        <f t="shared" ca="1" si="511"/>
        <v>19446</v>
      </c>
      <c r="G4628" s="2">
        <f t="shared" ca="1" si="512"/>
        <v>1546</v>
      </c>
    </row>
    <row r="4629" spans="1:7" x14ac:dyDescent="0.3">
      <c r="A4629" s="5" t="str">
        <f t="shared" si="506"/>
        <v>New Balance</v>
      </c>
      <c r="B4629" s="5" t="str">
        <f t="shared" si="508"/>
        <v>2002R</v>
      </c>
      <c r="C4629" s="3">
        <f t="shared" si="507"/>
        <v>45966</v>
      </c>
      <c r="D4629" s="4">
        <f t="shared" ca="1" si="509"/>
        <v>80</v>
      </c>
      <c r="E4629" s="2">
        <f t="shared" ca="1" si="510"/>
        <v>5278</v>
      </c>
      <c r="F4629" s="2">
        <f t="shared" ca="1" si="511"/>
        <v>31132</v>
      </c>
      <c r="G4629" s="2">
        <f t="shared" ca="1" si="512"/>
        <v>2349</v>
      </c>
    </row>
    <row r="4630" spans="1:7" x14ac:dyDescent="0.3">
      <c r="A4630" s="5" t="str">
        <f t="shared" si="506"/>
        <v>Reebok</v>
      </c>
      <c r="B4630" s="5" t="str">
        <f t="shared" si="508"/>
        <v>Instapump Fury</v>
      </c>
      <c r="C4630" s="3">
        <f t="shared" si="507"/>
        <v>45966</v>
      </c>
      <c r="D4630" s="4">
        <f t="shared" ca="1" si="509"/>
        <v>96</v>
      </c>
      <c r="E4630" s="2">
        <f t="shared" ca="1" si="510"/>
        <v>1935</v>
      </c>
      <c r="F4630" s="2">
        <f t="shared" ca="1" si="511"/>
        <v>23318</v>
      </c>
      <c r="G4630" s="2">
        <f t="shared" ca="1" si="512"/>
        <v>779</v>
      </c>
    </row>
    <row r="4631" spans="1:7" x14ac:dyDescent="0.3">
      <c r="A4631" s="5" t="str">
        <f t="shared" si="506"/>
        <v>Nike</v>
      </c>
      <c r="B4631" s="5" t="str">
        <f t="shared" si="508"/>
        <v>Cortez</v>
      </c>
      <c r="C4631" s="3">
        <f t="shared" si="507"/>
        <v>45966</v>
      </c>
      <c r="D4631" s="4">
        <f t="shared" ca="1" si="509"/>
        <v>213</v>
      </c>
      <c r="E4631" s="2">
        <f t="shared" ca="1" si="510"/>
        <v>7920</v>
      </c>
      <c r="F4631" s="2">
        <f t="shared" ca="1" si="511"/>
        <v>29034</v>
      </c>
      <c r="G4631" s="2">
        <f t="shared" ca="1" si="512"/>
        <v>1265</v>
      </c>
    </row>
    <row r="4632" spans="1:7" x14ac:dyDescent="0.3">
      <c r="A4632" s="5" t="str">
        <f t="shared" si="506"/>
        <v>Adidas</v>
      </c>
      <c r="B4632" s="5" t="str">
        <f t="shared" si="508"/>
        <v>NMD S1</v>
      </c>
      <c r="C4632" s="3">
        <f t="shared" si="507"/>
        <v>45966</v>
      </c>
      <c r="D4632" s="4">
        <f t="shared" ca="1" si="509"/>
        <v>85</v>
      </c>
      <c r="E4632" s="2">
        <f t="shared" ca="1" si="510"/>
        <v>7596</v>
      </c>
      <c r="F4632" s="2">
        <f t="shared" ca="1" si="511"/>
        <v>28568</v>
      </c>
      <c r="G4632" s="2">
        <f t="shared" ca="1" si="512"/>
        <v>1760</v>
      </c>
    </row>
    <row r="4633" spans="1:7" x14ac:dyDescent="0.3">
      <c r="A4633" s="5" t="str">
        <f t="shared" si="506"/>
        <v>Puma</v>
      </c>
      <c r="B4633" s="5" t="str">
        <f t="shared" si="508"/>
        <v>Suede Classic</v>
      </c>
      <c r="C4633" s="3">
        <f t="shared" si="507"/>
        <v>45966</v>
      </c>
      <c r="D4633" s="4">
        <f t="shared" ca="1" si="509"/>
        <v>58</v>
      </c>
      <c r="E4633" s="2">
        <f t="shared" ca="1" si="510"/>
        <v>9540</v>
      </c>
      <c r="F4633" s="2">
        <f t="shared" ca="1" si="511"/>
        <v>21032</v>
      </c>
      <c r="G4633" s="2">
        <f t="shared" ca="1" si="512"/>
        <v>512</v>
      </c>
    </row>
    <row r="4634" spans="1:7" x14ac:dyDescent="0.3">
      <c r="A4634" s="5" t="str">
        <f t="shared" si="506"/>
        <v>New Balance</v>
      </c>
      <c r="B4634" s="5" t="str">
        <f t="shared" si="508"/>
        <v>990v6</v>
      </c>
      <c r="C4634" s="3">
        <f t="shared" si="507"/>
        <v>45966</v>
      </c>
      <c r="D4634" s="4">
        <f t="shared" ca="1" si="509"/>
        <v>95</v>
      </c>
      <c r="E4634" s="2">
        <f t="shared" ca="1" si="510"/>
        <v>5296</v>
      </c>
      <c r="F4634" s="2">
        <f t="shared" ca="1" si="511"/>
        <v>20513</v>
      </c>
      <c r="G4634" s="2">
        <f t="shared" ca="1" si="512"/>
        <v>534</v>
      </c>
    </row>
    <row r="4635" spans="1:7" x14ac:dyDescent="0.3">
      <c r="A4635" s="5" t="str">
        <f t="shared" si="506"/>
        <v>Reebok</v>
      </c>
      <c r="B4635" s="5" t="str">
        <f t="shared" si="508"/>
        <v>Nano X3</v>
      </c>
      <c r="C4635" s="3">
        <f t="shared" si="507"/>
        <v>45966</v>
      </c>
      <c r="D4635" s="4">
        <f t="shared" ca="1" si="509"/>
        <v>98</v>
      </c>
      <c r="E4635" s="2">
        <f t="shared" ca="1" si="510"/>
        <v>4635</v>
      </c>
      <c r="F4635" s="2">
        <f t="shared" ca="1" si="511"/>
        <v>34493</v>
      </c>
      <c r="G4635" s="2">
        <f t="shared" ca="1" si="512"/>
        <v>2068</v>
      </c>
    </row>
    <row r="4636" spans="1:7" x14ac:dyDescent="0.3">
      <c r="A4636" s="5" t="str">
        <f t="shared" si="506"/>
        <v>Nike</v>
      </c>
      <c r="B4636" s="5" t="str">
        <f t="shared" si="508"/>
        <v>Vaporfly 3</v>
      </c>
      <c r="C4636" s="3">
        <f t="shared" si="507"/>
        <v>45966</v>
      </c>
      <c r="D4636" s="4">
        <f t="shared" ca="1" si="509"/>
        <v>92</v>
      </c>
      <c r="E4636" s="2">
        <f t="shared" ca="1" si="510"/>
        <v>2809</v>
      </c>
      <c r="F4636" s="2">
        <f t="shared" ca="1" si="511"/>
        <v>8348</v>
      </c>
      <c r="G4636" s="2">
        <f t="shared" ca="1" si="512"/>
        <v>581</v>
      </c>
    </row>
    <row r="4637" spans="1:7" x14ac:dyDescent="0.3">
      <c r="A4637" s="5" t="str">
        <f t="shared" si="506"/>
        <v>Adidas</v>
      </c>
      <c r="B4637" s="5" t="str">
        <f t="shared" si="508"/>
        <v>Samba</v>
      </c>
      <c r="C4637" s="3">
        <f t="shared" si="507"/>
        <v>45967</v>
      </c>
      <c r="D4637" s="4">
        <f t="shared" ca="1" si="509"/>
        <v>34</v>
      </c>
      <c r="E4637" s="2">
        <f t="shared" ca="1" si="510"/>
        <v>5266</v>
      </c>
      <c r="F4637" s="2">
        <f t="shared" ca="1" si="511"/>
        <v>12041</v>
      </c>
      <c r="G4637" s="2">
        <f t="shared" ca="1" si="512"/>
        <v>442</v>
      </c>
    </row>
    <row r="4638" spans="1:7" x14ac:dyDescent="0.3">
      <c r="A4638" s="5" t="str">
        <f t="shared" si="506"/>
        <v>Puma</v>
      </c>
      <c r="B4638" s="5" t="str">
        <f t="shared" si="508"/>
        <v>Mayze</v>
      </c>
      <c r="C4638" s="3">
        <f t="shared" si="507"/>
        <v>45967</v>
      </c>
      <c r="D4638" s="4">
        <f t="shared" ca="1" si="509"/>
        <v>239</v>
      </c>
      <c r="E4638" s="2">
        <f t="shared" ca="1" si="510"/>
        <v>10004</v>
      </c>
      <c r="F4638" s="2">
        <f t="shared" ca="1" si="511"/>
        <v>21836</v>
      </c>
      <c r="G4638" s="2">
        <f t="shared" ca="1" si="512"/>
        <v>577</v>
      </c>
    </row>
    <row r="4639" spans="1:7" x14ac:dyDescent="0.3">
      <c r="A4639" s="5" t="str">
        <f t="shared" si="506"/>
        <v>New Balance</v>
      </c>
      <c r="B4639" s="5" t="str">
        <f t="shared" si="508"/>
        <v>574 Core</v>
      </c>
      <c r="C4639" s="3">
        <f t="shared" si="507"/>
        <v>45967</v>
      </c>
      <c r="D4639" s="4">
        <f t="shared" ca="1" si="509"/>
        <v>95</v>
      </c>
      <c r="E4639" s="2">
        <f t="shared" ca="1" si="510"/>
        <v>6993</v>
      </c>
      <c r="F4639" s="2">
        <f t="shared" ca="1" si="511"/>
        <v>24608</v>
      </c>
      <c r="G4639" s="2">
        <f t="shared" ca="1" si="512"/>
        <v>1861</v>
      </c>
    </row>
    <row r="4640" spans="1:7" x14ac:dyDescent="0.3">
      <c r="A4640" s="5" t="str">
        <f t="shared" si="506"/>
        <v>Reebok</v>
      </c>
      <c r="B4640" s="5" t="str">
        <f t="shared" si="508"/>
        <v>Club C 85</v>
      </c>
      <c r="C4640" s="3">
        <f t="shared" si="507"/>
        <v>45967</v>
      </c>
      <c r="D4640" s="4">
        <f t="shared" ca="1" si="509"/>
        <v>69</v>
      </c>
      <c r="E4640" s="2">
        <f t="shared" ca="1" si="510"/>
        <v>3837</v>
      </c>
      <c r="F4640" s="2">
        <f t="shared" ca="1" si="511"/>
        <v>23569</v>
      </c>
      <c r="G4640" s="2">
        <f t="shared" ca="1" si="512"/>
        <v>1284</v>
      </c>
    </row>
    <row r="4641" spans="1:7" x14ac:dyDescent="0.3">
      <c r="A4641" s="5" t="str">
        <f t="shared" si="506"/>
        <v>Nike</v>
      </c>
      <c r="B4641" s="5" t="str">
        <f t="shared" si="508"/>
        <v>Pegasus 40</v>
      </c>
      <c r="C4641" s="3">
        <f t="shared" si="507"/>
        <v>45967</v>
      </c>
      <c r="D4641" s="4">
        <f t="shared" ca="1" si="509"/>
        <v>248</v>
      </c>
      <c r="E4641" s="2">
        <f t="shared" ca="1" si="510"/>
        <v>4290</v>
      </c>
      <c r="F4641" s="2">
        <f t="shared" ca="1" si="511"/>
        <v>20273</v>
      </c>
      <c r="G4641" s="2">
        <f t="shared" ca="1" si="512"/>
        <v>1303</v>
      </c>
    </row>
    <row r="4642" spans="1:7" x14ac:dyDescent="0.3">
      <c r="A4642" s="5" t="str">
        <f t="shared" si="506"/>
        <v>Adidas</v>
      </c>
      <c r="B4642" s="5" t="str">
        <f t="shared" si="508"/>
        <v>Gazelle</v>
      </c>
      <c r="C4642" s="3">
        <f t="shared" si="507"/>
        <v>45967</v>
      </c>
      <c r="D4642" s="4">
        <f t="shared" ca="1" si="509"/>
        <v>121</v>
      </c>
      <c r="E4642" s="2">
        <f t="shared" ca="1" si="510"/>
        <v>7717</v>
      </c>
      <c r="F4642" s="2">
        <f t="shared" ca="1" si="511"/>
        <v>6108</v>
      </c>
      <c r="G4642" s="2">
        <f t="shared" ca="1" si="512"/>
        <v>444</v>
      </c>
    </row>
    <row r="4643" spans="1:7" x14ac:dyDescent="0.3">
      <c r="A4643" s="5" t="str">
        <f t="shared" si="506"/>
        <v>Puma</v>
      </c>
      <c r="B4643" s="5" t="str">
        <f t="shared" si="508"/>
        <v>Slipstream</v>
      </c>
      <c r="C4643" s="3">
        <f t="shared" si="507"/>
        <v>45967</v>
      </c>
      <c r="D4643" s="4">
        <f t="shared" ca="1" si="509"/>
        <v>170</v>
      </c>
      <c r="E4643" s="2">
        <f t="shared" ca="1" si="510"/>
        <v>6654</v>
      </c>
      <c r="F4643" s="2">
        <f t="shared" ca="1" si="511"/>
        <v>15445</v>
      </c>
      <c r="G4643" s="2">
        <f t="shared" ca="1" si="512"/>
        <v>1132</v>
      </c>
    </row>
    <row r="4644" spans="1:7" x14ac:dyDescent="0.3">
      <c r="A4644" s="5" t="str">
        <f t="shared" si="506"/>
        <v>New Balance</v>
      </c>
      <c r="B4644" s="5" t="str">
        <f t="shared" si="508"/>
        <v>550</v>
      </c>
      <c r="C4644" s="3">
        <f t="shared" si="507"/>
        <v>45967</v>
      </c>
      <c r="D4644" s="4">
        <f t="shared" ca="1" si="509"/>
        <v>185</v>
      </c>
      <c r="E4644" s="2">
        <f t="shared" ca="1" si="510"/>
        <v>4988</v>
      </c>
      <c r="F4644" s="2">
        <f t="shared" ca="1" si="511"/>
        <v>14712</v>
      </c>
      <c r="G4644" s="2">
        <f t="shared" ca="1" si="512"/>
        <v>984</v>
      </c>
    </row>
    <row r="4645" spans="1:7" x14ac:dyDescent="0.3">
      <c r="A4645" s="5" t="str">
        <f t="shared" si="506"/>
        <v>Reebok</v>
      </c>
      <c r="B4645" s="5" t="str">
        <f t="shared" si="508"/>
        <v>Classic Leather</v>
      </c>
      <c r="C4645" s="3">
        <f t="shared" si="507"/>
        <v>45967</v>
      </c>
      <c r="D4645" s="4">
        <f t="shared" ca="1" si="509"/>
        <v>223</v>
      </c>
      <c r="E4645" s="2">
        <f t="shared" ca="1" si="510"/>
        <v>8292</v>
      </c>
      <c r="F4645" s="2">
        <f t="shared" ca="1" si="511"/>
        <v>22811</v>
      </c>
      <c r="G4645" s="2">
        <f t="shared" ca="1" si="512"/>
        <v>658</v>
      </c>
    </row>
    <row r="4646" spans="1:7" x14ac:dyDescent="0.3">
      <c r="A4646" s="5" t="str">
        <f t="shared" si="506"/>
        <v>Nike</v>
      </c>
      <c r="B4646" s="5" t="str">
        <f t="shared" si="508"/>
        <v>Air Force 1</v>
      </c>
      <c r="C4646" s="3">
        <f t="shared" si="507"/>
        <v>45967</v>
      </c>
      <c r="D4646" s="4">
        <f t="shared" ca="1" si="509"/>
        <v>72</v>
      </c>
      <c r="E4646" s="2">
        <f t="shared" ca="1" si="510"/>
        <v>2047</v>
      </c>
      <c r="F4646" s="2">
        <f t="shared" ca="1" si="511"/>
        <v>16282</v>
      </c>
      <c r="G4646" s="2">
        <f t="shared" ca="1" si="512"/>
        <v>934</v>
      </c>
    </row>
    <row r="4647" spans="1:7" x14ac:dyDescent="0.3">
      <c r="A4647" s="5" t="str">
        <f t="shared" si="506"/>
        <v>Adidas</v>
      </c>
      <c r="B4647" s="5" t="str">
        <f t="shared" si="508"/>
        <v>Superstar</v>
      </c>
      <c r="C4647" s="3">
        <f t="shared" si="507"/>
        <v>45967</v>
      </c>
      <c r="D4647" s="4">
        <f t="shared" ca="1" si="509"/>
        <v>54</v>
      </c>
      <c r="E4647" s="2">
        <f t="shared" ca="1" si="510"/>
        <v>7918</v>
      </c>
      <c r="F4647" s="2">
        <f t="shared" ca="1" si="511"/>
        <v>31994</v>
      </c>
      <c r="G4647" s="2">
        <f t="shared" ca="1" si="512"/>
        <v>2043</v>
      </c>
    </row>
    <row r="4648" spans="1:7" x14ac:dyDescent="0.3">
      <c r="A4648" s="5" t="str">
        <f t="shared" si="506"/>
        <v>Puma</v>
      </c>
      <c r="B4648" s="5" t="str">
        <f t="shared" si="508"/>
        <v>Rider Vintage</v>
      </c>
      <c r="C4648" s="3">
        <f t="shared" si="507"/>
        <v>45967</v>
      </c>
      <c r="D4648" s="4">
        <f t="shared" ca="1" si="509"/>
        <v>99</v>
      </c>
      <c r="E4648" s="2">
        <f t="shared" ca="1" si="510"/>
        <v>10110</v>
      </c>
      <c r="F4648" s="2">
        <f t="shared" ca="1" si="511"/>
        <v>17419</v>
      </c>
      <c r="G4648" s="2">
        <f t="shared" ca="1" si="512"/>
        <v>977</v>
      </c>
    </row>
    <row r="4649" spans="1:7" x14ac:dyDescent="0.3">
      <c r="A4649" s="5" t="str">
        <f t="shared" si="506"/>
        <v>New Balance</v>
      </c>
      <c r="B4649" s="5" t="str">
        <f t="shared" si="508"/>
        <v>327</v>
      </c>
      <c r="C4649" s="3">
        <f t="shared" si="507"/>
        <v>45967</v>
      </c>
      <c r="D4649" s="4">
        <f t="shared" ca="1" si="509"/>
        <v>131</v>
      </c>
      <c r="E4649" s="2">
        <f t="shared" ca="1" si="510"/>
        <v>7862</v>
      </c>
      <c r="F4649" s="2">
        <f t="shared" ca="1" si="511"/>
        <v>23530</v>
      </c>
      <c r="G4649" s="2">
        <f t="shared" ca="1" si="512"/>
        <v>1871</v>
      </c>
    </row>
    <row r="4650" spans="1:7" x14ac:dyDescent="0.3">
      <c r="A4650" s="5" t="str">
        <f t="shared" si="506"/>
        <v>Reebok</v>
      </c>
      <c r="B4650" s="5" t="str">
        <f t="shared" si="508"/>
        <v>Question Mid</v>
      </c>
      <c r="C4650" s="3">
        <f t="shared" si="507"/>
        <v>45967</v>
      </c>
      <c r="D4650" s="4">
        <f t="shared" ca="1" si="509"/>
        <v>176</v>
      </c>
      <c r="E4650" s="2">
        <f t="shared" ca="1" si="510"/>
        <v>6924</v>
      </c>
      <c r="F4650" s="2">
        <f t="shared" ca="1" si="511"/>
        <v>21108</v>
      </c>
      <c r="G4650" s="2">
        <f t="shared" ca="1" si="512"/>
        <v>729</v>
      </c>
    </row>
    <row r="4651" spans="1:7" x14ac:dyDescent="0.3">
      <c r="A4651" s="5" t="str">
        <f t="shared" ref="A4651:A4714" si="513">CHOOSE(MOD(ROW(A4650),5)+1,"Nike","Adidas","Puma","New Balance","Reebok")</f>
        <v>Nike</v>
      </c>
      <c r="B4651" s="5" t="str">
        <f t="shared" si="508"/>
        <v>Air Max 270</v>
      </c>
      <c r="C4651" s="3">
        <f t="shared" ref="C4651:C4714" si="514">DATE(2025,1,1)+INT((ROW(A4651)-2)/15)</f>
        <v>45967</v>
      </c>
      <c r="D4651" s="4">
        <f t="shared" ca="1" si="509"/>
        <v>73</v>
      </c>
      <c r="E4651" s="2">
        <f t="shared" ca="1" si="510"/>
        <v>4448</v>
      </c>
      <c r="F4651" s="2">
        <f t="shared" ca="1" si="511"/>
        <v>23893</v>
      </c>
      <c r="G4651" s="2">
        <f t="shared" ca="1" si="512"/>
        <v>1891</v>
      </c>
    </row>
    <row r="4652" spans="1:7" x14ac:dyDescent="0.3">
      <c r="A4652" s="5" t="str">
        <f t="shared" si="513"/>
        <v>Adidas</v>
      </c>
      <c r="B4652" s="5" t="str">
        <f t="shared" si="508"/>
        <v>Stan Smith</v>
      </c>
      <c r="C4652" s="3">
        <f t="shared" si="514"/>
        <v>45968</v>
      </c>
      <c r="D4652" s="4">
        <f t="shared" ca="1" si="509"/>
        <v>62</v>
      </c>
      <c r="E4652" s="2">
        <f t="shared" ca="1" si="510"/>
        <v>4670</v>
      </c>
      <c r="F4652" s="2">
        <f t="shared" ca="1" si="511"/>
        <v>29014</v>
      </c>
      <c r="G4652" s="2">
        <f t="shared" ca="1" si="512"/>
        <v>1475</v>
      </c>
    </row>
    <row r="4653" spans="1:7" x14ac:dyDescent="0.3">
      <c r="A4653" s="5" t="str">
        <f t="shared" si="513"/>
        <v>Puma</v>
      </c>
      <c r="B4653" s="5" t="str">
        <f t="shared" si="508"/>
        <v>Cali Dream</v>
      </c>
      <c r="C4653" s="3">
        <f t="shared" si="514"/>
        <v>45968</v>
      </c>
      <c r="D4653" s="4">
        <f t="shared" ca="1" si="509"/>
        <v>187</v>
      </c>
      <c r="E4653" s="2">
        <f t="shared" ca="1" si="510"/>
        <v>9292</v>
      </c>
      <c r="F4653" s="2">
        <f t="shared" ca="1" si="511"/>
        <v>21997</v>
      </c>
      <c r="G4653" s="2">
        <f t="shared" ca="1" si="512"/>
        <v>1121</v>
      </c>
    </row>
    <row r="4654" spans="1:7" x14ac:dyDescent="0.3">
      <c r="A4654" s="5" t="str">
        <f t="shared" si="513"/>
        <v>New Balance</v>
      </c>
      <c r="B4654" s="5" t="str">
        <f t="shared" si="508"/>
        <v>9060</v>
      </c>
      <c r="C4654" s="3">
        <f t="shared" si="514"/>
        <v>45968</v>
      </c>
      <c r="D4654" s="4">
        <f t="shared" ca="1" si="509"/>
        <v>84</v>
      </c>
      <c r="E4654" s="2">
        <f t="shared" ca="1" si="510"/>
        <v>8061</v>
      </c>
      <c r="F4654" s="2">
        <f t="shared" ca="1" si="511"/>
        <v>7900</v>
      </c>
      <c r="G4654" s="2">
        <f t="shared" ca="1" si="512"/>
        <v>223</v>
      </c>
    </row>
    <row r="4655" spans="1:7" x14ac:dyDescent="0.3">
      <c r="A4655" s="5" t="str">
        <f t="shared" si="513"/>
        <v>Reebok</v>
      </c>
      <c r="B4655" s="5" t="str">
        <f t="shared" si="508"/>
        <v>Zig Kinetica</v>
      </c>
      <c r="C4655" s="3">
        <f t="shared" si="514"/>
        <v>45968</v>
      </c>
      <c r="D4655" s="4">
        <f t="shared" ca="1" si="509"/>
        <v>108</v>
      </c>
      <c r="E4655" s="2">
        <f t="shared" ca="1" si="510"/>
        <v>2485</v>
      </c>
      <c r="F4655" s="2">
        <f t="shared" ca="1" si="511"/>
        <v>26316</v>
      </c>
      <c r="G4655" s="2">
        <f t="shared" ca="1" si="512"/>
        <v>1602</v>
      </c>
    </row>
    <row r="4656" spans="1:7" x14ac:dyDescent="0.3">
      <c r="A4656" s="5" t="str">
        <f t="shared" si="513"/>
        <v>Nike</v>
      </c>
      <c r="B4656" s="5" t="str">
        <f t="shared" si="508"/>
        <v>Jordan 1</v>
      </c>
      <c r="C4656" s="3">
        <f t="shared" si="514"/>
        <v>45968</v>
      </c>
      <c r="D4656" s="4">
        <f t="shared" ca="1" si="509"/>
        <v>39</v>
      </c>
      <c r="E4656" s="2">
        <f t="shared" ca="1" si="510"/>
        <v>5415</v>
      </c>
      <c r="F4656" s="2">
        <f t="shared" ca="1" si="511"/>
        <v>33635</v>
      </c>
      <c r="G4656" s="2">
        <f t="shared" ca="1" si="512"/>
        <v>1247</v>
      </c>
    </row>
    <row r="4657" spans="1:7" x14ac:dyDescent="0.3">
      <c r="A4657" s="5" t="str">
        <f t="shared" si="513"/>
        <v>Adidas</v>
      </c>
      <c r="B4657" s="5" t="str">
        <f t="shared" si="508"/>
        <v>Ultraboost 23</v>
      </c>
      <c r="C4657" s="3">
        <f t="shared" si="514"/>
        <v>45968</v>
      </c>
      <c r="D4657" s="4">
        <f t="shared" ca="1" si="509"/>
        <v>149</v>
      </c>
      <c r="E4657" s="2">
        <f t="shared" ca="1" si="510"/>
        <v>2408</v>
      </c>
      <c r="F4657" s="2">
        <f t="shared" ca="1" si="511"/>
        <v>14122</v>
      </c>
      <c r="G4657" s="2">
        <f t="shared" ca="1" si="512"/>
        <v>708</v>
      </c>
    </row>
    <row r="4658" spans="1:7" x14ac:dyDescent="0.3">
      <c r="A4658" s="5" t="str">
        <f t="shared" si="513"/>
        <v>Puma</v>
      </c>
      <c r="B4658" s="5" t="str">
        <f t="shared" si="508"/>
        <v>RS-X</v>
      </c>
      <c r="C4658" s="3">
        <f t="shared" si="514"/>
        <v>45968</v>
      </c>
      <c r="D4658" s="4">
        <f t="shared" ca="1" si="509"/>
        <v>63</v>
      </c>
      <c r="E4658" s="2">
        <f t="shared" ca="1" si="510"/>
        <v>1877</v>
      </c>
      <c r="F4658" s="2">
        <f t="shared" ca="1" si="511"/>
        <v>26324</v>
      </c>
      <c r="G4658" s="2">
        <f t="shared" ca="1" si="512"/>
        <v>2036</v>
      </c>
    </row>
    <row r="4659" spans="1:7" x14ac:dyDescent="0.3">
      <c r="A4659" s="5" t="str">
        <f t="shared" si="513"/>
        <v>New Balance</v>
      </c>
      <c r="B4659" s="5" t="str">
        <f t="shared" si="508"/>
        <v>2002R</v>
      </c>
      <c r="C4659" s="3">
        <f t="shared" si="514"/>
        <v>45968</v>
      </c>
      <c r="D4659" s="4">
        <f t="shared" ca="1" si="509"/>
        <v>224</v>
      </c>
      <c r="E4659" s="2">
        <f t="shared" ca="1" si="510"/>
        <v>10949</v>
      </c>
      <c r="F4659" s="2">
        <f t="shared" ca="1" si="511"/>
        <v>11778</v>
      </c>
      <c r="G4659" s="2">
        <f t="shared" ca="1" si="512"/>
        <v>372</v>
      </c>
    </row>
    <row r="4660" spans="1:7" x14ac:dyDescent="0.3">
      <c r="A4660" s="5" t="str">
        <f t="shared" si="513"/>
        <v>Reebok</v>
      </c>
      <c r="B4660" s="5" t="str">
        <f t="shared" si="508"/>
        <v>Instapump Fury</v>
      </c>
      <c r="C4660" s="3">
        <f t="shared" si="514"/>
        <v>45968</v>
      </c>
      <c r="D4660" s="4">
        <f t="shared" ca="1" si="509"/>
        <v>54</v>
      </c>
      <c r="E4660" s="2">
        <f t="shared" ca="1" si="510"/>
        <v>4246</v>
      </c>
      <c r="F4660" s="2">
        <f t="shared" ca="1" si="511"/>
        <v>24323</v>
      </c>
      <c r="G4660" s="2">
        <f t="shared" ca="1" si="512"/>
        <v>940</v>
      </c>
    </row>
    <row r="4661" spans="1:7" x14ac:dyDescent="0.3">
      <c r="A4661" s="5" t="str">
        <f t="shared" si="513"/>
        <v>Nike</v>
      </c>
      <c r="B4661" s="5" t="str">
        <f t="shared" si="508"/>
        <v>Cortez</v>
      </c>
      <c r="C4661" s="3">
        <f t="shared" si="514"/>
        <v>45968</v>
      </c>
      <c r="D4661" s="4">
        <f t="shared" ca="1" si="509"/>
        <v>247</v>
      </c>
      <c r="E4661" s="2">
        <f t="shared" ca="1" si="510"/>
        <v>7581</v>
      </c>
      <c r="F4661" s="2">
        <f t="shared" ca="1" si="511"/>
        <v>8903</v>
      </c>
      <c r="G4661" s="2">
        <f t="shared" ca="1" si="512"/>
        <v>556</v>
      </c>
    </row>
    <row r="4662" spans="1:7" x14ac:dyDescent="0.3">
      <c r="A4662" s="5" t="str">
        <f t="shared" si="513"/>
        <v>Adidas</v>
      </c>
      <c r="B4662" s="5" t="str">
        <f t="shared" si="508"/>
        <v>NMD S1</v>
      </c>
      <c r="C4662" s="3">
        <f t="shared" si="514"/>
        <v>45968</v>
      </c>
      <c r="D4662" s="4">
        <f t="shared" ca="1" si="509"/>
        <v>214</v>
      </c>
      <c r="E4662" s="2">
        <f t="shared" ca="1" si="510"/>
        <v>7691</v>
      </c>
      <c r="F4662" s="2">
        <f t="shared" ca="1" si="511"/>
        <v>21695</v>
      </c>
      <c r="G4662" s="2">
        <f t="shared" ca="1" si="512"/>
        <v>494</v>
      </c>
    </row>
    <row r="4663" spans="1:7" x14ac:dyDescent="0.3">
      <c r="A4663" s="5" t="str">
        <f t="shared" si="513"/>
        <v>Puma</v>
      </c>
      <c r="B4663" s="5" t="str">
        <f t="shared" si="508"/>
        <v>Suede Classic</v>
      </c>
      <c r="C4663" s="3">
        <f t="shared" si="514"/>
        <v>45968</v>
      </c>
      <c r="D4663" s="4">
        <f t="shared" ca="1" si="509"/>
        <v>94</v>
      </c>
      <c r="E4663" s="2">
        <f t="shared" ca="1" si="510"/>
        <v>7326</v>
      </c>
      <c r="F4663" s="2">
        <f t="shared" ca="1" si="511"/>
        <v>6428</v>
      </c>
      <c r="G4663" s="2">
        <f t="shared" ca="1" si="512"/>
        <v>409</v>
      </c>
    </row>
    <row r="4664" spans="1:7" x14ac:dyDescent="0.3">
      <c r="A4664" s="5" t="str">
        <f t="shared" si="513"/>
        <v>New Balance</v>
      </c>
      <c r="B4664" s="5" t="str">
        <f t="shared" si="508"/>
        <v>990v6</v>
      </c>
      <c r="C4664" s="3">
        <f t="shared" si="514"/>
        <v>45968</v>
      </c>
      <c r="D4664" s="4">
        <f t="shared" ca="1" si="509"/>
        <v>95</v>
      </c>
      <c r="E4664" s="2">
        <f t="shared" ca="1" si="510"/>
        <v>4665</v>
      </c>
      <c r="F4664" s="2">
        <f t="shared" ca="1" si="511"/>
        <v>6401</v>
      </c>
      <c r="G4664" s="2">
        <f t="shared" ca="1" si="512"/>
        <v>139</v>
      </c>
    </row>
    <row r="4665" spans="1:7" x14ac:dyDescent="0.3">
      <c r="A4665" s="5" t="str">
        <f t="shared" si="513"/>
        <v>Reebok</v>
      </c>
      <c r="B4665" s="5" t="str">
        <f t="shared" si="508"/>
        <v>Nano X3</v>
      </c>
      <c r="C4665" s="3">
        <f t="shared" si="514"/>
        <v>45968</v>
      </c>
      <c r="D4665" s="4">
        <f t="shared" ca="1" si="509"/>
        <v>217</v>
      </c>
      <c r="E4665" s="2">
        <f t="shared" ca="1" si="510"/>
        <v>4228</v>
      </c>
      <c r="F4665" s="2">
        <f t="shared" ca="1" si="511"/>
        <v>31039</v>
      </c>
      <c r="G4665" s="2">
        <f t="shared" ca="1" si="512"/>
        <v>2450</v>
      </c>
    </row>
    <row r="4666" spans="1:7" x14ac:dyDescent="0.3">
      <c r="A4666" s="5" t="str">
        <f t="shared" si="513"/>
        <v>Nike</v>
      </c>
      <c r="B4666" s="5" t="str">
        <f t="shared" si="508"/>
        <v>Vaporfly 3</v>
      </c>
      <c r="C4666" s="3">
        <f t="shared" si="514"/>
        <v>45968</v>
      </c>
      <c r="D4666" s="4">
        <f t="shared" ca="1" si="509"/>
        <v>202</v>
      </c>
      <c r="E4666" s="2">
        <f t="shared" ca="1" si="510"/>
        <v>5236</v>
      </c>
      <c r="F4666" s="2">
        <f t="shared" ca="1" si="511"/>
        <v>12859</v>
      </c>
      <c r="G4666" s="2">
        <f t="shared" ca="1" si="512"/>
        <v>673</v>
      </c>
    </row>
    <row r="4667" spans="1:7" x14ac:dyDescent="0.3">
      <c r="A4667" s="5" t="str">
        <f t="shared" si="513"/>
        <v>Adidas</v>
      </c>
      <c r="B4667" s="5" t="str">
        <f t="shared" si="508"/>
        <v>Samba</v>
      </c>
      <c r="C4667" s="3">
        <f t="shared" si="514"/>
        <v>45969</v>
      </c>
      <c r="D4667" s="4">
        <f t="shared" ca="1" si="509"/>
        <v>233</v>
      </c>
      <c r="E4667" s="2">
        <f t="shared" ca="1" si="510"/>
        <v>7212</v>
      </c>
      <c r="F4667" s="2">
        <f t="shared" ca="1" si="511"/>
        <v>26562</v>
      </c>
      <c r="G4667" s="2">
        <f t="shared" ca="1" si="512"/>
        <v>1101</v>
      </c>
    </row>
    <row r="4668" spans="1:7" x14ac:dyDescent="0.3">
      <c r="A4668" s="5" t="str">
        <f t="shared" si="513"/>
        <v>Puma</v>
      </c>
      <c r="B4668" s="5" t="str">
        <f t="shared" si="508"/>
        <v>Mayze</v>
      </c>
      <c r="C4668" s="3">
        <f t="shared" si="514"/>
        <v>45969</v>
      </c>
      <c r="D4668" s="4">
        <f t="shared" ca="1" si="509"/>
        <v>226</v>
      </c>
      <c r="E4668" s="2">
        <f t="shared" ca="1" si="510"/>
        <v>2949</v>
      </c>
      <c r="F4668" s="2">
        <f t="shared" ca="1" si="511"/>
        <v>28674</v>
      </c>
      <c r="G4668" s="2">
        <f t="shared" ca="1" si="512"/>
        <v>2194</v>
      </c>
    </row>
    <row r="4669" spans="1:7" x14ac:dyDescent="0.3">
      <c r="A4669" s="5" t="str">
        <f t="shared" si="513"/>
        <v>New Balance</v>
      </c>
      <c r="B4669" s="5" t="str">
        <f t="shared" si="508"/>
        <v>574 Core</v>
      </c>
      <c r="C4669" s="3">
        <f t="shared" si="514"/>
        <v>45969</v>
      </c>
      <c r="D4669" s="4">
        <f t="shared" ca="1" si="509"/>
        <v>34</v>
      </c>
      <c r="E4669" s="2">
        <f t="shared" ca="1" si="510"/>
        <v>3039</v>
      </c>
      <c r="F4669" s="2">
        <f t="shared" ca="1" si="511"/>
        <v>25605</v>
      </c>
      <c r="G4669" s="2">
        <f t="shared" ca="1" si="512"/>
        <v>1167</v>
      </c>
    </row>
    <row r="4670" spans="1:7" x14ac:dyDescent="0.3">
      <c r="A4670" s="5" t="str">
        <f t="shared" si="513"/>
        <v>Reebok</v>
      </c>
      <c r="B4670" s="5" t="str">
        <f t="shared" si="508"/>
        <v>Club C 85</v>
      </c>
      <c r="C4670" s="3">
        <f t="shared" si="514"/>
        <v>45969</v>
      </c>
      <c r="D4670" s="4">
        <f t="shared" ca="1" si="509"/>
        <v>82</v>
      </c>
      <c r="E4670" s="2">
        <f t="shared" ca="1" si="510"/>
        <v>8783</v>
      </c>
      <c r="F4670" s="2">
        <f t="shared" ca="1" si="511"/>
        <v>17717</v>
      </c>
      <c r="G4670" s="2">
        <f t="shared" ca="1" si="512"/>
        <v>396</v>
      </c>
    </row>
    <row r="4671" spans="1:7" x14ac:dyDescent="0.3">
      <c r="A4671" s="5" t="str">
        <f t="shared" si="513"/>
        <v>Nike</v>
      </c>
      <c r="B4671" s="5" t="str">
        <f t="shared" si="508"/>
        <v>Pegasus 40</v>
      </c>
      <c r="C4671" s="3">
        <f t="shared" si="514"/>
        <v>45969</v>
      </c>
      <c r="D4671" s="4">
        <f t="shared" ca="1" si="509"/>
        <v>185</v>
      </c>
      <c r="E4671" s="2">
        <f t="shared" ca="1" si="510"/>
        <v>11194</v>
      </c>
      <c r="F4671" s="2">
        <f t="shared" ca="1" si="511"/>
        <v>21654</v>
      </c>
      <c r="G4671" s="2">
        <f t="shared" ca="1" si="512"/>
        <v>1256</v>
      </c>
    </row>
    <row r="4672" spans="1:7" x14ac:dyDescent="0.3">
      <c r="A4672" s="5" t="str">
        <f t="shared" si="513"/>
        <v>Adidas</v>
      </c>
      <c r="B4672" s="5" t="str">
        <f t="shared" si="508"/>
        <v>Gazelle</v>
      </c>
      <c r="C4672" s="3">
        <f t="shared" si="514"/>
        <v>45969</v>
      </c>
      <c r="D4672" s="4">
        <f t="shared" ca="1" si="509"/>
        <v>54</v>
      </c>
      <c r="E4672" s="2">
        <f t="shared" ca="1" si="510"/>
        <v>8546</v>
      </c>
      <c r="F4672" s="2">
        <f t="shared" ca="1" si="511"/>
        <v>21716</v>
      </c>
      <c r="G4672" s="2">
        <f t="shared" ca="1" si="512"/>
        <v>1534</v>
      </c>
    </row>
    <row r="4673" spans="1:7" x14ac:dyDescent="0.3">
      <c r="A4673" s="5" t="str">
        <f t="shared" si="513"/>
        <v>Puma</v>
      </c>
      <c r="B4673" s="5" t="str">
        <f t="shared" si="508"/>
        <v>Slipstream</v>
      </c>
      <c r="C4673" s="3">
        <f t="shared" si="514"/>
        <v>45969</v>
      </c>
      <c r="D4673" s="4">
        <f t="shared" ca="1" si="509"/>
        <v>136</v>
      </c>
      <c r="E4673" s="2">
        <f t="shared" ca="1" si="510"/>
        <v>11594</v>
      </c>
      <c r="F4673" s="2">
        <f t="shared" ca="1" si="511"/>
        <v>22203</v>
      </c>
      <c r="G4673" s="2">
        <f t="shared" ca="1" si="512"/>
        <v>1577</v>
      </c>
    </row>
    <row r="4674" spans="1:7" x14ac:dyDescent="0.3">
      <c r="A4674" s="5" t="str">
        <f t="shared" si="513"/>
        <v>New Balance</v>
      </c>
      <c r="B4674" s="5" t="str">
        <f t="shared" si="508"/>
        <v>550</v>
      </c>
      <c r="C4674" s="3">
        <f t="shared" si="514"/>
        <v>45969</v>
      </c>
      <c r="D4674" s="4">
        <f t="shared" ca="1" si="509"/>
        <v>111</v>
      </c>
      <c r="E4674" s="2">
        <f t="shared" ca="1" si="510"/>
        <v>3532</v>
      </c>
      <c r="F4674" s="2">
        <f t="shared" ca="1" si="511"/>
        <v>25494</v>
      </c>
      <c r="G4674" s="2">
        <f t="shared" ca="1" si="512"/>
        <v>642</v>
      </c>
    </row>
    <row r="4675" spans="1:7" x14ac:dyDescent="0.3">
      <c r="A4675" s="5" t="str">
        <f t="shared" si="513"/>
        <v>Reebok</v>
      </c>
      <c r="B4675" s="5" t="str">
        <f t="shared" ref="B4675:B4738" si="515">IF(A4675="Nike",CHOOSE(MOD(ROW(A4674),6)+1,"Air Max 270","Air Force 1","Pegasus 40","Vaporfly 3","Cortez","Jordan 1"),
 IF(A4675="Adidas",CHOOSE(MOD(ROW(A4674),6)+1,"Ultraboost 23","Stan Smith","Superstar","Gazelle","Samba","NMD S1"),
 IF(A4675="Puma",CHOOSE(MOD(ROW(A4674),6)+1,"Suede Classic","RS-X","Cali Dream","Rider Vintage","Slipstream","Mayze"),
 IF(A4675="New Balance",CHOOSE(MOD(ROW(A4674),6)+1,"574 Core","990v6","2002R","9060","327","550"),
 IF(A4675="Reebok",CHOOSE(MOD(ROW(A4674),6)+1,"Classic Leather","Club C 85","Nano X3","Instapump Fury","Zig Kinetica","Question Mid"),"")))))</f>
        <v>Classic Leather</v>
      </c>
      <c r="C4675" s="3">
        <f t="shared" si="514"/>
        <v>45969</v>
      </c>
      <c r="D4675" s="4">
        <f t="shared" ref="D4675:D4738" ca="1" si="516">RANDBETWEEN(20,250)</f>
        <v>186</v>
      </c>
      <c r="E4675" s="2">
        <f t="shared" ref="E4675:E4738" ca="1" si="517">ROUND(RANDBETWEEN(1500,12000)+(RANDBETWEEN(-200,200)),2)</f>
        <v>11014</v>
      </c>
      <c r="F4675" s="2">
        <f t="shared" ref="F4675:F4738" ca="1" si="518">RANDBETWEEN(5000,35000)</f>
        <v>21328</v>
      </c>
      <c r="G4675" s="2">
        <f t="shared" ref="G4675:G4738" ca="1" si="519">RANDBETWEEN(ROUND(F4675*0.02,0),ROUND(F4675*0.08,0))</f>
        <v>1578</v>
      </c>
    </row>
    <row r="4676" spans="1:7" x14ac:dyDescent="0.3">
      <c r="A4676" s="5" t="str">
        <f t="shared" si="513"/>
        <v>Nike</v>
      </c>
      <c r="B4676" s="5" t="str">
        <f t="shared" si="515"/>
        <v>Air Force 1</v>
      </c>
      <c r="C4676" s="3">
        <f t="shared" si="514"/>
        <v>45969</v>
      </c>
      <c r="D4676" s="4">
        <f t="shared" ca="1" si="516"/>
        <v>139</v>
      </c>
      <c r="E4676" s="2">
        <f t="shared" ca="1" si="517"/>
        <v>6731</v>
      </c>
      <c r="F4676" s="2">
        <f t="shared" ca="1" si="518"/>
        <v>22066</v>
      </c>
      <c r="G4676" s="2">
        <f t="shared" ca="1" si="519"/>
        <v>1162</v>
      </c>
    </row>
    <row r="4677" spans="1:7" x14ac:dyDescent="0.3">
      <c r="A4677" s="5" t="str">
        <f t="shared" si="513"/>
        <v>Adidas</v>
      </c>
      <c r="B4677" s="5" t="str">
        <f t="shared" si="515"/>
        <v>Superstar</v>
      </c>
      <c r="C4677" s="3">
        <f t="shared" si="514"/>
        <v>45969</v>
      </c>
      <c r="D4677" s="4">
        <f t="shared" ca="1" si="516"/>
        <v>76</v>
      </c>
      <c r="E4677" s="2">
        <f t="shared" ca="1" si="517"/>
        <v>10719</v>
      </c>
      <c r="F4677" s="2">
        <f t="shared" ca="1" si="518"/>
        <v>17427</v>
      </c>
      <c r="G4677" s="2">
        <f t="shared" ca="1" si="519"/>
        <v>1300</v>
      </c>
    </row>
    <row r="4678" spans="1:7" x14ac:dyDescent="0.3">
      <c r="A4678" s="5" t="str">
        <f t="shared" si="513"/>
        <v>Puma</v>
      </c>
      <c r="B4678" s="5" t="str">
        <f t="shared" si="515"/>
        <v>Rider Vintage</v>
      </c>
      <c r="C4678" s="3">
        <f t="shared" si="514"/>
        <v>45969</v>
      </c>
      <c r="D4678" s="4">
        <f t="shared" ca="1" si="516"/>
        <v>210</v>
      </c>
      <c r="E4678" s="2">
        <f t="shared" ca="1" si="517"/>
        <v>6639</v>
      </c>
      <c r="F4678" s="2">
        <f t="shared" ca="1" si="518"/>
        <v>19732</v>
      </c>
      <c r="G4678" s="2">
        <f t="shared" ca="1" si="519"/>
        <v>1364</v>
      </c>
    </row>
    <row r="4679" spans="1:7" x14ac:dyDescent="0.3">
      <c r="A4679" s="5" t="str">
        <f t="shared" si="513"/>
        <v>New Balance</v>
      </c>
      <c r="B4679" s="5" t="str">
        <f t="shared" si="515"/>
        <v>327</v>
      </c>
      <c r="C4679" s="3">
        <f t="shared" si="514"/>
        <v>45969</v>
      </c>
      <c r="D4679" s="4">
        <f t="shared" ca="1" si="516"/>
        <v>200</v>
      </c>
      <c r="E4679" s="2">
        <f t="shared" ca="1" si="517"/>
        <v>9015</v>
      </c>
      <c r="F4679" s="2">
        <f t="shared" ca="1" si="518"/>
        <v>24955</v>
      </c>
      <c r="G4679" s="2">
        <f t="shared" ca="1" si="519"/>
        <v>1097</v>
      </c>
    </row>
    <row r="4680" spans="1:7" x14ac:dyDescent="0.3">
      <c r="A4680" s="5" t="str">
        <f t="shared" si="513"/>
        <v>Reebok</v>
      </c>
      <c r="B4680" s="5" t="str">
        <f t="shared" si="515"/>
        <v>Question Mid</v>
      </c>
      <c r="C4680" s="3">
        <f t="shared" si="514"/>
        <v>45969</v>
      </c>
      <c r="D4680" s="4">
        <f t="shared" ca="1" si="516"/>
        <v>96</v>
      </c>
      <c r="E4680" s="2">
        <f t="shared" ca="1" si="517"/>
        <v>5451</v>
      </c>
      <c r="F4680" s="2">
        <f t="shared" ca="1" si="518"/>
        <v>31285</v>
      </c>
      <c r="G4680" s="2">
        <f t="shared" ca="1" si="519"/>
        <v>2486</v>
      </c>
    </row>
    <row r="4681" spans="1:7" x14ac:dyDescent="0.3">
      <c r="A4681" s="5" t="str">
        <f t="shared" si="513"/>
        <v>Nike</v>
      </c>
      <c r="B4681" s="5" t="str">
        <f t="shared" si="515"/>
        <v>Air Max 270</v>
      </c>
      <c r="C4681" s="3">
        <f t="shared" si="514"/>
        <v>45969</v>
      </c>
      <c r="D4681" s="4">
        <f t="shared" ca="1" si="516"/>
        <v>50</v>
      </c>
      <c r="E4681" s="2">
        <f t="shared" ca="1" si="517"/>
        <v>10117</v>
      </c>
      <c r="F4681" s="2">
        <f t="shared" ca="1" si="518"/>
        <v>31923</v>
      </c>
      <c r="G4681" s="2">
        <f t="shared" ca="1" si="519"/>
        <v>2105</v>
      </c>
    </row>
    <row r="4682" spans="1:7" x14ac:dyDescent="0.3">
      <c r="A4682" s="5" t="str">
        <f t="shared" si="513"/>
        <v>Adidas</v>
      </c>
      <c r="B4682" s="5" t="str">
        <f t="shared" si="515"/>
        <v>Stan Smith</v>
      </c>
      <c r="C4682" s="3">
        <f t="shared" si="514"/>
        <v>45970</v>
      </c>
      <c r="D4682" s="4">
        <f t="shared" ca="1" si="516"/>
        <v>121</v>
      </c>
      <c r="E4682" s="2">
        <f t="shared" ca="1" si="517"/>
        <v>8735</v>
      </c>
      <c r="F4682" s="2">
        <f t="shared" ca="1" si="518"/>
        <v>9179</v>
      </c>
      <c r="G4682" s="2">
        <f t="shared" ca="1" si="519"/>
        <v>200</v>
      </c>
    </row>
    <row r="4683" spans="1:7" x14ac:dyDescent="0.3">
      <c r="A4683" s="5" t="str">
        <f t="shared" si="513"/>
        <v>Puma</v>
      </c>
      <c r="B4683" s="5" t="str">
        <f t="shared" si="515"/>
        <v>Cali Dream</v>
      </c>
      <c r="C4683" s="3">
        <f t="shared" si="514"/>
        <v>45970</v>
      </c>
      <c r="D4683" s="4">
        <f t="shared" ca="1" si="516"/>
        <v>158</v>
      </c>
      <c r="E4683" s="2">
        <f t="shared" ca="1" si="517"/>
        <v>8758</v>
      </c>
      <c r="F4683" s="2">
        <f t="shared" ca="1" si="518"/>
        <v>21605</v>
      </c>
      <c r="G4683" s="2">
        <f t="shared" ca="1" si="519"/>
        <v>781</v>
      </c>
    </row>
    <row r="4684" spans="1:7" x14ac:dyDescent="0.3">
      <c r="A4684" s="5" t="str">
        <f t="shared" si="513"/>
        <v>New Balance</v>
      </c>
      <c r="B4684" s="5" t="str">
        <f t="shared" si="515"/>
        <v>9060</v>
      </c>
      <c r="C4684" s="3">
        <f t="shared" si="514"/>
        <v>45970</v>
      </c>
      <c r="D4684" s="4">
        <f t="shared" ca="1" si="516"/>
        <v>64</v>
      </c>
      <c r="E4684" s="2">
        <f t="shared" ca="1" si="517"/>
        <v>6133</v>
      </c>
      <c r="F4684" s="2">
        <f t="shared" ca="1" si="518"/>
        <v>34577</v>
      </c>
      <c r="G4684" s="2">
        <f t="shared" ca="1" si="519"/>
        <v>1526</v>
      </c>
    </row>
    <row r="4685" spans="1:7" x14ac:dyDescent="0.3">
      <c r="A4685" s="5" t="str">
        <f t="shared" si="513"/>
        <v>Reebok</v>
      </c>
      <c r="B4685" s="5" t="str">
        <f t="shared" si="515"/>
        <v>Zig Kinetica</v>
      </c>
      <c r="C4685" s="3">
        <f t="shared" si="514"/>
        <v>45970</v>
      </c>
      <c r="D4685" s="4">
        <f t="shared" ca="1" si="516"/>
        <v>218</v>
      </c>
      <c r="E4685" s="2">
        <f t="shared" ca="1" si="517"/>
        <v>3667</v>
      </c>
      <c r="F4685" s="2">
        <f t="shared" ca="1" si="518"/>
        <v>14867</v>
      </c>
      <c r="G4685" s="2">
        <f t="shared" ca="1" si="519"/>
        <v>330</v>
      </c>
    </row>
    <row r="4686" spans="1:7" x14ac:dyDescent="0.3">
      <c r="A4686" s="5" t="str">
        <f t="shared" si="513"/>
        <v>Nike</v>
      </c>
      <c r="B4686" s="5" t="str">
        <f t="shared" si="515"/>
        <v>Jordan 1</v>
      </c>
      <c r="C4686" s="3">
        <f t="shared" si="514"/>
        <v>45970</v>
      </c>
      <c r="D4686" s="4">
        <f t="shared" ca="1" si="516"/>
        <v>196</v>
      </c>
      <c r="E4686" s="2">
        <f t="shared" ca="1" si="517"/>
        <v>6053</v>
      </c>
      <c r="F4686" s="2">
        <f t="shared" ca="1" si="518"/>
        <v>19190</v>
      </c>
      <c r="G4686" s="2">
        <f t="shared" ca="1" si="519"/>
        <v>554</v>
      </c>
    </row>
    <row r="4687" spans="1:7" x14ac:dyDescent="0.3">
      <c r="A4687" s="5" t="str">
        <f t="shared" si="513"/>
        <v>Adidas</v>
      </c>
      <c r="B4687" s="5" t="str">
        <f t="shared" si="515"/>
        <v>Ultraboost 23</v>
      </c>
      <c r="C4687" s="3">
        <f t="shared" si="514"/>
        <v>45970</v>
      </c>
      <c r="D4687" s="4">
        <f t="shared" ca="1" si="516"/>
        <v>145</v>
      </c>
      <c r="E4687" s="2">
        <f t="shared" ca="1" si="517"/>
        <v>4101</v>
      </c>
      <c r="F4687" s="2">
        <f t="shared" ca="1" si="518"/>
        <v>8528</v>
      </c>
      <c r="G4687" s="2">
        <f t="shared" ca="1" si="519"/>
        <v>336</v>
      </c>
    </row>
    <row r="4688" spans="1:7" x14ac:dyDescent="0.3">
      <c r="A4688" s="5" t="str">
        <f t="shared" si="513"/>
        <v>Puma</v>
      </c>
      <c r="B4688" s="5" t="str">
        <f t="shared" si="515"/>
        <v>RS-X</v>
      </c>
      <c r="C4688" s="3">
        <f t="shared" si="514"/>
        <v>45970</v>
      </c>
      <c r="D4688" s="4">
        <f t="shared" ca="1" si="516"/>
        <v>234</v>
      </c>
      <c r="E4688" s="2">
        <f t="shared" ca="1" si="517"/>
        <v>10401</v>
      </c>
      <c r="F4688" s="2">
        <f t="shared" ca="1" si="518"/>
        <v>18948</v>
      </c>
      <c r="G4688" s="2">
        <f t="shared" ca="1" si="519"/>
        <v>1439</v>
      </c>
    </row>
    <row r="4689" spans="1:7" x14ac:dyDescent="0.3">
      <c r="A4689" s="5" t="str">
        <f t="shared" si="513"/>
        <v>New Balance</v>
      </c>
      <c r="B4689" s="5" t="str">
        <f t="shared" si="515"/>
        <v>2002R</v>
      </c>
      <c r="C4689" s="3">
        <f t="shared" si="514"/>
        <v>45970</v>
      </c>
      <c r="D4689" s="4">
        <f t="shared" ca="1" si="516"/>
        <v>117</v>
      </c>
      <c r="E4689" s="2">
        <f t="shared" ca="1" si="517"/>
        <v>11105</v>
      </c>
      <c r="F4689" s="2">
        <f t="shared" ca="1" si="518"/>
        <v>11788</v>
      </c>
      <c r="G4689" s="2">
        <f t="shared" ca="1" si="519"/>
        <v>505</v>
      </c>
    </row>
    <row r="4690" spans="1:7" x14ac:dyDescent="0.3">
      <c r="A4690" s="5" t="str">
        <f t="shared" si="513"/>
        <v>Reebok</v>
      </c>
      <c r="B4690" s="5" t="str">
        <f t="shared" si="515"/>
        <v>Instapump Fury</v>
      </c>
      <c r="C4690" s="3">
        <f t="shared" si="514"/>
        <v>45970</v>
      </c>
      <c r="D4690" s="4">
        <f t="shared" ca="1" si="516"/>
        <v>68</v>
      </c>
      <c r="E4690" s="2">
        <f t="shared" ca="1" si="517"/>
        <v>11162</v>
      </c>
      <c r="F4690" s="2">
        <f t="shared" ca="1" si="518"/>
        <v>16108</v>
      </c>
      <c r="G4690" s="2">
        <f t="shared" ca="1" si="519"/>
        <v>1182</v>
      </c>
    </row>
    <row r="4691" spans="1:7" x14ac:dyDescent="0.3">
      <c r="A4691" s="5" t="str">
        <f t="shared" si="513"/>
        <v>Nike</v>
      </c>
      <c r="B4691" s="5" t="str">
        <f t="shared" si="515"/>
        <v>Cortez</v>
      </c>
      <c r="C4691" s="3">
        <f t="shared" si="514"/>
        <v>45970</v>
      </c>
      <c r="D4691" s="4">
        <f t="shared" ca="1" si="516"/>
        <v>46</v>
      </c>
      <c r="E4691" s="2">
        <f t="shared" ca="1" si="517"/>
        <v>9760</v>
      </c>
      <c r="F4691" s="2">
        <f t="shared" ca="1" si="518"/>
        <v>24653</v>
      </c>
      <c r="G4691" s="2">
        <f t="shared" ca="1" si="519"/>
        <v>1806</v>
      </c>
    </row>
    <row r="4692" spans="1:7" x14ac:dyDescent="0.3">
      <c r="A4692" s="5" t="str">
        <f t="shared" si="513"/>
        <v>Adidas</v>
      </c>
      <c r="B4692" s="5" t="str">
        <f t="shared" si="515"/>
        <v>NMD S1</v>
      </c>
      <c r="C4692" s="3">
        <f t="shared" si="514"/>
        <v>45970</v>
      </c>
      <c r="D4692" s="4">
        <f t="shared" ca="1" si="516"/>
        <v>131</v>
      </c>
      <c r="E4692" s="2">
        <f t="shared" ca="1" si="517"/>
        <v>3006</v>
      </c>
      <c r="F4692" s="2">
        <f t="shared" ca="1" si="518"/>
        <v>31211</v>
      </c>
      <c r="G4692" s="2">
        <f t="shared" ca="1" si="519"/>
        <v>1625</v>
      </c>
    </row>
    <row r="4693" spans="1:7" x14ac:dyDescent="0.3">
      <c r="A4693" s="5" t="str">
        <f t="shared" si="513"/>
        <v>Puma</v>
      </c>
      <c r="B4693" s="5" t="str">
        <f t="shared" si="515"/>
        <v>Suede Classic</v>
      </c>
      <c r="C4693" s="3">
        <f t="shared" si="514"/>
        <v>45970</v>
      </c>
      <c r="D4693" s="4">
        <f t="shared" ca="1" si="516"/>
        <v>204</v>
      </c>
      <c r="E4693" s="2">
        <f t="shared" ca="1" si="517"/>
        <v>5151</v>
      </c>
      <c r="F4693" s="2">
        <f t="shared" ca="1" si="518"/>
        <v>19842</v>
      </c>
      <c r="G4693" s="2">
        <f t="shared" ca="1" si="519"/>
        <v>599</v>
      </c>
    </row>
    <row r="4694" spans="1:7" x14ac:dyDescent="0.3">
      <c r="A4694" s="5" t="str">
        <f t="shared" si="513"/>
        <v>New Balance</v>
      </c>
      <c r="B4694" s="5" t="str">
        <f t="shared" si="515"/>
        <v>990v6</v>
      </c>
      <c r="C4694" s="3">
        <f t="shared" si="514"/>
        <v>45970</v>
      </c>
      <c r="D4694" s="4">
        <f t="shared" ca="1" si="516"/>
        <v>208</v>
      </c>
      <c r="E4694" s="2">
        <f t="shared" ca="1" si="517"/>
        <v>4860</v>
      </c>
      <c r="F4694" s="2">
        <f t="shared" ca="1" si="518"/>
        <v>11233</v>
      </c>
      <c r="G4694" s="2">
        <f t="shared" ca="1" si="519"/>
        <v>763</v>
      </c>
    </row>
    <row r="4695" spans="1:7" x14ac:dyDescent="0.3">
      <c r="A4695" s="5" t="str">
        <f t="shared" si="513"/>
        <v>Reebok</v>
      </c>
      <c r="B4695" s="5" t="str">
        <f t="shared" si="515"/>
        <v>Nano X3</v>
      </c>
      <c r="C4695" s="3">
        <f t="shared" si="514"/>
        <v>45970</v>
      </c>
      <c r="D4695" s="4">
        <f t="shared" ca="1" si="516"/>
        <v>64</v>
      </c>
      <c r="E4695" s="2">
        <f t="shared" ca="1" si="517"/>
        <v>6047</v>
      </c>
      <c r="F4695" s="2">
        <f t="shared" ca="1" si="518"/>
        <v>7453</v>
      </c>
      <c r="G4695" s="2">
        <f t="shared" ca="1" si="519"/>
        <v>501</v>
      </c>
    </row>
    <row r="4696" spans="1:7" x14ac:dyDescent="0.3">
      <c r="A4696" s="5" t="str">
        <f t="shared" si="513"/>
        <v>Nike</v>
      </c>
      <c r="B4696" s="5" t="str">
        <f t="shared" si="515"/>
        <v>Vaporfly 3</v>
      </c>
      <c r="C4696" s="3">
        <f t="shared" si="514"/>
        <v>45970</v>
      </c>
      <c r="D4696" s="4">
        <f t="shared" ca="1" si="516"/>
        <v>91</v>
      </c>
      <c r="E4696" s="2">
        <f t="shared" ca="1" si="517"/>
        <v>9481</v>
      </c>
      <c r="F4696" s="2">
        <f t="shared" ca="1" si="518"/>
        <v>22427</v>
      </c>
      <c r="G4696" s="2">
        <f t="shared" ca="1" si="519"/>
        <v>1559</v>
      </c>
    </row>
    <row r="4697" spans="1:7" x14ac:dyDescent="0.3">
      <c r="A4697" s="5" t="str">
        <f t="shared" si="513"/>
        <v>Adidas</v>
      </c>
      <c r="B4697" s="5" t="str">
        <f t="shared" si="515"/>
        <v>Samba</v>
      </c>
      <c r="C4697" s="3">
        <f t="shared" si="514"/>
        <v>45971</v>
      </c>
      <c r="D4697" s="4">
        <f t="shared" ca="1" si="516"/>
        <v>56</v>
      </c>
      <c r="E4697" s="2">
        <f t="shared" ca="1" si="517"/>
        <v>10403</v>
      </c>
      <c r="F4697" s="2">
        <f t="shared" ca="1" si="518"/>
        <v>24233</v>
      </c>
      <c r="G4697" s="2">
        <f t="shared" ca="1" si="519"/>
        <v>1912</v>
      </c>
    </row>
    <row r="4698" spans="1:7" x14ac:dyDescent="0.3">
      <c r="A4698" s="5" t="str">
        <f t="shared" si="513"/>
        <v>Puma</v>
      </c>
      <c r="B4698" s="5" t="str">
        <f t="shared" si="515"/>
        <v>Mayze</v>
      </c>
      <c r="C4698" s="3">
        <f t="shared" si="514"/>
        <v>45971</v>
      </c>
      <c r="D4698" s="4">
        <f t="shared" ca="1" si="516"/>
        <v>234</v>
      </c>
      <c r="E4698" s="2">
        <f t="shared" ca="1" si="517"/>
        <v>4814</v>
      </c>
      <c r="F4698" s="2">
        <f t="shared" ca="1" si="518"/>
        <v>23490</v>
      </c>
      <c r="G4698" s="2">
        <f t="shared" ca="1" si="519"/>
        <v>1046</v>
      </c>
    </row>
    <row r="4699" spans="1:7" x14ac:dyDescent="0.3">
      <c r="A4699" s="5" t="str">
        <f t="shared" si="513"/>
        <v>New Balance</v>
      </c>
      <c r="B4699" s="5" t="str">
        <f t="shared" si="515"/>
        <v>574 Core</v>
      </c>
      <c r="C4699" s="3">
        <f t="shared" si="514"/>
        <v>45971</v>
      </c>
      <c r="D4699" s="4">
        <f t="shared" ca="1" si="516"/>
        <v>51</v>
      </c>
      <c r="E4699" s="2">
        <f t="shared" ca="1" si="517"/>
        <v>7311</v>
      </c>
      <c r="F4699" s="2">
        <f t="shared" ca="1" si="518"/>
        <v>15129</v>
      </c>
      <c r="G4699" s="2">
        <f t="shared" ca="1" si="519"/>
        <v>419</v>
      </c>
    </row>
    <row r="4700" spans="1:7" x14ac:dyDescent="0.3">
      <c r="A4700" s="5" t="str">
        <f t="shared" si="513"/>
        <v>Reebok</v>
      </c>
      <c r="B4700" s="5" t="str">
        <f t="shared" si="515"/>
        <v>Club C 85</v>
      </c>
      <c r="C4700" s="3">
        <f t="shared" si="514"/>
        <v>45971</v>
      </c>
      <c r="D4700" s="4">
        <f t="shared" ca="1" si="516"/>
        <v>150</v>
      </c>
      <c r="E4700" s="2">
        <f t="shared" ca="1" si="517"/>
        <v>7742</v>
      </c>
      <c r="F4700" s="2">
        <f t="shared" ca="1" si="518"/>
        <v>28699</v>
      </c>
      <c r="G4700" s="2">
        <f t="shared" ca="1" si="519"/>
        <v>2068</v>
      </c>
    </row>
    <row r="4701" spans="1:7" x14ac:dyDescent="0.3">
      <c r="A4701" s="5" t="str">
        <f t="shared" si="513"/>
        <v>Nike</v>
      </c>
      <c r="B4701" s="5" t="str">
        <f t="shared" si="515"/>
        <v>Pegasus 40</v>
      </c>
      <c r="C4701" s="3">
        <f t="shared" si="514"/>
        <v>45971</v>
      </c>
      <c r="D4701" s="4">
        <f t="shared" ca="1" si="516"/>
        <v>118</v>
      </c>
      <c r="E4701" s="2">
        <f t="shared" ca="1" si="517"/>
        <v>7397</v>
      </c>
      <c r="F4701" s="2">
        <f t="shared" ca="1" si="518"/>
        <v>15711</v>
      </c>
      <c r="G4701" s="2">
        <f t="shared" ca="1" si="519"/>
        <v>1038</v>
      </c>
    </row>
    <row r="4702" spans="1:7" x14ac:dyDescent="0.3">
      <c r="A4702" s="5" t="str">
        <f t="shared" si="513"/>
        <v>Adidas</v>
      </c>
      <c r="B4702" s="5" t="str">
        <f t="shared" si="515"/>
        <v>Gazelle</v>
      </c>
      <c r="C4702" s="3">
        <f t="shared" si="514"/>
        <v>45971</v>
      </c>
      <c r="D4702" s="4">
        <f t="shared" ca="1" si="516"/>
        <v>22</v>
      </c>
      <c r="E4702" s="2">
        <f t="shared" ca="1" si="517"/>
        <v>6561</v>
      </c>
      <c r="F4702" s="2">
        <f t="shared" ca="1" si="518"/>
        <v>32362</v>
      </c>
      <c r="G4702" s="2">
        <f t="shared" ca="1" si="519"/>
        <v>1775</v>
      </c>
    </row>
    <row r="4703" spans="1:7" x14ac:dyDescent="0.3">
      <c r="A4703" s="5" t="str">
        <f t="shared" si="513"/>
        <v>Puma</v>
      </c>
      <c r="B4703" s="5" t="str">
        <f t="shared" si="515"/>
        <v>Slipstream</v>
      </c>
      <c r="C4703" s="3">
        <f t="shared" si="514"/>
        <v>45971</v>
      </c>
      <c r="D4703" s="4">
        <f t="shared" ca="1" si="516"/>
        <v>47</v>
      </c>
      <c r="E4703" s="2">
        <f t="shared" ca="1" si="517"/>
        <v>5192</v>
      </c>
      <c r="F4703" s="2">
        <f t="shared" ca="1" si="518"/>
        <v>8098</v>
      </c>
      <c r="G4703" s="2">
        <f t="shared" ca="1" si="519"/>
        <v>380</v>
      </c>
    </row>
    <row r="4704" spans="1:7" x14ac:dyDescent="0.3">
      <c r="A4704" s="5" t="str">
        <f t="shared" si="513"/>
        <v>New Balance</v>
      </c>
      <c r="B4704" s="5" t="str">
        <f t="shared" si="515"/>
        <v>550</v>
      </c>
      <c r="C4704" s="3">
        <f t="shared" si="514"/>
        <v>45971</v>
      </c>
      <c r="D4704" s="4">
        <f t="shared" ca="1" si="516"/>
        <v>48</v>
      </c>
      <c r="E4704" s="2">
        <f t="shared" ca="1" si="517"/>
        <v>4592</v>
      </c>
      <c r="F4704" s="2">
        <f t="shared" ca="1" si="518"/>
        <v>14240</v>
      </c>
      <c r="G4704" s="2">
        <f t="shared" ca="1" si="519"/>
        <v>863</v>
      </c>
    </row>
    <row r="4705" spans="1:7" x14ac:dyDescent="0.3">
      <c r="A4705" s="5" t="str">
        <f t="shared" si="513"/>
        <v>Reebok</v>
      </c>
      <c r="B4705" s="5" t="str">
        <f t="shared" si="515"/>
        <v>Classic Leather</v>
      </c>
      <c r="C4705" s="3">
        <f t="shared" si="514"/>
        <v>45971</v>
      </c>
      <c r="D4705" s="4">
        <f t="shared" ca="1" si="516"/>
        <v>34</v>
      </c>
      <c r="E4705" s="2">
        <f t="shared" ca="1" si="517"/>
        <v>4745</v>
      </c>
      <c r="F4705" s="2">
        <f t="shared" ca="1" si="518"/>
        <v>7677</v>
      </c>
      <c r="G4705" s="2">
        <f t="shared" ca="1" si="519"/>
        <v>528</v>
      </c>
    </row>
    <row r="4706" spans="1:7" x14ac:dyDescent="0.3">
      <c r="A4706" s="5" t="str">
        <f t="shared" si="513"/>
        <v>Nike</v>
      </c>
      <c r="B4706" s="5" t="str">
        <f t="shared" si="515"/>
        <v>Air Force 1</v>
      </c>
      <c r="C4706" s="3">
        <f t="shared" si="514"/>
        <v>45971</v>
      </c>
      <c r="D4706" s="4">
        <f t="shared" ca="1" si="516"/>
        <v>70</v>
      </c>
      <c r="E4706" s="2">
        <f t="shared" ca="1" si="517"/>
        <v>9052</v>
      </c>
      <c r="F4706" s="2">
        <f t="shared" ca="1" si="518"/>
        <v>9492</v>
      </c>
      <c r="G4706" s="2">
        <f t="shared" ca="1" si="519"/>
        <v>481</v>
      </c>
    </row>
    <row r="4707" spans="1:7" x14ac:dyDescent="0.3">
      <c r="A4707" s="5" t="str">
        <f t="shared" si="513"/>
        <v>Adidas</v>
      </c>
      <c r="B4707" s="5" t="str">
        <f t="shared" si="515"/>
        <v>Superstar</v>
      </c>
      <c r="C4707" s="3">
        <f t="shared" si="514"/>
        <v>45971</v>
      </c>
      <c r="D4707" s="4">
        <f t="shared" ca="1" si="516"/>
        <v>40</v>
      </c>
      <c r="E4707" s="2">
        <f t="shared" ca="1" si="517"/>
        <v>3423</v>
      </c>
      <c r="F4707" s="2">
        <f t="shared" ca="1" si="518"/>
        <v>31291</v>
      </c>
      <c r="G4707" s="2">
        <f t="shared" ca="1" si="519"/>
        <v>1269</v>
      </c>
    </row>
    <row r="4708" spans="1:7" x14ac:dyDescent="0.3">
      <c r="A4708" s="5" t="str">
        <f t="shared" si="513"/>
        <v>Puma</v>
      </c>
      <c r="B4708" s="5" t="str">
        <f t="shared" si="515"/>
        <v>Rider Vintage</v>
      </c>
      <c r="C4708" s="3">
        <f t="shared" si="514"/>
        <v>45971</v>
      </c>
      <c r="D4708" s="4">
        <f t="shared" ca="1" si="516"/>
        <v>227</v>
      </c>
      <c r="E4708" s="2">
        <f t="shared" ca="1" si="517"/>
        <v>10900</v>
      </c>
      <c r="F4708" s="2">
        <f t="shared" ca="1" si="518"/>
        <v>30312</v>
      </c>
      <c r="G4708" s="2">
        <f t="shared" ca="1" si="519"/>
        <v>1383</v>
      </c>
    </row>
    <row r="4709" spans="1:7" x14ac:dyDescent="0.3">
      <c r="A4709" s="5" t="str">
        <f t="shared" si="513"/>
        <v>New Balance</v>
      </c>
      <c r="B4709" s="5" t="str">
        <f t="shared" si="515"/>
        <v>327</v>
      </c>
      <c r="C4709" s="3">
        <f t="shared" si="514"/>
        <v>45971</v>
      </c>
      <c r="D4709" s="4">
        <f t="shared" ca="1" si="516"/>
        <v>187</v>
      </c>
      <c r="E4709" s="2">
        <f t="shared" ca="1" si="517"/>
        <v>3630</v>
      </c>
      <c r="F4709" s="2">
        <f t="shared" ca="1" si="518"/>
        <v>12919</v>
      </c>
      <c r="G4709" s="2">
        <f t="shared" ca="1" si="519"/>
        <v>283</v>
      </c>
    </row>
    <row r="4710" spans="1:7" x14ac:dyDescent="0.3">
      <c r="A4710" s="5" t="str">
        <f t="shared" si="513"/>
        <v>Reebok</v>
      </c>
      <c r="B4710" s="5" t="str">
        <f t="shared" si="515"/>
        <v>Question Mid</v>
      </c>
      <c r="C4710" s="3">
        <f t="shared" si="514"/>
        <v>45971</v>
      </c>
      <c r="D4710" s="4">
        <f t="shared" ca="1" si="516"/>
        <v>227</v>
      </c>
      <c r="E4710" s="2">
        <f t="shared" ca="1" si="517"/>
        <v>4502</v>
      </c>
      <c r="F4710" s="2">
        <f t="shared" ca="1" si="518"/>
        <v>32640</v>
      </c>
      <c r="G4710" s="2">
        <f t="shared" ca="1" si="519"/>
        <v>2027</v>
      </c>
    </row>
    <row r="4711" spans="1:7" x14ac:dyDescent="0.3">
      <c r="A4711" s="5" t="str">
        <f t="shared" si="513"/>
        <v>Nike</v>
      </c>
      <c r="B4711" s="5" t="str">
        <f t="shared" si="515"/>
        <v>Air Max 270</v>
      </c>
      <c r="C4711" s="3">
        <f t="shared" si="514"/>
        <v>45971</v>
      </c>
      <c r="D4711" s="4">
        <f t="shared" ca="1" si="516"/>
        <v>182</v>
      </c>
      <c r="E4711" s="2">
        <f t="shared" ca="1" si="517"/>
        <v>7963</v>
      </c>
      <c r="F4711" s="2">
        <f t="shared" ca="1" si="518"/>
        <v>31753</v>
      </c>
      <c r="G4711" s="2">
        <f t="shared" ca="1" si="519"/>
        <v>1874</v>
      </c>
    </row>
    <row r="4712" spans="1:7" x14ac:dyDescent="0.3">
      <c r="A4712" s="5" t="str">
        <f t="shared" si="513"/>
        <v>Adidas</v>
      </c>
      <c r="B4712" s="5" t="str">
        <f t="shared" si="515"/>
        <v>Stan Smith</v>
      </c>
      <c r="C4712" s="3">
        <f t="shared" si="514"/>
        <v>45972</v>
      </c>
      <c r="D4712" s="4">
        <f t="shared" ca="1" si="516"/>
        <v>42</v>
      </c>
      <c r="E4712" s="2">
        <f t="shared" ca="1" si="517"/>
        <v>9356</v>
      </c>
      <c r="F4712" s="2">
        <f t="shared" ca="1" si="518"/>
        <v>29794</v>
      </c>
      <c r="G4712" s="2">
        <f t="shared" ca="1" si="519"/>
        <v>1798</v>
      </c>
    </row>
    <row r="4713" spans="1:7" x14ac:dyDescent="0.3">
      <c r="A4713" s="5" t="str">
        <f t="shared" si="513"/>
        <v>Puma</v>
      </c>
      <c r="B4713" s="5" t="str">
        <f t="shared" si="515"/>
        <v>Cali Dream</v>
      </c>
      <c r="C4713" s="3">
        <f t="shared" si="514"/>
        <v>45972</v>
      </c>
      <c r="D4713" s="4">
        <f t="shared" ca="1" si="516"/>
        <v>46</v>
      </c>
      <c r="E4713" s="2">
        <f t="shared" ca="1" si="517"/>
        <v>3126</v>
      </c>
      <c r="F4713" s="2">
        <f t="shared" ca="1" si="518"/>
        <v>11371</v>
      </c>
      <c r="G4713" s="2">
        <f t="shared" ca="1" si="519"/>
        <v>427</v>
      </c>
    </row>
    <row r="4714" spans="1:7" x14ac:dyDescent="0.3">
      <c r="A4714" s="5" t="str">
        <f t="shared" si="513"/>
        <v>New Balance</v>
      </c>
      <c r="B4714" s="5" t="str">
        <f t="shared" si="515"/>
        <v>9060</v>
      </c>
      <c r="C4714" s="3">
        <f t="shared" si="514"/>
        <v>45972</v>
      </c>
      <c r="D4714" s="4">
        <f t="shared" ca="1" si="516"/>
        <v>32</v>
      </c>
      <c r="E4714" s="2">
        <f t="shared" ca="1" si="517"/>
        <v>11774</v>
      </c>
      <c r="F4714" s="2">
        <f t="shared" ca="1" si="518"/>
        <v>30271</v>
      </c>
      <c r="G4714" s="2">
        <f t="shared" ca="1" si="519"/>
        <v>1584</v>
      </c>
    </row>
    <row r="4715" spans="1:7" x14ac:dyDescent="0.3">
      <c r="A4715" s="5" t="str">
        <f t="shared" ref="A4715:A4778" si="520">CHOOSE(MOD(ROW(A4714),5)+1,"Nike","Adidas","Puma","New Balance","Reebok")</f>
        <v>Reebok</v>
      </c>
      <c r="B4715" s="5" t="str">
        <f t="shared" si="515"/>
        <v>Zig Kinetica</v>
      </c>
      <c r="C4715" s="3">
        <f t="shared" ref="C4715:C4778" si="521">DATE(2025,1,1)+INT((ROW(A4715)-2)/15)</f>
        <v>45972</v>
      </c>
      <c r="D4715" s="4">
        <f t="shared" ca="1" si="516"/>
        <v>186</v>
      </c>
      <c r="E4715" s="2">
        <f t="shared" ca="1" si="517"/>
        <v>5406</v>
      </c>
      <c r="F4715" s="2">
        <f t="shared" ca="1" si="518"/>
        <v>12850</v>
      </c>
      <c r="G4715" s="2">
        <f t="shared" ca="1" si="519"/>
        <v>356</v>
      </c>
    </row>
    <row r="4716" spans="1:7" x14ac:dyDescent="0.3">
      <c r="A4716" s="5" t="str">
        <f t="shared" si="520"/>
        <v>Nike</v>
      </c>
      <c r="B4716" s="5" t="str">
        <f t="shared" si="515"/>
        <v>Jordan 1</v>
      </c>
      <c r="C4716" s="3">
        <f t="shared" si="521"/>
        <v>45972</v>
      </c>
      <c r="D4716" s="4">
        <f t="shared" ca="1" si="516"/>
        <v>85</v>
      </c>
      <c r="E4716" s="2">
        <f t="shared" ca="1" si="517"/>
        <v>7299</v>
      </c>
      <c r="F4716" s="2">
        <f t="shared" ca="1" si="518"/>
        <v>20676</v>
      </c>
      <c r="G4716" s="2">
        <f t="shared" ca="1" si="519"/>
        <v>1346</v>
      </c>
    </row>
    <row r="4717" spans="1:7" x14ac:dyDescent="0.3">
      <c r="A4717" s="5" t="str">
        <f t="shared" si="520"/>
        <v>Adidas</v>
      </c>
      <c r="B4717" s="5" t="str">
        <f t="shared" si="515"/>
        <v>Ultraboost 23</v>
      </c>
      <c r="C4717" s="3">
        <f t="shared" si="521"/>
        <v>45972</v>
      </c>
      <c r="D4717" s="4">
        <f t="shared" ca="1" si="516"/>
        <v>158</v>
      </c>
      <c r="E4717" s="2">
        <f t="shared" ca="1" si="517"/>
        <v>5605</v>
      </c>
      <c r="F4717" s="2">
        <f t="shared" ca="1" si="518"/>
        <v>24956</v>
      </c>
      <c r="G4717" s="2">
        <f t="shared" ca="1" si="519"/>
        <v>744</v>
      </c>
    </row>
    <row r="4718" spans="1:7" x14ac:dyDescent="0.3">
      <c r="A4718" s="5" t="str">
        <f t="shared" si="520"/>
        <v>Puma</v>
      </c>
      <c r="B4718" s="5" t="str">
        <f t="shared" si="515"/>
        <v>RS-X</v>
      </c>
      <c r="C4718" s="3">
        <f t="shared" si="521"/>
        <v>45972</v>
      </c>
      <c r="D4718" s="4">
        <f t="shared" ca="1" si="516"/>
        <v>110</v>
      </c>
      <c r="E4718" s="2">
        <f t="shared" ca="1" si="517"/>
        <v>3739</v>
      </c>
      <c r="F4718" s="2">
        <f t="shared" ca="1" si="518"/>
        <v>28466</v>
      </c>
      <c r="G4718" s="2">
        <f t="shared" ca="1" si="519"/>
        <v>1129</v>
      </c>
    </row>
    <row r="4719" spans="1:7" x14ac:dyDescent="0.3">
      <c r="A4719" s="5" t="str">
        <f t="shared" si="520"/>
        <v>New Balance</v>
      </c>
      <c r="B4719" s="5" t="str">
        <f t="shared" si="515"/>
        <v>2002R</v>
      </c>
      <c r="C4719" s="3">
        <f t="shared" si="521"/>
        <v>45972</v>
      </c>
      <c r="D4719" s="4">
        <f t="shared" ca="1" si="516"/>
        <v>129</v>
      </c>
      <c r="E4719" s="2">
        <f t="shared" ca="1" si="517"/>
        <v>6121</v>
      </c>
      <c r="F4719" s="2">
        <f t="shared" ca="1" si="518"/>
        <v>34747</v>
      </c>
      <c r="G4719" s="2">
        <f t="shared" ca="1" si="519"/>
        <v>2254</v>
      </c>
    </row>
    <row r="4720" spans="1:7" x14ac:dyDescent="0.3">
      <c r="A4720" s="5" t="str">
        <f t="shared" si="520"/>
        <v>Reebok</v>
      </c>
      <c r="B4720" s="5" t="str">
        <f t="shared" si="515"/>
        <v>Instapump Fury</v>
      </c>
      <c r="C4720" s="3">
        <f t="shared" si="521"/>
        <v>45972</v>
      </c>
      <c r="D4720" s="4">
        <f t="shared" ca="1" si="516"/>
        <v>242</v>
      </c>
      <c r="E4720" s="2">
        <f t="shared" ca="1" si="517"/>
        <v>10353</v>
      </c>
      <c r="F4720" s="2">
        <f t="shared" ca="1" si="518"/>
        <v>13521</v>
      </c>
      <c r="G4720" s="2">
        <f t="shared" ca="1" si="519"/>
        <v>710</v>
      </c>
    </row>
    <row r="4721" spans="1:7" x14ac:dyDescent="0.3">
      <c r="A4721" s="5" t="str">
        <f t="shared" si="520"/>
        <v>Nike</v>
      </c>
      <c r="B4721" s="5" t="str">
        <f t="shared" si="515"/>
        <v>Cortez</v>
      </c>
      <c r="C4721" s="3">
        <f t="shared" si="521"/>
        <v>45972</v>
      </c>
      <c r="D4721" s="4">
        <f t="shared" ca="1" si="516"/>
        <v>245</v>
      </c>
      <c r="E4721" s="2">
        <f t="shared" ca="1" si="517"/>
        <v>9095</v>
      </c>
      <c r="F4721" s="2">
        <f t="shared" ca="1" si="518"/>
        <v>25414</v>
      </c>
      <c r="G4721" s="2">
        <f t="shared" ca="1" si="519"/>
        <v>1941</v>
      </c>
    </row>
    <row r="4722" spans="1:7" x14ac:dyDescent="0.3">
      <c r="A4722" s="5" t="str">
        <f t="shared" si="520"/>
        <v>Adidas</v>
      </c>
      <c r="B4722" s="5" t="str">
        <f t="shared" si="515"/>
        <v>NMD S1</v>
      </c>
      <c r="C4722" s="3">
        <f t="shared" si="521"/>
        <v>45972</v>
      </c>
      <c r="D4722" s="4">
        <f t="shared" ca="1" si="516"/>
        <v>185</v>
      </c>
      <c r="E4722" s="2">
        <f t="shared" ca="1" si="517"/>
        <v>6656</v>
      </c>
      <c r="F4722" s="2">
        <f t="shared" ca="1" si="518"/>
        <v>12627</v>
      </c>
      <c r="G4722" s="2">
        <f t="shared" ca="1" si="519"/>
        <v>844</v>
      </c>
    </row>
    <row r="4723" spans="1:7" x14ac:dyDescent="0.3">
      <c r="A4723" s="5" t="str">
        <f t="shared" si="520"/>
        <v>Puma</v>
      </c>
      <c r="B4723" s="5" t="str">
        <f t="shared" si="515"/>
        <v>Suede Classic</v>
      </c>
      <c r="C4723" s="3">
        <f t="shared" si="521"/>
        <v>45972</v>
      </c>
      <c r="D4723" s="4">
        <f t="shared" ca="1" si="516"/>
        <v>183</v>
      </c>
      <c r="E4723" s="2">
        <f t="shared" ca="1" si="517"/>
        <v>5266</v>
      </c>
      <c r="F4723" s="2">
        <f t="shared" ca="1" si="518"/>
        <v>11746</v>
      </c>
      <c r="G4723" s="2">
        <f t="shared" ca="1" si="519"/>
        <v>791</v>
      </c>
    </row>
    <row r="4724" spans="1:7" x14ac:dyDescent="0.3">
      <c r="A4724" s="5" t="str">
        <f t="shared" si="520"/>
        <v>New Balance</v>
      </c>
      <c r="B4724" s="5" t="str">
        <f t="shared" si="515"/>
        <v>990v6</v>
      </c>
      <c r="C4724" s="3">
        <f t="shared" si="521"/>
        <v>45972</v>
      </c>
      <c r="D4724" s="4">
        <f t="shared" ca="1" si="516"/>
        <v>74</v>
      </c>
      <c r="E4724" s="2">
        <f t="shared" ca="1" si="517"/>
        <v>2105</v>
      </c>
      <c r="F4724" s="2">
        <f t="shared" ca="1" si="518"/>
        <v>32222</v>
      </c>
      <c r="G4724" s="2">
        <f t="shared" ca="1" si="519"/>
        <v>1400</v>
      </c>
    </row>
    <row r="4725" spans="1:7" x14ac:dyDescent="0.3">
      <c r="A4725" s="5" t="str">
        <f t="shared" si="520"/>
        <v>Reebok</v>
      </c>
      <c r="B4725" s="5" t="str">
        <f t="shared" si="515"/>
        <v>Nano X3</v>
      </c>
      <c r="C4725" s="3">
        <f t="shared" si="521"/>
        <v>45972</v>
      </c>
      <c r="D4725" s="4">
        <f t="shared" ca="1" si="516"/>
        <v>21</v>
      </c>
      <c r="E4725" s="2">
        <f t="shared" ca="1" si="517"/>
        <v>5082</v>
      </c>
      <c r="F4725" s="2">
        <f t="shared" ca="1" si="518"/>
        <v>12183</v>
      </c>
      <c r="G4725" s="2">
        <f t="shared" ca="1" si="519"/>
        <v>833</v>
      </c>
    </row>
    <row r="4726" spans="1:7" x14ac:dyDescent="0.3">
      <c r="A4726" s="5" t="str">
        <f t="shared" si="520"/>
        <v>Nike</v>
      </c>
      <c r="B4726" s="5" t="str">
        <f t="shared" si="515"/>
        <v>Vaporfly 3</v>
      </c>
      <c r="C4726" s="3">
        <f t="shared" si="521"/>
        <v>45972</v>
      </c>
      <c r="D4726" s="4">
        <f t="shared" ca="1" si="516"/>
        <v>140</v>
      </c>
      <c r="E4726" s="2">
        <f t="shared" ca="1" si="517"/>
        <v>11271</v>
      </c>
      <c r="F4726" s="2">
        <f t="shared" ca="1" si="518"/>
        <v>18308</v>
      </c>
      <c r="G4726" s="2">
        <f t="shared" ca="1" si="519"/>
        <v>986</v>
      </c>
    </row>
    <row r="4727" spans="1:7" x14ac:dyDescent="0.3">
      <c r="A4727" s="5" t="str">
        <f t="shared" si="520"/>
        <v>Adidas</v>
      </c>
      <c r="B4727" s="5" t="str">
        <f t="shared" si="515"/>
        <v>Samba</v>
      </c>
      <c r="C4727" s="3">
        <f t="shared" si="521"/>
        <v>45973</v>
      </c>
      <c r="D4727" s="4">
        <f t="shared" ca="1" si="516"/>
        <v>49</v>
      </c>
      <c r="E4727" s="2">
        <f t="shared" ca="1" si="517"/>
        <v>7347</v>
      </c>
      <c r="F4727" s="2">
        <f t="shared" ca="1" si="518"/>
        <v>16857</v>
      </c>
      <c r="G4727" s="2">
        <f t="shared" ca="1" si="519"/>
        <v>603</v>
      </c>
    </row>
    <row r="4728" spans="1:7" x14ac:dyDescent="0.3">
      <c r="A4728" s="5" t="str">
        <f t="shared" si="520"/>
        <v>Puma</v>
      </c>
      <c r="B4728" s="5" t="str">
        <f t="shared" si="515"/>
        <v>Mayze</v>
      </c>
      <c r="C4728" s="3">
        <f t="shared" si="521"/>
        <v>45973</v>
      </c>
      <c r="D4728" s="4">
        <f t="shared" ca="1" si="516"/>
        <v>73</v>
      </c>
      <c r="E4728" s="2">
        <f t="shared" ca="1" si="517"/>
        <v>2334</v>
      </c>
      <c r="F4728" s="2">
        <f t="shared" ca="1" si="518"/>
        <v>21087</v>
      </c>
      <c r="G4728" s="2">
        <f t="shared" ca="1" si="519"/>
        <v>966</v>
      </c>
    </row>
    <row r="4729" spans="1:7" x14ac:dyDescent="0.3">
      <c r="A4729" s="5" t="str">
        <f t="shared" si="520"/>
        <v>New Balance</v>
      </c>
      <c r="B4729" s="5" t="str">
        <f t="shared" si="515"/>
        <v>574 Core</v>
      </c>
      <c r="C4729" s="3">
        <f t="shared" si="521"/>
        <v>45973</v>
      </c>
      <c r="D4729" s="4">
        <f t="shared" ca="1" si="516"/>
        <v>61</v>
      </c>
      <c r="E4729" s="2">
        <f t="shared" ca="1" si="517"/>
        <v>7557</v>
      </c>
      <c r="F4729" s="2">
        <f t="shared" ca="1" si="518"/>
        <v>32558</v>
      </c>
      <c r="G4729" s="2">
        <f t="shared" ca="1" si="519"/>
        <v>1151</v>
      </c>
    </row>
    <row r="4730" spans="1:7" x14ac:dyDescent="0.3">
      <c r="A4730" s="5" t="str">
        <f t="shared" si="520"/>
        <v>Reebok</v>
      </c>
      <c r="B4730" s="5" t="str">
        <f t="shared" si="515"/>
        <v>Club C 85</v>
      </c>
      <c r="C4730" s="3">
        <f t="shared" si="521"/>
        <v>45973</v>
      </c>
      <c r="D4730" s="4">
        <f t="shared" ca="1" si="516"/>
        <v>40</v>
      </c>
      <c r="E4730" s="2">
        <f t="shared" ca="1" si="517"/>
        <v>6042</v>
      </c>
      <c r="F4730" s="2">
        <f t="shared" ca="1" si="518"/>
        <v>34721</v>
      </c>
      <c r="G4730" s="2">
        <f t="shared" ca="1" si="519"/>
        <v>718</v>
      </c>
    </row>
    <row r="4731" spans="1:7" x14ac:dyDescent="0.3">
      <c r="A4731" s="5" t="str">
        <f t="shared" si="520"/>
        <v>Nike</v>
      </c>
      <c r="B4731" s="5" t="str">
        <f t="shared" si="515"/>
        <v>Pegasus 40</v>
      </c>
      <c r="C4731" s="3">
        <f t="shared" si="521"/>
        <v>45973</v>
      </c>
      <c r="D4731" s="4">
        <f t="shared" ca="1" si="516"/>
        <v>127</v>
      </c>
      <c r="E4731" s="2">
        <f t="shared" ca="1" si="517"/>
        <v>10921</v>
      </c>
      <c r="F4731" s="2">
        <f t="shared" ca="1" si="518"/>
        <v>19036</v>
      </c>
      <c r="G4731" s="2">
        <f t="shared" ca="1" si="519"/>
        <v>683</v>
      </c>
    </row>
    <row r="4732" spans="1:7" x14ac:dyDescent="0.3">
      <c r="A4732" s="5" t="str">
        <f t="shared" si="520"/>
        <v>Adidas</v>
      </c>
      <c r="B4732" s="5" t="str">
        <f t="shared" si="515"/>
        <v>Gazelle</v>
      </c>
      <c r="C4732" s="3">
        <f t="shared" si="521"/>
        <v>45973</v>
      </c>
      <c r="D4732" s="4">
        <f t="shared" ca="1" si="516"/>
        <v>147</v>
      </c>
      <c r="E4732" s="2">
        <f t="shared" ca="1" si="517"/>
        <v>11156</v>
      </c>
      <c r="F4732" s="2">
        <f t="shared" ca="1" si="518"/>
        <v>14851</v>
      </c>
      <c r="G4732" s="2">
        <f t="shared" ca="1" si="519"/>
        <v>840</v>
      </c>
    </row>
    <row r="4733" spans="1:7" x14ac:dyDescent="0.3">
      <c r="A4733" s="5" t="str">
        <f t="shared" si="520"/>
        <v>Puma</v>
      </c>
      <c r="B4733" s="5" t="str">
        <f t="shared" si="515"/>
        <v>Slipstream</v>
      </c>
      <c r="C4733" s="3">
        <f t="shared" si="521"/>
        <v>45973</v>
      </c>
      <c r="D4733" s="4">
        <f t="shared" ca="1" si="516"/>
        <v>137</v>
      </c>
      <c r="E4733" s="2">
        <f t="shared" ca="1" si="517"/>
        <v>11386</v>
      </c>
      <c r="F4733" s="2">
        <f t="shared" ca="1" si="518"/>
        <v>13049</v>
      </c>
      <c r="G4733" s="2">
        <f t="shared" ca="1" si="519"/>
        <v>434</v>
      </c>
    </row>
    <row r="4734" spans="1:7" x14ac:dyDescent="0.3">
      <c r="A4734" s="5" t="str">
        <f t="shared" si="520"/>
        <v>New Balance</v>
      </c>
      <c r="B4734" s="5" t="str">
        <f t="shared" si="515"/>
        <v>550</v>
      </c>
      <c r="C4734" s="3">
        <f t="shared" si="521"/>
        <v>45973</v>
      </c>
      <c r="D4734" s="4">
        <f t="shared" ca="1" si="516"/>
        <v>228</v>
      </c>
      <c r="E4734" s="2">
        <f t="shared" ca="1" si="517"/>
        <v>8531</v>
      </c>
      <c r="F4734" s="2">
        <f t="shared" ca="1" si="518"/>
        <v>20205</v>
      </c>
      <c r="G4734" s="2">
        <f t="shared" ca="1" si="519"/>
        <v>1303</v>
      </c>
    </row>
    <row r="4735" spans="1:7" x14ac:dyDescent="0.3">
      <c r="A4735" s="5" t="str">
        <f t="shared" si="520"/>
        <v>Reebok</v>
      </c>
      <c r="B4735" s="5" t="str">
        <f t="shared" si="515"/>
        <v>Classic Leather</v>
      </c>
      <c r="C4735" s="3">
        <f t="shared" si="521"/>
        <v>45973</v>
      </c>
      <c r="D4735" s="4">
        <f t="shared" ca="1" si="516"/>
        <v>220</v>
      </c>
      <c r="E4735" s="2">
        <f t="shared" ca="1" si="517"/>
        <v>3170</v>
      </c>
      <c r="F4735" s="2">
        <f t="shared" ca="1" si="518"/>
        <v>14824</v>
      </c>
      <c r="G4735" s="2">
        <f t="shared" ca="1" si="519"/>
        <v>385</v>
      </c>
    </row>
    <row r="4736" spans="1:7" x14ac:dyDescent="0.3">
      <c r="A4736" s="5" t="str">
        <f t="shared" si="520"/>
        <v>Nike</v>
      </c>
      <c r="B4736" s="5" t="str">
        <f t="shared" si="515"/>
        <v>Air Force 1</v>
      </c>
      <c r="C4736" s="3">
        <f t="shared" si="521"/>
        <v>45973</v>
      </c>
      <c r="D4736" s="4">
        <f t="shared" ca="1" si="516"/>
        <v>74</v>
      </c>
      <c r="E4736" s="2">
        <f t="shared" ca="1" si="517"/>
        <v>10479</v>
      </c>
      <c r="F4736" s="2">
        <f t="shared" ca="1" si="518"/>
        <v>11199</v>
      </c>
      <c r="G4736" s="2">
        <f t="shared" ca="1" si="519"/>
        <v>778</v>
      </c>
    </row>
    <row r="4737" spans="1:7" x14ac:dyDescent="0.3">
      <c r="A4737" s="5" t="str">
        <f t="shared" si="520"/>
        <v>Adidas</v>
      </c>
      <c r="B4737" s="5" t="str">
        <f t="shared" si="515"/>
        <v>Superstar</v>
      </c>
      <c r="C4737" s="3">
        <f t="shared" si="521"/>
        <v>45973</v>
      </c>
      <c r="D4737" s="4">
        <f t="shared" ca="1" si="516"/>
        <v>30</v>
      </c>
      <c r="E4737" s="2">
        <f t="shared" ca="1" si="517"/>
        <v>9618</v>
      </c>
      <c r="F4737" s="2">
        <f t="shared" ca="1" si="518"/>
        <v>30985</v>
      </c>
      <c r="G4737" s="2">
        <f t="shared" ca="1" si="519"/>
        <v>1321</v>
      </c>
    </row>
    <row r="4738" spans="1:7" x14ac:dyDescent="0.3">
      <c r="A4738" s="5" t="str">
        <f t="shared" si="520"/>
        <v>Puma</v>
      </c>
      <c r="B4738" s="5" t="str">
        <f t="shared" si="515"/>
        <v>Rider Vintage</v>
      </c>
      <c r="C4738" s="3">
        <f t="shared" si="521"/>
        <v>45973</v>
      </c>
      <c r="D4738" s="4">
        <f t="shared" ca="1" si="516"/>
        <v>138</v>
      </c>
      <c r="E4738" s="2">
        <f t="shared" ca="1" si="517"/>
        <v>2319</v>
      </c>
      <c r="F4738" s="2">
        <f t="shared" ca="1" si="518"/>
        <v>16351</v>
      </c>
      <c r="G4738" s="2">
        <f t="shared" ca="1" si="519"/>
        <v>1250</v>
      </c>
    </row>
    <row r="4739" spans="1:7" x14ac:dyDescent="0.3">
      <c r="A4739" s="5" t="str">
        <f t="shared" si="520"/>
        <v>New Balance</v>
      </c>
      <c r="B4739" s="5" t="str">
        <f t="shared" ref="B4739:B4802" si="522">IF(A4739="Nike",CHOOSE(MOD(ROW(A4738),6)+1,"Air Max 270","Air Force 1","Pegasus 40","Vaporfly 3","Cortez","Jordan 1"),
 IF(A4739="Adidas",CHOOSE(MOD(ROW(A4738),6)+1,"Ultraboost 23","Stan Smith","Superstar","Gazelle","Samba","NMD S1"),
 IF(A4739="Puma",CHOOSE(MOD(ROW(A4738),6)+1,"Suede Classic","RS-X","Cali Dream","Rider Vintage","Slipstream","Mayze"),
 IF(A4739="New Balance",CHOOSE(MOD(ROW(A4738),6)+1,"574 Core","990v6","2002R","9060","327","550"),
 IF(A4739="Reebok",CHOOSE(MOD(ROW(A4738),6)+1,"Classic Leather","Club C 85","Nano X3","Instapump Fury","Zig Kinetica","Question Mid"),"")))))</f>
        <v>327</v>
      </c>
      <c r="C4739" s="3">
        <f t="shared" si="521"/>
        <v>45973</v>
      </c>
      <c r="D4739" s="4">
        <f t="shared" ref="D4739:D4802" ca="1" si="523">RANDBETWEEN(20,250)</f>
        <v>193</v>
      </c>
      <c r="E4739" s="2">
        <f t="shared" ref="E4739:E4802" ca="1" si="524">ROUND(RANDBETWEEN(1500,12000)+(RANDBETWEEN(-200,200)),2)</f>
        <v>11913</v>
      </c>
      <c r="F4739" s="2">
        <f t="shared" ref="F4739:F4802" ca="1" si="525">RANDBETWEEN(5000,35000)</f>
        <v>24758</v>
      </c>
      <c r="G4739" s="2">
        <f t="shared" ref="G4739:G4802" ca="1" si="526">RANDBETWEEN(ROUND(F4739*0.02,0),ROUND(F4739*0.08,0))</f>
        <v>1606</v>
      </c>
    </row>
    <row r="4740" spans="1:7" x14ac:dyDescent="0.3">
      <c r="A4740" s="5" t="str">
        <f t="shared" si="520"/>
        <v>Reebok</v>
      </c>
      <c r="B4740" s="5" t="str">
        <f t="shared" si="522"/>
        <v>Question Mid</v>
      </c>
      <c r="C4740" s="3">
        <f t="shared" si="521"/>
        <v>45973</v>
      </c>
      <c r="D4740" s="4">
        <f t="shared" ca="1" si="523"/>
        <v>155</v>
      </c>
      <c r="E4740" s="2">
        <f t="shared" ca="1" si="524"/>
        <v>7011</v>
      </c>
      <c r="F4740" s="2">
        <f t="shared" ca="1" si="525"/>
        <v>25642</v>
      </c>
      <c r="G4740" s="2">
        <f t="shared" ca="1" si="526"/>
        <v>1126</v>
      </c>
    </row>
    <row r="4741" spans="1:7" x14ac:dyDescent="0.3">
      <c r="A4741" s="5" t="str">
        <f t="shared" si="520"/>
        <v>Nike</v>
      </c>
      <c r="B4741" s="5" t="str">
        <f t="shared" si="522"/>
        <v>Air Max 270</v>
      </c>
      <c r="C4741" s="3">
        <f t="shared" si="521"/>
        <v>45973</v>
      </c>
      <c r="D4741" s="4">
        <f t="shared" ca="1" si="523"/>
        <v>233</v>
      </c>
      <c r="E4741" s="2">
        <f t="shared" ca="1" si="524"/>
        <v>2363</v>
      </c>
      <c r="F4741" s="2">
        <f t="shared" ca="1" si="525"/>
        <v>13389</v>
      </c>
      <c r="G4741" s="2">
        <f t="shared" ca="1" si="526"/>
        <v>731</v>
      </c>
    </row>
    <row r="4742" spans="1:7" x14ac:dyDescent="0.3">
      <c r="A4742" s="5" t="str">
        <f t="shared" si="520"/>
        <v>Adidas</v>
      </c>
      <c r="B4742" s="5" t="str">
        <f t="shared" si="522"/>
        <v>Stan Smith</v>
      </c>
      <c r="C4742" s="3">
        <f t="shared" si="521"/>
        <v>45974</v>
      </c>
      <c r="D4742" s="4">
        <f t="shared" ca="1" si="523"/>
        <v>70</v>
      </c>
      <c r="E4742" s="2">
        <f t="shared" ca="1" si="524"/>
        <v>2042</v>
      </c>
      <c r="F4742" s="2">
        <f t="shared" ca="1" si="525"/>
        <v>29860</v>
      </c>
      <c r="G4742" s="2">
        <f t="shared" ca="1" si="526"/>
        <v>709</v>
      </c>
    </row>
    <row r="4743" spans="1:7" x14ac:dyDescent="0.3">
      <c r="A4743" s="5" t="str">
        <f t="shared" si="520"/>
        <v>Puma</v>
      </c>
      <c r="B4743" s="5" t="str">
        <f t="shared" si="522"/>
        <v>Cali Dream</v>
      </c>
      <c r="C4743" s="3">
        <f t="shared" si="521"/>
        <v>45974</v>
      </c>
      <c r="D4743" s="4">
        <f t="shared" ca="1" si="523"/>
        <v>163</v>
      </c>
      <c r="E4743" s="2">
        <f t="shared" ca="1" si="524"/>
        <v>11024</v>
      </c>
      <c r="F4743" s="2">
        <f t="shared" ca="1" si="525"/>
        <v>29734</v>
      </c>
      <c r="G4743" s="2">
        <f t="shared" ca="1" si="526"/>
        <v>773</v>
      </c>
    </row>
    <row r="4744" spans="1:7" x14ac:dyDescent="0.3">
      <c r="A4744" s="5" t="str">
        <f t="shared" si="520"/>
        <v>New Balance</v>
      </c>
      <c r="B4744" s="5" t="str">
        <f t="shared" si="522"/>
        <v>9060</v>
      </c>
      <c r="C4744" s="3">
        <f t="shared" si="521"/>
        <v>45974</v>
      </c>
      <c r="D4744" s="4">
        <f t="shared" ca="1" si="523"/>
        <v>141</v>
      </c>
      <c r="E4744" s="2">
        <f t="shared" ca="1" si="524"/>
        <v>11657</v>
      </c>
      <c r="F4744" s="2">
        <f t="shared" ca="1" si="525"/>
        <v>10434</v>
      </c>
      <c r="G4744" s="2">
        <f t="shared" ca="1" si="526"/>
        <v>464</v>
      </c>
    </row>
    <row r="4745" spans="1:7" x14ac:dyDescent="0.3">
      <c r="A4745" s="5" t="str">
        <f t="shared" si="520"/>
        <v>Reebok</v>
      </c>
      <c r="B4745" s="5" t="str">
        <f t="shared" si="522"/>
        <v>Zig Kinetica</v>
      </c>
      <c r="C4745" s="3">
        <f t="shared" si="521"/>
        <v>45974</v>
      </c>
      <c r="D4745" s="4">
        <f t="shared" ca="1" si="523"/>
        <v>243</v>
      </c>
      <c r="E4745" s="2">
        <f t="shared" ca="1" si="524"/>
        <v>1868</v>
      </c>
      <c r="F4745" s="2">
        <f t="shared" ca="1" si="525"/>
        <v>34093</v>
      </c>
      <c r="G4745" s="2">
        <f t="shared" ca="1" si="526"/>
        <v>2224</v>
      </c>
    </row>
    <row r="4746" spans="1:7" x14ac:dyDescent="0.3">
      <c r="A4746" s="5" t="str">
        <f t="shared" si="520"/>
        <v>Nike</v>
      </c>
      <c r="B4746" s="5" t="str">
        <f t="shared" si="522"/>
        <v>Jordan 1</v>
      </c>
      <c r="C4746" s="3">
        <f t="shared" si="521"/>
        <v>45974</v>
      </c>
      <c r="D4746" s="4">
        <f t="shared" ca="1" si="523"/>
        <v>206</v>
      </c>
      <c r="E4746" s="2">
        <f t="shared" ca="1" si="524"/>
        <v>6426</v>
      </c>
      <c r="F4746" s="2">
        <f t="shared" ca="1" si="525"/>
        <v>10444</v>
      </c>
      <c r="G4746" s="2">
        <f t="shared" ca="1" si="526"/>
        <v>382</v>
      </c>
    </row>
    <row r="4747" spans="1:7" x14ac:dyDescent="0.3">
      <c r="A4747" s="5" t="str">
        <f t="shared" si="520"/>
        <v>Adidas</v>
      </c>
      <c r="B4747" s="5" t="str">
        <f t="shared" si="522"/>
        <v>Ultraboost 23</v>
      </c>
      <c r="C4747" s="3">
        <f t="shared" si="521"/>
        <v>45974</v>
      </c>
      <c r="D4747" s="4">
        <f t="shared" ca="1" si="523"/>
        <v>248</v>
      </c>
      <c r="E4747" s="2">
        <f t="shared" ca="1" si="524"/>
        <v>7761</v>
      </c>
      <c r="F4747" s="2">
        <f t="shared" ca="1" si="525"/>
        <v>8211</v>
      </c>
      <c r="G4747" s="2">
        <f t="shared" ca="1" si="526"/>
        <v>166</v>
      </c>
    </row>
    <row r="4748" spans="1:7" x14ac:dyDescent="0.3">
      <c r="A4748" s="5" t="str">
        <f t="shared" si="520"/>
        <v>Puma</v>
      </c>
      <c r="B4748" s="5" t="str">
        <f t="shared" si="522"/>
        <v>RS-X</v>
      </c>
      <c r="C4748" s="3">
        <f t="shared" si="521"/>
        <v>45974</v>
      </c>
      <c r="D4748" s="4">
        <f t="shared" ca="1" si="523"/>
        <v>114</v>
      </c>
      <c r="E4748" s="2">
        <f t="shared" ca="1" si="524"/>
        <v>6358</v>
      </c>
      <c r="F4748" s="2">
        <f t="shared" ca="1" si="525"/>
        <v>19777</v>
      </c>
      <c r="G4748" s="2">
        <f t="shared" ca="1" si="526"/>
        <v>825</v>
      </c>
    </row>
    <row r="4749" spans="1:7" x14ac:dyDescent="0.3">
      <c r="A4749" s="5" t="str">
        <f t="shared" si="520"/>
        <v>New Balance</v>
      </c>
      <c r="B4749" s="5" t="str">
        <f t="shared" si="522"/>
        <v>2002R</v>
      </c>
      <c r="C4749" s="3">
        <f t="shared" si="521"/>
        <v>45974</v>
      </c>
      <c r="D4749" s="4">
        <f t="shared" ca="1" si="523"/>
        <v>56</v>
      </c>
      <c r="E4749" s="2">
        <f t="shared" ca="1" si="524"/>
        <v>5050</v>
      </c>
      <c r="F4749" s="2">
        <f t="shared" ca="1" si="525"/>
        <v>27586</v>
      </c>
      <c r="G4749" s="2">
        <f t="shared" ca="1" si="526"/>
        <v>967</v>
      </c>
    </row>
    <row r="4750" spans="1:7" x14ac:dyDescent="0.3">
      <c r="A4750" s="5" t="str">
        <f t="shared" si="520"/>
        <v>Reebok</v>
      </c>
      <c r="B4750" s="5" t="str">
        <f t="shared" si="522"/>
        <v>Instapump Fury</v>
      </c>
      <c r="C4750" s="3">
        <f t="shared" si="521"/>
        <v>45974</v>
      </c>
      <c r="D4750" s="4">
        <f t="shared" ca="1" si="523"/>
        <v>168</v>
      </c>
      <c r="E4750" s="2">
        <f t="shared" ca="1" si="524"/>
        <v>9590</v>
      </c>
      <c r="F4750" s="2">
        <f t="shared" ca="1" si="525"/>
        <v>16662</v>
      </c>
      <c r="G4750" s="2">
        <f t="shared" ca="1" si="526"/>
        <v>1119</v>
      </c>
    </row>
    <row r="4751" spans="1:7" x14ac:dyDescent="0.3">
      <c r="A4751" s="5" t="str">
        <f t="shared" si="520"/>
        <v>Nike</v>
      </c>
      <c r="B4751" s="5" t="str">
        <f t="shared" si="522"/>
        <v>Cortez</v>
      </c>
      <c r="C4751" s="3">
        <f t="shared" si="521"/>
        <v>45974</v>
      </c>
      <c r="D4751" s="4">
        <f t="shared" ca="1" si="523"/>
        <v>60</v>
      </c>
      <c r="E4751" s="2">
        <f t="shared" ca="1" si="524"/>
        <v>8152</v>
      </c>
      <c r="F4751" s="2">
        <f t="shared" ca="1" si="525"/>
        <v>17399</v>
      </c>
      <c r="G4751" s="2">
        <f t="shared" ca="1" si="526"/>
        <v>380</v>
      </c>
    </row>
    <row r="4752" spans="1:7" x14ac:dyDescent="0.3">
      <c r="A4752" s="5" t="str">
        <f t="shared" si="520"/>
        <v>Adidas</v>
      </c>
      <c r="B4752" s="5" t="str">
        <f t="shared" si="522"/>
        <v>NMD S1</v>
      </c>
      <c r="C4752" s="3">
        <f t="shared" si="521"/>
        <v>45974</v>
      </c>
      <c r="D4752" s="4">
        <f t="shared" ca="1" si="523"/>
        <v>106</v>
      </c>
      <c r="E4752" s="2">
        <f t="shared" ca="1" si="524"/>
        <v>5164</v>
      </c>
      <c r="F4752" s="2">
        <f t="shared" ca="1" si="525"/>
        <v>11093</v>
      </c>
      <c r="G4752" s="2">
        <f t="shared" ca="1" si="526"/>
        <v>610</v>
      </c>
    </row>
    <row r="4753" spans="1:7" x14ac:dyDescent="0.3">
      <c r="A4753" s="5" t="str">
        <f t="shared" si="520"/>
        <v>Puma</v>
      </c>
      <c r="B4753" s="5" t="str">
        <f t="shared" si="522"/>
        <v>Suede Classic</v>
      </c>
      <c r="C4753" s="3">
        <f t="shared" si="521"/>
        <v>45974</v>
      </c>
      <c r="D4753" s="4">
        <f t="shared" ca="1" si="523"/>
        <v>136</v>
      </c>
      <c r="E4753" s="2">
        <f t="shared" ca="1" si="524"/>
        <v>10030</v>
      </c>
      <c r="F4753" s="2">
        <f t="shared" ca="1" si="525"/>
        <v>29464</v>
      </c>
      <c r="G4753" s="2">
        <f t="shared" ca="1" si="526"/>
        <v>885</v>
      </c>
    </row>
    <row r="4754" spans="1:7" x14ac:dyDescent="0.3">
      <c r="A4754" s="5" t="str">
        <f t="shared" si="520"/>
        <v>New Balance</v>
      </c>
      <c r="B4754" s="5" t="str">
        <f t="shared" si="522"/>
        <v>990v6</v>
      </c>
      <c r="C4754" s="3">
        <f t="shared" si="521"/>
        <v>45974</v>
      </c>
      <c r="D4754" s="4">
        <f t="shared" ca="1" si="523"/>
        <v>41</v>
      </c>
      <c r="E4754" s="2">
        <f t="shared" ca="1" si="524"/>
        <v>2564</v>
      </c>
      <c r="F4754" s="2">
        <f t="shared" ca="1" si="525"/>
        <v>5483</v>
      </c>
      <c r="G4754" s="2">
        <f t="shared" ca="1" si="526"/>
        <v>303</v>
      </c>
    </row>
    <row r="4755" spans="1:7" x14ac:dyDescent="0.3">
      <c r="A4755" s="5" t="str">
        <f t="shared" si="520"/>
        <v>Reebok</v>
      </c>
      <c r="B4755" s="5" t="str">
        <f t="shared" si="522"/>
        <v>Nano X3</v>
      </c>
      <c r="C4755" s="3">
        <f t="shared" si="521"/>
        <v>45974</v>
      </c>
      <c r="D4755" s="4">
        <f t="shared" ca="1" si="523"/>
        <v>175</v>
      </c>
      <c r="E4755" s="2">
        <f t="shared" ca="1" si="524"/>
        <v>8122</v>
      </c>
      <c r="F4755" s="2">
        <f t="shared" ca="1" si="525"/>
        <v>32066</v>
      </c>
      <c r="G4755" s="2">
        <f t="shared" ca="1" si="526"/>
        <v>1668</v>
      </c>
    </row>
    <row r="4756" spans="1:7" x14ac:dyDescent="0.3">
      <c r="A4756" s="5" t="str">
        <f t="shared" si="520"/>
        <v>Nike</v>
      </c>
      <c r="B4756" s="5" t="str">
        <f t="shared" si="522"/>
        <v>Vaporfly 3</v>
      </c>
      <c r="C4756" s="3">
        <f t="shared" si="521"/>
        <v>45974</v>
      </c>
      <c r="D4756" s="4">
        <f t="shared" ca="1" si="523"/>
        <v>169</v>
      </c>
      <c r="E4756" s="2">
        <f t="shared" ca="1" si="524"/>
        <v>1619</v>
      </c>
      <c r="F4756" s="2">
        <f t="shared" ca="1" si="525"/>
        <v>14421</v>
      </c>
      <c r="G4756" s="2">
        <f t="shared" ca="1" si="526"/>
        <v>383</v>
      </c>
    </row>
    <row r="4757" spans="1:7" x14ac:dyDescent="0.3">
      <c r="A4757" s="5" t="str">
        <f t="shared" si="520"/>
        <v>Adidas</v>
      </c>
      <c r="B4757" s="5" t="str">
        <f t="shared" si="522"/>
        <v>Samba</v>
      </c>
      <c r="C4757" s="3">
        <f t="shared" si="521"/>
        <v>45975</v>
      </c>
      <c r="D4757" s="4">
        <f t="shared" ca="1" si="523"/>
        <v>160</v>
      </c>
      <c r="E4757" s="2">
        <f t="shared" ca="1" si="524"/>
        <v>9662</v>
      </c>
      <c r="F4757" s="2">
        <f t="shared" ca="1" si="525"/>
        <v>26983</v>
      </c>
      <c r="G4757" s="2">
        <f t="shared" ca="1" si="526"/>
        <v>2066</v>
      </c>
    </row>
    <row r="4758" spans="1:7" x14ac:dyDescent="0.3">
      <c r="A4758" s="5" t="str">
        <f t="shared" si="520"/>
        <v>Puma</v>
      </c>
      <c r="B4758" s="5" t="str">
        <f t="shared" si="522"/>
        <v>Mayze</v>
      </c>
      <c r="C4758" s="3">
        <f t="shared" si="521"/>
        <v>45975</v>
      </c>
      <c r="D4758" s="4">
        <f t="shared" ca="1" si="523"/>
        <v>161</v>
      </c>
      <c r="E4758" s="2">
        <f t="shared" ca="1" si="524"/>
        <v>6761</v>
      </c>
      <c r="F4758" s="2">
        <f t="shared" ca="1" si="525"/>
        <v>19850</v>
      </c>
      <c r="G4758" s="2">
        <f t="shared" ca="1" si="526"/>
        <v>761</v>
      </c>
    </row>
    <row r="4759" spans="1:7" x14ac:dyDescent="0.3">
      <c r="A4759" s="5" t="str">
        <f t="shared" si="520"/>
        <v>New Balance</v>
      </c>
      <c r="B4759" s="5" t="str">
        <f t="shared" si="522"/>
        <v>574 Core</v>
      </c>
      <c r="C4759" s="3">
        <f t="shared" si="521"/>
        <v>45975</v>
      </c>
      <c r="D4759" s="4">
        <f t="shared" ca="1" si="523"/>
        <v>193</v>
      </c>
      <c r="E4759" s="2">
        <f t="shared" ca="1" si="524"/>
        <v>9815</v>
      </c>
      <c r="F4759" s="2">
        <f t="shared" ca="1" si="525"/>
        <v>19105</v>
      </c>
      <c r="G4759" s="2">
        <f t="shared" ca="1" si="526"/>
        <v>1198</v>
      </c>
    </row>
    <row r="4760" spans="1:7" x14ac:dyDescent="0.3">
      <c r="A4760" s="5" t="str">
        <f t="shared" si="520"/>
        <v>Reebok</v>
      </c>
      <c r="B4760" s="5" t="str">
        <f t="shared" si="522"/>
        <v>Club C 85</v>
      </c>
      <c r="C4760" s="3">
        <f t="shared" si="521"/>
        <v>45975</v>
      </c>
      <c r="D4760" s="4">
        <f t="shared" ca="1" si="523"/>
        <v>87</v>
      </c>
      <c r="E4760" s="2">
        <f t="shared" ca="1" si="524"/>
        <v>8100</v>
      </c>
      <c r="F4760" s="2">
        <f t="shared" ca="1" si="525"/>
        <v>17011</v>
      </c>
      <c r="G4760" s="2">
        <f t="shared" ca="1" si="526"/>
        <v>544</v>
      </c>
    </row>
    <row r="4761" spans="1:7" x14ac:dyDescent="0.3">
      <c r="A4761" s="5" t="str">
        <f t="shared" si="520"/>
        <v>Nike</v>
      </c>
      <c r="B4761" s="5" t="str">
        <f t="shared" si="522"/>
        <v>Pegasus 40</v>
      </c>
      <c r="C4761" s="3">
        <f t="shared" si="521"/>
        <v>45975</v>
      </c>
      <c r="D4761" s="4">
        <f t="shared" ca="1" si="523"/>
        <v>194</v>
      </c>
      <c r="E4761" s="2">
        <f t="shared" ca="1" si="524"/>
        <v>9014</v>
      </c>
      <c r="F4761" s="2">
        <f t="shared" ca="1" si="525"/>
        <v>24821</v>
      </c>
      <c r="G4761" s="2">
        <f t="shared" ca="1" si="526"/>
        <v>1784</v>
      </c>
    </row>
    <row r="4762" spans="1:7" x14ac:dyDescent="0.3">
      <c r="A4762" s="5" t="str">
        <f t="shared" si="520"/>
        <v>Adidas</v>
      </c>
      <c r="B4762" s="5" t="str">
        <f t="shared" si="522"/>
        <v>Gazelle</v>
      </c>
      <c r="C4762" s="3">
        <f t="shared" si="521"/>
        <v>45975</v>
      </c>
      <c r="D4762" s="4">
        <f t="shared" ca="1" si="523"/>
        <v>85</v>
      </c>
      <c r="E4762" s="2">
        <f t="shared" ca="1" si="524"/>
        <v>8285</v>
      </c>
      <c r="F4762" s="2">
        <f t="shared" ca="1" si="525"/>
        <v>20228</v>
      </c>
      <c r="G4762" s="2">
        <f t="shared" ca="1" si="526"/>
        <v>1281</v>
      </c>
    </row>
    <row r="4763" spans="1:7" x14ac:dyDescent="0.3">
      <c r="A4763" s="5" t="str">
        <f t="shared" si="520"/>
        <v>Puma</v>
      </c>
      <c r="B4763" s="5" t="str">
        <f t="shared" si="522"/>
        <v>Slipstream</v>
      </c>
      <c r="C4763" s="3">
        <f t="shared" si="521"/>
        <v>45975</v>
      </c>
      <c r="D4763" s="4">
        <f t="shared" ca="1" si="523"/>
        <v>134</v>
      </c>
      <c r="E4763" s="2">
        <f t="shared" ca="1" si="524"/>
        <v>1909</v>
      </c>
      <c r="F4763" s="2">
        <f t="shared" ca="1" si="525"/>
        <v>30324</v>
      </c>
      <c r="G4763" s="2">
        <f t="shared" ca="1" si="526"/>
        <v>787</v>
      </c>
    </row>
    <row r="4764" spans="1:7" x14ac:dyDescent="0.3">
      <c r="A4764" s="5" t="str">
        <f t="shared" si="520"/>
        <v>New Balance</v>
      </c>
      <c r="B4764" s="5" t="str">
        <f t="shared" si="522"/>
        <v>550</v>
      </c>
      <c r="C4764" s="3">
        <f t="shared" si="521"/>
        <v>45975</v>
      </c>
      <c r="D4764" s="4">
        <f t="shared" ca="1" si="523"/>
        <v>22</v>
      </c>
      <c r="E4764" s="2">
        <f t="shared" ca="1" si="524"/>
        <v>5175</v>
      </c>
      <c r="F4764" s="2">
        <f t="shared" ca="1" si="525"/>
        <v>27843</v>
      </c>
      <c r="G4764" s="2">
        <f t="shared" ca="1" si="526"/>
        <v>1805</v>
      </c>
    </row>
    <row r="4765" spans="1:7" x14ac:dyDescent="0.3">
      <c r="A4765" s="5" t="str">
        <f t="shared" si="520"/>
        <v>Reebok</v>
      </c>
      <c r="B4765" s="5" t="str">
        <f t="shared" si="522"/>
        <v>Classic Leather</v>
      </c>
      <c r="C4765" s="3">
        <f t="shared" si="521"/>
        <v>45975</v>
      </c>
      <c r="D4765" s="4">
        <f t="shared" ca="1" si="523"/>
        <v>117</v>
      </c>
      <c r="E4765" s="2">
        <f t="shared" ca="1" si="524"/>
        <v>7652</v>
      </c>
      <c r="F4765" s="2">
        <f t="shared" ca="1" si="525"/>
        <v>33490</v>
      </c>
      <c r="G4765" s="2">
        <f t="shared" ca="1" si="526"/>
        <v>953</v>
      </c>
    </row>
    <row r="4766" spans="1:7" x14ac:dyDescent="0.3">
      <c r="A4766" s="5" t="str">
        <f t="shared" si="520"/>
        <v>Nike</v>
      </c>
      <c r="B4766" s="5" t="str">
        <f t="shared" si="522"/>
        <v>Air Force 1</v>
      </c>
      <c r="C4766" s="3">
        <f t="shared" si="521"/>
        <v>45975</v>
      </c>
      <c r="D4766" s="4">
        <f t="shared" ca="1" si="523"/>
        <v>144</v>
      </c>
      <c r="E4766" s="2">
        <f t="shared" ca="1" si="524"/>
        <v>8544</v>
      </c>
      <c r="F4766" s="2">
        <f t="shared" ca="1" si="525"/>
        <v>33460</v>
      </c>
      <c r="G4766" s="2">
        <f t="shared" ca="1" si="526"/>
        <v>2244</v>
      </c>
    </row>
    <row r="4767" spans="1:7" x14ac:dyDescent="0.3">
      <c r="A4767" s="5" t="str">
        <f t="shared" si="520"/>
        <v>Adidas</v>
      </c>
      <c r="B4767" s="5" t="str">
        <f t="shared" si="522"/>
        <v>Superstar</v>
      </c>
      <c r="C4767" s="3">
        <f t="shared" si="521"/>
        <v>45975</v>
      </c>
      <c r="D4767" s="4">
        <f t="shared" ca="1" si="523"/>
        <v>213</v>
      </c>
      <c r="E4767" s="2">
        <f t="shared" ca="1" si="524"/>
        <v>6679</v>
      </c>
      <c r="F4767" s="2">
        <f t="shared" ca="1" si="525"/>
        <v>29223</v>
      </c>
      <c r="G4767" s="2">
        <f t="shared" ca="1" si="526"/>
        <v>1899</v>
      </c>
    </row>
    <row r="4768" spans="1:7" x14ac:dyDescent="0.3">
      <c r="A4768" s="5" t="str">
        <f t="shared" si="520"/>
        <v>Puma</v>
      </c>
      <c r="B4768" s="5" t="str">
        <f t="shared" si="522"/>
        <v>Rider Vintage</v>
      </c>
      <c r="C4768" s="3">
        <f t="shared" si="521"/>
        <v>45975</v>
      </c>
      <c r="D4768" s="4">
        <f t="shared" ca="1" si="523"/>
        <v>168</v>
      </c>
      <c r="E4768" s="2">
        <f t="shared" ca="1" si="524"/>
        <v>1914</v>
      </c>
      <c r="F4768" s="2">
        <f t="shared" ca="1" si="525"/>
        <v>32177</v>
      </c>
      <c r="G4768" s="2">
        <f t="shared" ca="1" si="526"/>
        <v>2382</v>
      </c>
    </row>
    <row r="4769" spans="1:7" x14ac:dyDescent="0.3">
      <c r="A4769" s="5" t="str">
        <f t="shared" si="520"/>
        <v>New Balance</v>
      </c>
      <c r="B4769" s="5" t="str">
        <f t="shared" si="522"/>
        <v>327</v>
      </c>
      <c r="C4769" s="3">
        <f t="shared" si="521"/>
        <v>45975</v>
      </c>
      <c r="D4769" s="4">
        <f t="shared" ca="1" si="523"/>
        <v>210</v>
      </c>
      <c r="E4769" s="2">
        <f t="shared" ca="1" si="524"/>
        <v>2933</v>
      </c>
      <c r="F4769" s="2">
        <f t="shared" ca="1" si="525"/>
        <v>31102</v>
      </c>
      <c r="G4769" s="2">
        <f t="shared" ca="1" si="526"/>
        <v>900</v>
      </c>
    </row>
    <row r="4770" spans="1:7" x14ac:dyDescent="0.3">
      <c r="A4770" s="5" t="str">
        <f t="shared" si="520"/>
        <v>Reebok</v>
      </c>
      <c r="B4770" s="5" t="str">
        <f t="shared" si="522"/>
        <v>Question Mid</v>
      </c>
      <c r="C4770" s="3">
        <f t="shared" si="521"/>
        <v>45975</v>
      </c>
      <c r="D4770" s="4">
        <f t="shared" ca="1" si="523"/>
        <v>242</v>
      </c>
      <c r="E4770" s="2">
        <f t="shared" ca="1" si="524"/>
        <v>9809</v>
      </c>
      <c r="F4770" s="2">
        <f t="shared" ca="1" si="525"/>
        <v>12451</v>
      </c>
      <c r="G4770" s="2">
        <f t="shared" ca="1" si="526"/>
        <v>753</v>
      </c>
    </row>
    <row r="4771" spans="1:7" x14ac:dyDescent="0.3">
      <c r="A4771" s="5" t="str">
        <f t="shared" si="520"/>
        <v>Nike</v>
      </c>
      <c r="B4771" s="5" t="str">
        <f t="shared" si="522"/>
        <v>Air Max 270</v>
      </c>
      <c r="C4771" s="3">
        <f t="shared" si="521"/>
        <v>45975</v>
      </c>
      <c r="D4771" s="4">
        <f t="shared" ca="1" si="523"/>
        <v>134</v>
      </c>
      <c r="E4771" s="2">
        <f t="shared" ca="1" si="524"/>
        <v>2647</v>
      </c>
      <c r="F4771" s="2">
        <f t="shared" ca="1" si="525"/>
        <v>15401</v>
      </c>
      <c r="G4771" s="2">
        <f t="shared" ca="1" si="526"/>
        <v>1059</v>
      </c>
    </row>
    <row r="4772" spans="1:7" x14ac:dyDescent="0.3">
      <c r="A4772" s="5" t="str">
        <f t="shared" si="520"/>
        <v>Adidas</v>
      </c>
      <c r="B4772" s="5" t="str">
        <f t="shared" si="522"/>
        <v>Stan Smith</v>
      </c>
      <c r="C4772" s="3">
        <f t="shared" si="521"/>
        <v>45976</v>
      </c>
      <c r="D4772" s="4">
        <f t="shared" ca="1" si="523"/>
        <v>51</v>
      </c>
      <c r="E4772" s="2">
        <f t="shared" ca="1" si="524"/>
        <v>8637</v>
      </c>
      <c r="F4772" s="2">
        <f t="shared" ca="1" si="525"/>
        <v>20018</v>
      </c>
      <c r="G4772" s="2">
        <f t="shared" ca="1" si="526"/>
        <v>1144</v>
      </c>
    </row>
    <row r="4773" spans="1:7" x14ac:dyDescent="0.3">
      <c r="A4773" s="5" t="str">
        <f t="shared" si="520"/>
        <v>Puma</v>
      </c>
      <c r="B4773" s="5" t="str">
        <f t="shared" si="522"/>
        <v>Cali Dream</v>
      </c>
      <c r="C4773" s="3">
        <f t="shared" si="521"/>
        <v>45976</v>
      </c>
      <c r="D4773" s="4">
        <f t="shared" ca="1" si="523"/>
        <v>141</v>
      </c>
      <c r="E4773" s="2">
        <f t="shared" ca="1" si="524"/>
        <v>4929</v>
      </c>
      <c r="F4773" s="2">
        <f t="shared" ca="1" si="525"/>
        <v>23211</v>
      </c>
      <c r="G4773" s="2">
        <f t="shared" ca="1" si="526"/>
        <v>1197</v>
      </c>
    </row>
    <row r="4774" spans="1:7" x14ac:dyDescent="0.3">
      <c r="A4774" s="5" t="str">
        <f t="shared" si="520"/>
        <v>New Balance</v>
      </c>
      <c r="B4774" s="5" t="str">
        <f t="shared" si="522"/>
        <v>9060</v>
      </c>
      <c r="C4774" s="3">
        <f t="shared" si="521"/>
        <v>45976</v>
      </c>
      <c r="D4774" s="4">
        <f t="shared" ca="1" si="523"/>
        <v>90</v>
      </c>
      <c r="E4774" s="2">
        <f t="shared" ca="1" si="524"/>
        <v>2807</v>
      </c>
      <c r="F4774" s="2">
        <f t="shared" ca="1" si="525"/>
        <v>10051</v>
      </c>
      <c r="G4774" s="2">
        <f t="shared" ca="1" si="526"/>
        <v>777</v>
      </c>
    </row>
    <row r="4775" spans="1:7" x14ac:dyDescent="0.3">
      <c r="A4775" s="5" t="str">
        <f t="shared" si="520"/>
        <v>Reebok</v>
      </c>
      <c r="B4775" s="5" t="str">
        <f t="shared" si="522"/>
        <v>Zig Kinetica</v>
      </c>
      <c r="C4775" s="3">
        <f t="shared" si="521"/>
        <v>45976</v>
      </c>
      <c r="D4775" s="4">
        <f t="shared" ca="1" si="523"/>
        <v>137</v>
      </c>
      <c r="E4775" s="2">
        <f t="shared" ca="1" si="524"/>
        <v>4000</v>
      </c>
      <c r="F4775" s="2">
        <f t="shared" ca="1" si="525"/>
        <v>31489</v>
      </c>
      <c r="G4775" s="2">
        <f t="shared" ca="1" si="526"/>
        <v>1669</v>
      </c>
    </row>
    <row r="4776" spans="1:7" x14ac:dyDescent="0.3">
      <c r="A4776" s="5" t="str">
        <f t="shared" si="520"/>
        <v>Nike</v>
      </c>
      <c r="B4776" s="5" t="str">
        <f t="shared" si="522"/>
        <v>Jordan 1</v>
      </c>
      <c r="C4776" s="3">
        <f t="shared" si="521"/>
        <v>45976</v>
      </c>
      <c r="D4776" s="4">
        <f t="shared" ca="1" si="523"/>
        <v>205</v>
      </c>
      <c r="E4776" s="2">
        <f t="shared" ca="1" si="524"/>
        <v>3546</v>
      </c>
      <c r="F4776" s="2">
        <f t="shared" ca="1" si="525"/>
        <v>10530</v>
      </c>
      <c r="G4776" s="2">
        <f t="shared" ca="1" si="526"/>
        <v>429</v>
      </c>
    </row>
    <row r="4777" spans="1:7" x14ac:dyDescent="0.3">
      <c r="A4777" s="5" t="str">
        <f t="shared" si="520"/>
        <v>Adidas</v>
      </c>
      <c r="B4777" s="5" t="str">
        <f t="shared" si="522"/>
        <v>Ultraboost 23</v>
      </c>
      <c r="C4777" s="3">
        <f t="shared" si="521"/>
        <v>45976</v>
      </c>
      <c r="D4777" s="4">
        <f t="shared" ca="1" si="523"/>
        <v>185</v>
      </c>
      <c r="E4777" s="2">
        <f t="shared" ca="1" si="524"/>
        <v>2134</v>
      </c>
      <c r="F4777" s="2">
        <f t="shared" ca="1" si="525"/>
        <v>33943</v>
      </c>
      <c r="G4777" s="2">
        <f t="shared" ca="1" si="526"/>
        <v>943</v>
      </c>
    </row>
    <row r="4778" spans="1:7" x14ac:dyDescent="0.3">
      <c r="A4778" s="5" t="str">
        <f t="shared" si="520"/>
        <v>Puma</v>
      </c>
      <c r="B4778" s="5" t="str">
        <f t="shared" si="522"/>
        <v>RS-X</v>
      </c>
      <c r="C4778" s="3">
        <f t="shared" si="521"/>
        <v>45976</v>
      </c>
      <c r="D4778" s="4">
        <f t="shared" ca="1" si="523"/>
        <v>80</v>
      </c>
      <c r="E4778" s="2">
        <f t="shared" ca="1" si="524"/>
        <v>11439</v>
      </c>
      <c r="F4778" s="2">
        <f t="shared" ca="1" si="525"/>
        <v>24545</v>
      </c>
      <c r="G4778" s="2">
        <f t="shared" ca="1" si="526"/>
        <v>741</v>
      </c>
    </row>
    <row r="4779" spans="1:7" x14ac:dyDescent="0.3">
      <c r="A4779" s="5" t="str">
        <f t="shared" ref="A4779:A4842" si="527">CHOOSE(MOD(ROW(A4778),5)+1,"Nike","Adidas","Puma","New Balance","Reebok")</f>
        <v>New Balance</v>
      </c>
      <c r="B4779" s="5" t="str">
        <f t="shared" si="522"/>
        <v>2002R</v>
      </c>
      <c r="C4779" s="3">
        <f t="shared" ref="C4779:C4842" si="528">DATE(2025,1,1)+INT((ROW(A4779)-2)/15)</f>
        <v>45976</v>
      </c>
      <c r="D4779" s="4">
        <f t="shared" ca="1" si="523"/>
        <v>120</v>
      </c>
      <c r="E4779" s="2">
        <f t="shared" ca="1" si="524"/>
        <v>10721</v>
      </c>
      <c r="F4779" s="2">
        <f t="shared" ca="1" si="525"/>
        <v>10393</v>
      </c>
      <c r="G4779" s="2">
        <f t="shared" ca="1" si="526"/>
        <v>814</v>
      </c>
    </row>
    <row r="4780" spans="1:7" x14ac:dyDescent="0.3">
      <c r="A4780" s="5" t="str">
        <f t="shared" si="527"/>
        <v>Reebok</v>
      </c>
      <c r="B4780" s="5" t="str">
        <f t="shared" si="522"/>
        <v>Instapump Fury</v>
      </c>
      <c r="C4780" s="3">
        <f t="shared" si="528"/>
        <v>45976</v>
      </c>
      <c r="D4780" s="4">
        <f t="shared" ca="1" si="523"/>
        <v>226</v>
      </c>
      <c r="E4780" s="2">
        <f t="shared" ca="1" si="524"/>
        <v>1771</v>
      </c>
      <c r="F4780" s="2">
        <f t="shared" ca="1" si="525"/>
        <v>27745</v>
      </c>
      <c r="G4780" s="2">
        <f t="shared" ca="1" si="526"/>
        <v>1447</v>
      </c>
    </row>
    <row r="4781" spans="1:7" x14ac:dyDescent="0.3">
      <c r="A4781" s="5" t="str">
        <f t="shared" si="527"/>
        <v>Nike</v>
      </c>
      <c r="B4781" s="5" t="str">
        <f t="shared" si="522"/>
        <v>Cortez</v>
      </c>
      <c r="C4781" s="3">
        <f t="shared" si="528"/>
        <v>45976</v>
      </c>
      <c r="D4781" s="4">
        <f t="shared" ca="1" si="523"/>
        <v>243</v>
      </c>
      <c r="E4781" s="2">
        <f t="shared" ca="1" si="524"/>
        <v>3758</v>
      </c>
      <c r="F4781" s="2">
        <f t="shared" ca="1" si="525"/>
        <v>25330</v>
      </c>
      <c r="G4781" s="2">
        <f t="shared" ca="1" si="526"/>
        <v>1522</v>
      </c>
    </row>
    <row r="4782" spans="1:7" x14ac:dyDescent="0.3">
      <c r="A4782" s="5" t="str">
        <f t="shared" si="527"/>
        <v>Adidas</v>
      </c>
      <c r="B4782" s="5" t="str">
        <f t="shared" si="522"/>
        <v>NMD S1</v>
      </c>
      <c r="C4782" s="3">
        <f t="shared" si="528"/>
        <v>45976</v>
      </c>
      <c r="D4782" s="4">
        <f t="shared" ca="1" si="523"/>
        <v>249</v>
      </c>
      <c r="E4782" s="2">
        <f t="shared" ca="1" si="524"/>
        <v>6822</v>
      </c>
      <c r="F4782" s="2">
        <f t="shared" ca="1" si="525"/>
        <v>22732</v>
      </c>
      <c r="G4782" s="2">
        <f t="shared" ca="1" si="526"/>
        <v>1129</v>
      </c>
    </row>
    <row r="4783" spans="1:7" x14ac:dyDescent="0.3">
      <c r="A4783" s="5" t="str">
        <f t="shared" si="527"/>
        <v>Puma</v>
      </c>
      <c r="B4783" s="5" t="str">
        <f t="shared" si="522"/>
        <v>Suede Classic</v>
      </c>
      <c r="C4783" s="3">
        <f t="shared" si="528"/>
        <v>45976</v>
      </c>
      <c r="D4783" s="4">
        <f t="shared" ca="1" si="523"/>
        <v>242</v>
      </c>
      <c r="E4783" s="2">
        <f t="shared" ca="1" si="524"/>
        <v>11427</v>
      </c>
      <c r="F4783" s="2">
        <f t="shared" ca="1" si="525"/>
        <v>32083</v>
      </c>
      <c r="G4783" s="2">
        <f t="shared" ca="1" si="526"/>
        <v>1527</v>
      </c>
    </row>
    <row r="4784" spans="1:7" x14ac:dyDescent="0.3">
      <c r="A4784" s="5" t="str">
        <f t="shared" si="527"/>
        <v>New Balance</v>
      </c>
      <c r="B4784" s="5" t="str">
        <f t="shared" si="522"/>
        <v>990v6</v>
      </c>
      <c r="C4784" s="3">
        <f t="shared" si="528"/>
        <v>45976</v>
      </c>
      <c r="D4784" s="4">
        <f t="shared" ca="1" si="523"/>
        <v>35</v>
      </c>
      <c r="E4784" s="2">
        <f t="shared" ca="1" si="524"/>
        <v>3243</v>
      </c>
      <c r="F4784" s="2">
        <f t="shared" ca="1" si="525"/>
        <v>34525</v>
      </c>
      <c r="G4784" s="2">
        <f t="shared" ca="1" si="526"/>
        <v>819</v>
      </c>
    </row>
    <row r="4785" spans="1:7" x14ac:dyDescent="0.3">
      <c r="A4785" s="5" t="str">
        <f t="shared" si="527"/>
        <v>Reebok</v>
      </c>
      <c r="B4785" s="5" t="str">
        <f t="shared" si="522"/>
        <v>Nano X3</v>
      </c>
      <c r="C4785" s="3">
        <f t="shared" si="528"/>
        <v>45976</v>
      </c>
      <c r="D4785" s="4">
        <f t="shared" ca="1" si="523"/>
        <v>196</v>
      </c>
      <c r="E4785" s="2">
        <f t="shared" ca="1" si="524"/>
        <v>2731</v>
      </c>
      <c r="F4785" s="2">
        <f t="shared" ca="1" si="525"/>
        <v>16192</v>
      </c>
      <c r="G4785" s="2">
        <f t="shared" ca="1" si="526"/>
        <v>490</v>
      </c>
    </row>
    <row r="4786" spans="1:7" x14ac:dyDescent="0.3">
      <c r="A4786" s="5" t="str">
        <f t="shared" si="527"/>
        <v>Nike</v>
      </c>
      <c r="B4786" s="5" t="str">
        <f t="shared" si="522"/>
        <v>Vaporfly 3</v>
      </c>
      <c r="C4786" s="3">
        <f t="shared" si="528"/>
        <v>45976</v>
      </c>
      <c r="D4786" s="4">
        <f t="shared" ca="1" si="523"/>
        <v>62</v>
      </c>
      <c r="E4786" s="2">
        <f t="shared" ca="1" si="524"/>
        <v>6315</v>
      </c>
      <c r="F4786" s="2">
        <f t="shared" ca="1" si="525"/>
        <v>31501</v>
      </c>
      <c r="G4786" s="2">
        <f t="shared" ca="1" si="526"/>
        <v>1548</v>
      </c>
    </row>
    <row r="4787" spans="1:7" x14ac:dyDescent="0.3">
      <c r="A4787" s="5" t="str">
        <f t="shared" si="527"/>
        <v>Adidas</v>
      </c>
      <c r="B4787" s="5" t="str">
        <f t="shared" si="522"/>
        <v>Samba</v>
      </c>
      <c r="C4787" s="3">
        <f t="shared" si="528"/>
        <v>45977</v>
      </c>
      <c r="D4787" s="4">
        <f t="shared" ca="1" si="523"/>
        <v>117</v>
      </c>
      <c r="E4787" s="2">
        <f t="shared" ca="1" si="524"/>
        <v>10312</v>
      </c>
      <c r="F4787" s="2">
        <f t="shared" ca="1" si="525"/>
        <v>20103</v>
      </c>
      <c r="G4787" s="2">
        <f t="shared" ca="1" si="526"/>
        <v>1291</v>
      </c>
    </row>
    <row r="4788" spans="1:7" x14ac:dyDescent="0.3">
      <c r="A4788" s="5" t="str">
        <f t="shared" si="527"/>
        <v>Puma</v>
      </c>
      <c r="B4788" s="5" t="str">
        <f t="shared" si="522"/>
        <v>Mayze</v>
      </c>
      <c r="C4788" s="3">
        <f t="shared" si="528"/>
        <v>45977</v>
      </c>
      <c r="D4788" s="4">
        <f t="shared" ca="1" si="523"/>
        <v>244</v>
      </c>
      <c r="E4788" s="2">
        <f t="shared" ca="1" si="524"/>
        <v>9179</v>
      </c>
      <c r="F4788" s="2">
        <f t="shared" ca="1" si="525"/>
        <v>32111</v>
      </c>
      <c r="G4788" s="2">
        <f t="shared" ca="1" si="526"/>
        <v>1785</v>
      </c>
    </row>
    <row r="4789" spans="1:7" x14ac:dyDescent="0.3">
      <c r="A4789" s="5" t="str">
        <f t="shared" si="527"/>
        <v>New Balance</v>
      </c>
      <c r="B4789" s="5" t="str">
        <f t="shared" si="522"/>
        <v>574 Core</v>
      </c>
      <c r="C4789" s="3">
        <f t="shared" si="528"/>
        <v>45977</v>
      </c>
      <c r="D4789" s="4">
        <f t="shared" ca="1" si="523"/>
        <v>144</v>
      </c>
      <c r="E4789" s="2">
        <f t="shared" ca="1" si="524"/>
        <v>6743</v>
      </c>
      <c r="F4789" s="2">
        <f t="shared" ca="1" si="525"/>
        <v>15509</v>
      </c>
      <c r="G4789" s="2">
        <f t="shared" ca="1" si="526"/>
        <v>1084</v>
      </c>
    </row>
    <row r="4790" spans="1:7" x14ac:dyDescent="0.3">
      <c r="A4790" s="5" t="str">
        <f t="shared" si="527"/>
        <v>Reebok</v>
      </c>
      <c r="B4790" s="5" t="str">
        <f t="shared" si="522"/>
        <v>Club C 85</v>
      </c>
      <c r="C4790" s="3">
        <f t="shared" si="528"/>
        <v>45977</v>
      </c>
      <c r="D4790" s="4">
        <f t="shared" ca="1" si="523"/>
        <v>169</v>
      </c>
      <c r="E4790" s="2">
        <f t="shared" ca="1" si="524"/>
        <v>11786</v>
      </c>
      <c r="F4790" s="2">
        <f t="shared" ca="1" si="525"/>
        <v>24530</v>
      </c>
      <c r="G4790" s="2">
        <f t="shared" ca="1" si="526"/>
        <v>1896</v>
      </c>
    </row>
    <row r="4791" spans="1:7" x14ac:dyDescent="0.3">
      <c r="A4791" s="5" t="str">
        <f t="shared" si="527"/>
        <v>Nike</v>
      </c>
      <c r="B4791" s="5" t="str">
        <f t="shared" si="522"/>
        <v>Pegasus 40</v>
      </c>
      <c r="C4791" s="3">
        <f t="shared" si="528"/>
        <v>45977</v>
      </c>
      <c r="D4791" s="4">
        <f t="shared" ca="1" si="523"/>
        <v>208</v>
      </c>
      <c r="E4791" s="2">
        <f t="shared" ca="1" si="524"/>
        <v>2845</v>
      </c>
      <c r="F4791" s="2">
        <f t="shared" ca="1" si="525"/>
        <v>17907</v>
      </c>
      <c r="G4791" s="2">
        <f t="shared" ca="1" si="526"/>
        <v>833</v>
      </c>
    </row>
    <row r="4792" spans="1:7" x14ac:dyDescent="0.3">
      <c r="A4792" s="5" t="str">
        <f t="shared" si="527"/>
        <v>Adidas</v>
      </c>
      <c r="B4792" s="5" t="str">
        <f t="shared" si="522"/>
        <v>Gazelle</v>
      </c>
      <c r="C4792" s="3">
        <f t="shared" si="528"/>
        <v>45977</v>
      </c>
      <c r="D4792" s="4">
        <f t="shared" ca="1" si="523"/>
        <v>23</v>
      </c>
      <c r="E4792" s="2">
        <f t="shared" ca="1" si="524"/>
        <v>7780</v>
      </c>
      <c r="F4792" s="2">
        <f t="shared" ca="1" si="525"/>
        <v>24634</v>
      </c>
      <c r="G4792" s="2">
        <f t="shared" ca="1" si="526"/>
        <v>544</v>
      </c>
    </row>
    <row r="4793" spans="1:7" x14ac:dyDescent="0.3">
      <c r="A4793" s="5" t="str">
        <f t="shared" si="527"/>
        <v>Puma</v>
      </c>
      <c r="B4793" s="5" t="str">
        <f t="shared" si="522"/>
        <v>Slipstream</v>
      </c>
      <c r="C4793" s="3">
        <f t="shared" si="528"/>
        <v>45977</v>
      </c>
      <c r="D4793" s="4">
        <f t="shared" ca="1" si="523"/>
        <v>111</v>
      </c>
      <c r="E4793" s="2">
        <f t="shared" ca="1" si="524"/>
        <v>12036</v>
      </c>
      <c r="F4793" s="2">
        <f t="shared" ca="1" si="525"/>
        <v>10632</v>
      </c>
      <c r="G4793" s="2">
        <f t="shared" ca="1" si="526"/>
        <v>743</v>
      </c>
    </row>
    <row r="4794" spans="1:7" x14ac:dyDescent="0.3">
      <c r="A4794" s="5" t="str">
        <f t="shared" si="527"/>
        <v>New Balance</v>
      </c>
      <c r="B4794" s="5" t="str">
        <f t="shared" si="522"/>
        <v>550</v>
      </c>
      <c r="C4794" s="3">
        <f t="shared" si="528"/>
        <v>45977</v>
      </c>
      <c r="D4794" s="4">
        <f t="shared" ca="1" si="523"/>
        <v>45</v>
      </c>
      <c r="E4794" s="2">
        <f t="shared" ca="1" si="524"/>
        <v>9079</v>
      </c>
      <c r="F4794" s="2">
        <f t="shared" ca="1" si="525"/>
        <v>19213</v>
      </c>
      <c r="G4794" s="2">
        <f t="shared" ca="1" si="526"/>
        <v>1224</v>
      </c>
    </row>
    <row r="4795" spans="1:7" x14ac:dyDescent="0.3">
      <c r="A4795" s="5" t="str">
        <f t="shared" si="527"/>
        <v>Reebok</v>
      </c>
      <c r="B4795" s="5" t="str">
        <f t="shared" si="522"/>
        <v>Classic Leather</v>
      </c>
      <c r="C4795" s="3">
        <f t="shared" si="528"/>
        <v>45977</v>
      </c>
      <c r="D4795" s="4">
        <f t="shared" ca="1" si="523"/>
        <v>206</v>
      </c>
      <c r="E4795" s="2">
        <f t="shared" ca="1" si="524"/>
        <v>5810</v>
      </c>
      <c r="F4795" s="2">
        <f t="shared" ca="1" si="525"/>
        <v>21214</v>
      </c>
      <c r="G4795" s="2">
        <f t="shared" ca="1" si="526"/>
        <v>530</v>
      </c>
    </row>
    <row r="4796" spans="1:7" x14ac:dyDescent="0.3">
      <c r="A4796" s="5" t="str">
        <f t="shared" si="527"/>
        <v>Nike</v>
      </c>
      <c r="B4796" s="5" t="str">
        <f t="shared" si="522"/>
        <v>Air Force 1</v>
      </c>
      <c r="C4796" s="3">
        <f t="shared" si="528"/>
        <v>45977</v>
      </c>
      <c r="D4796" s="4">
        <f t="shared" ca="1" si="523"/>
        <v>214</v>
      </c>
      <c r="E4796" s="2">
        <f t="shared" ca="1" si="524"/>
        <v>9698</v>
      </c>
      <c r="F4796" s="2">
        <f t="shared" ca="1" si="525"/>
        <v>34013</v>
      </c>
      <c r="G4796" s="2">
        <f t="shared" ca="1" si="526"/>
        <v>2376</v>
      </c>
    </row>
    <row r="4797" spans="1:7" x14ac:dyDescent="0.3">
      <c r="A4797" s="5" t="str">
        <f t="shared" si="527"/>
        <v>Adidas</v>
      </c>
      <c r="B4797" s="5" t="str">
        <f t="shared" si="522"/>
        <v>Superstar</v>
      </c>
      <c r="C4797" s="3">
        <f t="shared" si="528"/>
        <v>45977</v>
      </c>
      <c r="D4797" s="4">
        <f t="shared" ca="1" si="523"/>
        <v>248</v>
      </c>
      <c r="E4797" s="2">
        <f t="shared" ca="1" si="524"/>
        <v>1785</v>
      </c>
      <c r="F4797" s="2">
        <f t="shared" ca="1" si="525"/>
        <v>14599</v>
      </c>
      <c r="G4797" s="2">
        <f t="shared" ca="1" si="526"/>
        <v>909</v>
      </c>
    </row>
    <row r="4798" spans="1:7" x14ac:dyDescent="0.3">
      <c r="A4798" s="5" t="str">
        <f t="shared" si="527"/>
        <v>Puma</v>
      </c>
      <c r="B4798" s="5" t="str">
        <f t="shared" si="522"/>
        <v>Rider Vintage</v>
      </c>
      <c r="C4798" s="3">
        <f t="shared" si="528"/>
        <v>45977</v>
      </c>
      <c r="D4798" s="4">
        <f t="shared" ca="1" si="523"/>
        <v>144</v>
      </c>
      <c r="E4798" s="2">
        <f t="shared" ca="1" si="524"/>
        <v>6603</v>
      </c>
      <c r="F4798" s="2">
        <f t="shared" ca="1" si="525"/>
        <v>24576</v>
      </c>
      <c r="G4798" s="2">
        <f t="shared" ca="1" si="526"/>
        <v>1280</v>
      </c>
    </row>
    <row r="4799" spans="1:7" x14ac:dyDescent="0.3">
      <c r="A4799" s="5" t="str">
        <f t="shared" si="527"/>
        <v>New Balance</v>
      </c>
      <c r="B4799" s="5" t="str">
        <f t="shared" si="522"/>
        <v>327</v>
      </c>
      <c r="C4799" s="3">
        <f t="shared" si="528"/>
        <v>45977</v>
      </c>
      <c r="D4799" s="4">
        <f t="shared" ca="1" si="523"/>
        <v>27</v>
      </c>
      <c r="E4799" s="2">
        <f t="shared" ca="1" si="524"/>
        <v>8376</v>
      </c>
      <c r="F4799" s="2">
        <f t="shared" ca="1" si="525"/>
        <v>28533</v>
      </c>
      <c r="G4799" s="2">
        <f t="shared" ca="1" si="526"/>
        <v>1149</v>
      </c>
    </row>
    <row r="4800" spans="1:7" x14ac:dyDescent="0.3">
      <c r="A4800" s="5" t="str">
        <f t="shared" si="527"/>
        <v>Reebok</v>
      </c>
      <c r="B4800" s="5" t="str">
        <f t="shared" si="522"/>
        <v>Question Mid</v>
      </c>
      <c r="C4800" s="3">
        <f t="shared" si="528"/>
        <v>45977</v>
      </c>
      <c r="D4800" s="4">
        <f t="shared" ca="1" si="523"/>
        <v>129</v>
      </c>
      <c r="E4800" s="2">
        <f t="shared" ca="1" si="524"/>
        <v>5957</v>
      </c>
      <c r="F4800" s="2">
        <f t="shared" ca="1" si="525"/>
        <v>24131</v>
      </c>
      <c r="G4800" s="2">
        <f t="shared" ca="1" si="526"/>
        <v>747</v>
      </c>
    </row>
    <row r="4801" spans="1:7" x14ac:dyDescent="0.3">
      <c r="A4801" s="5" t="str">
        <f t="shared" si="527"/>
        <v>Nike</v>
      </c>
      <c r="B4801" s="5" t="str">
        <f t="shared" si="522"/>
        <v>Air Max 270</v>
      </c>
      <c r="C4801" s="3">
        <f t="shared" si="528"/>
        <v>45977</v>
      </c>
      <c r="D4801" s="4">
        <f t="shared" ca="1" si="523"/>
        <v>60</v>
      </c>
      <c r="E4801" s="2">
        <f t="shared" ca="1" si="524"/>
        <v>7781</v>
      </c>
      <c r="F4801" s="2">
        <f t="shared" ca="1" si="525"/>
        <v>31108</v>
      </c>
      <c r="G4801" s="2">
        <f t="shared" ca="1" si="526"/>
        <v>1352</v>
      </c>
    </row>
    <row r="4802" spans="1:7" x14ac:dyDescent="0.3">
      <c r="A4802" s="5" t="str">
        <f t="shared" si="527"/>
        <v>Adidas</v>
      </c>
      <c r="B4802" s="5" t="str">
        <f t="shared" si="522"/>
        <v>Stan Smith</v>
      </c>
      <c r="C4802" s="3">
        <f t="shared" si="528"/>
        <v>45978</v>
      </c>
      <c r="D4802" s="4">
        <f t="shared" ca="1" si="523"/>
        <v>129</v>
      </c>
      <c r="E4802" s="2">
        <f t="shared" ca="1" si="524"/>
        <v>11447</v>
      </c>
      <c r="F4802" s="2">
        <f t="shared" ca="1" si="525"/>
        <v>7888</v>
      </c>
      <c r="G4802" s="2">
        <f t="shared" ca="1" si="526"/>
        <v>484</v>
      </c>
    </row>
    <row r="4803" spans="1:7" x14ac:dyDescent="0.3">
      <c r="A4803" s="5" t="str">
        <f t="shared" si="527"/>
        <v>Puma</v>
      </c>
      <c r="B4803" s="5" t="str">
        <f t="shared" ref="B4803:B4866" si="529">IF(A4803="Nike",CHOOSE(MOD(ROW(A4802),6)+1,"Air Max 270","Air Force 1","Pegasus 40","Vaporfly 3","Cortez","Jordan 1"),
 IF(A4803="Adidas",CHOOSE(MOD(ROW(A4802),6)+1,"Ultraboost 23","Stan Smith","Superstar","Gazelle","Samba","NMD S1"),
 IF(A4803="Puma",CHOOSE(MOD(ROW(A4802),6)+1,"Suede Classic","RS-X","Cali Dream","Rider Vintage","Slipstream","Mayze"),
 IF(A4803="New Balance",CHOOSE(MOD(ROW(A4802),6)+1,"574 Core","990v6","2002R","9060","327","550"),
 IF(A4803="Reebok",CHOOSE(MOD(ROW(A4802),6)+1,"Classic Leather","Club C 85","Nano X3","Instapump Fury","Zig Kinetica","Question Mid"),"")))))</f>
        <v>Cali Dream</v>
      </c>
      <c r="C4803" s="3">
        <f t="shared" si="528"/>
        <v>45978</v>
      </c>
      <c r="D4803" s="4">
        <f t="shared" ref="D4803:D4866" ca="1" si="530">RANDBETWEEN(20,250)</f>
        <v>247</v>
      </c>
      <c r="E4803" s="2">
        <f t="shared" ref="E4803:E4866" ca="1" si="531">ROUND(RANDBETWEEN(1500,12000)+(RANDBETWEEN(-200,200)),2)</f>
        <v>9530</v>
      </c>
      <c r="F4803" s="2">
        <f t="shared" ref="F4803:F4866" ca="1" si="532">RANDBETWEEN(5000,35000)</f>
        <v>31673</v>
      </c>
      <c r="G4803" s="2">
        <f t="shared" ref="G4803:G4866" ca="1" si="533">RANDBETWEEN(ROUND(F4803*0.02,0),ROUND(F4803*0.08,0))</f>
        <v>2231</v>
      </c>
    </row>
    <row r="4804" spans="1:7" x14ac:dyDescent="0.3">
      <c r="A4804" s="5" t="str">
        <f t="shared" si="527"/>
        <v>New Balance</v>
      </c>
      <c r="B4804" s="5" t="str">
        <f t="shared" si="529"/>
        <v>9060</v>
      </c>
      <c r="C4804" s="3">
        <f t="shared" si="528"/>
        <v>45978</v>
      </c>
      <c r="D4804" s="4">
        <f t="shared" ca="1" si="530"/>
        <v>244</v>
      </c>
      <c r="E4804" s="2">
        <f t="shared" ca="1" si="531"/>
        <v>9570</v>
      </c>
      <c r="F4804" s="2">
        <f t="shared" ca="1" si="532"/>
        <v>17062</v>
      </c>
      <c r="G4804" s="2">
        <f t="shared" ca="1" si="533"/>
        <v>1115</v>
      </c>
    </row>
    <row r="4805" spans="1:7" x14ac:dyDescent="0.3">
      <c r="A4805" s="5" t="str">
        <f t="shared" si="527"/>
        <v>Reebok</v>
      </c>
      <c r="B4805" s="5" t="str">
        <f t="shared" si="529"/>
        <v>Zig Kinetica</v>
      </c>
      <c r="C4805" s="3">
        <f t="shared" si="528"/>
        <v>45978</v>
      </c>
      <c r="D4805" s="4">
        <f t="shared" ca="1" si="530"/>
        <v>198</v>
      </c>
      <c r="E4805" s="2">
        <f t="shared" ca="1" si="531"/>
        <v>11763</v>
      </c>
      <c r="F4805" s="2">
        <f t="shared" ca="1" si="532"/>
        <v>8166</v>
      </c>
      <c r="G4805" s="2">
        <f t="shared" ca="1" si="533"/>
        <v>570</v>
      </c>
    </row>
    <row r="4806" spans="1:7" x14ac:dyDescent="0.3">
      <c r="A4806" s="5" t="str">
        <f t="shared" si="527"/>
        <v>Nike</v>
      </c>
      <c r="B4806" s="5" t="str">
        <f t="shared" si="529"/>
        <v>Jordan 1</v>
      </c>
      <c r="C4806" s="3">
        <f t="shared" si="528"/>
        <v>45978</v>
      </c>
      <c r="D4806" s="4">
        <f t="shared" ca="1" si="530"/>
        <v>61</v>
      </c>
      <c r="E4806" s="2">
        <f t="shared" ca="1" si="531"/>
        <v>4181</v>
      </c>
      <c r="F4806" s="2">
        <f t="shared" ca="1" si="532"/>
        <v>15419</v>
      </c>
      <c r="G4806" s="2">
        <f t="shared" ca="1" si="533"/>
        <v>747</v>
      </c>
    </row>
    <row r="4807" spans="1:7" x14ac:dyDescent="0.3">
      <c r="A4807" s="5" t="str">
        <f t="shared" si="527"/>
        <v>Adidas</v>
      </c>
      <c r="B4807" s="5" t="str">
        <f t="shared" si="529"/>
        <v>Ultraboost 23</v>
      </c>
      <c r="C4807" s="3">
        <f t="shared" si="528"/>
        <v>45978</v>
      </c>
      <c r="D4807" s="4">
        <f t="shared" ca="1" si="530"/>
        <v>67</v>
      </c>
      <c r="E4807" s="2">
        <f t="shared" ca="1" si="531"/>
        <v>9707</v>
      </c>
      <c r="F4807" s="2">
        <f t="shared" ca="1" si="532"/>
        <v>11283</v>
      </c>
      <c r="G4807" s="2">
        <f t="shared" ca="1" si="533"/>
        <v>287</v>
      </c>
    </row>
    <row r="4808" spans="1:7" x14ac:dyDescent="0.3">
      <c r="A4808" s="5" t="str">
        <f t="shared" si="527"/>
        <v>Puma</v>
      </c>
      <c r="B4808" s="5" t="str">
        <f t="shared" si="529"/>
        <v>RS-X</v>
      </c>
      <c r="C4808" s="3">
        <f t="shared" si="528"/>
        <v>45978</v>
      </c>
      <c r="D4808" s="4">
        <f t="shared" ca="1" si="530"/>
        <v>45</v>
      </c>
      <c r="E4808" s="2">
        <f t="shared" ca="1" si="531"/>
        <v>11525</v>
      </c>
      <c r="F4808" s="2">
        <f t="shared" ca="1" si="532"/>
        <v>16438</v>
      </c>
      <c r="G4808" s="2">
        <f t="shared" ca="1" si="533"/>
        <v>516</v>
      </c>
    </row>
    <row r="4809" spans="1:7" x14ac:dyDescent="0.3">
      <c r="A4809" s="5" t="str">
        <f t="shared" si="527"/>
        <v>New Balance</v>
      </c>
      <c r="B4809" s="5" t="str">
        <f t="shared" si="529"/>
        <v>2002R</v>
      </c>
      <c r="C4809" s="3">
        <f t="shared" si="528"/>
        <v>45978</v>
      </c>
      <c r="D4809" s="4">
        <f t="shared" ca="1" si="530"/>
        <v>213</v>
      </c>
      <c r="E4809" s="2">
        <f t="shared" ca="1" si="531"/>
        <v>7377</v>
      </c>
      <c r="F4809" s="2">
        <f t="shared" ca="1" si="532"/>
        <v>21027</v>
      </c>
      <c r="G4809" s="2">
        <f t="shared" ca="1" si="533"/>
        <v>713</v>
      </c>
    </row>
    <row r="4810" spans="1:7" x14ac:dyDescent="0.3">
      <c r="A4810" s="5" t="str">
        <f t="shared" si="527"/>
        <v>Reebok</v>
      </c>
      <c r="B4810" s="5" t="str">
        <f t="shared" si="529"/>
        <v>Instapump Fury</v>
      </c>
      <c r="C4810" s="3">
        <f t="shared" si="528"/>
        <v>45978</v>
      </c>
      <c r="D4810" s="4">
        <f t="shared" ca="1" si="530"/>
        <v>87</v>
      </c>
      <c r="E4810" s="2">
        <f t="shared" ca="1" si="531"/>
        <v>11173</v>
      </c>
      <c r="F4810" s="2">
        <f t="shared" ca="1" si="532"/>
        <v>32792</v>
      </c>
      <c r="G4810" s="2">
        <f t="shared" ca="1" si="533"/>
        <v>1074</v>
      </c>
    </row>
    <row r="4811" spans="1:7" x14ac:dyDescent="0.3">
      <c r="A4811" s="5" t="str">
        <f t="shared" si="527"/>
        <v>Nike</v>
      </c>
      <c r="B4811" s="5" t="str">
        <f t="shared" si="529"/>
        <v>Cortez</v>
      </c>
      <c r="C4811" s="3">
        <f t="shared" si="528"/>
        <v>45978</v>
      </c>
      <c r="D4811" s="4">
        <f t="shared" ca="1" si="530"/>
        <v>35</v>
      </c>
      <c r="E4811" s="2">
        <f t="shared" ca="1" si="531"/>
        <v>2180</v>
      </c>
      <c r="F4811" s="2">
        <f t="shared" ca="1" si="532"/>
        <v>5819</v>
      </c>
      <c r="G4811" s="2">
        <f t="shared" ca="1" si="533"/>
        <v>450</v>
      </c>
    </row>
    <row r="4812" spans="1:7" x14ac:dyDescent="0.3">
      <c r="A4812" s="5" t="str">
        <f t="shared" si="527"/>
        <v>Adidas</v>
      </c>
      <c r="B4812" s="5" t="str">
        <f t="shared" si="529"/>
        <v>NMD S1</v>
      </c>
      <c r="C4812" s="3">
        <f t="shared" si="528"/>
        <v>45978</v>
      </c>
      <c r="D4812" s="4">
        <f t="shared" ca="1" si="530"/>
        <v>114</v>
      </c>
      <c r="E4812" s="2">
        <f t="shared" ca="1" si="531"/>
        <v>6100</v>
      </c>
      <c r="F4812" s="2">
        <f t="shared" ca="1" si="532"/>
        <v>22605</v>
      </c>
      <c r="G4812" s="2">
        <f t="shared" ca="1" si="533"/>
        <v>868</v>
      </c>
    </row>
    <row r="4813" spans="1:7" x14ac:dyDescent="0.3">
      <c r="A4813" s="5" t="str">
        <f t="shared" si="527"/>
        <v>Puma</v>
      </c>
      <c r="B4813" s="5" t="str">
        <f t="shared" si="529"/>
        <v>Suede Classic</v>
      </c>
      <c r="C4813" s="3">
        <f t="shared" si="528"/>
        <v>45978</v>
      </c>
      <c r="D4813" s="4">
        <f t="shared" ca="1" si="530"/>
        <v>138</v>
      </c>
      <c r="E4813" s="2">
        <f t="shared" ca="1" si="531"/>
        <v>11565</v>
      </c>
      <c r="F4813" s="2">
        <f t="shared" ca="1" si="532"/>
        <v>8958</v>
      </c>
      <c r="G4813" s="2">
        <f t="shared" ca="1" si="533"/>
        <v>514</v>
      </c>
    </row>
    <row r="4814" spans="1:7" x14ac:dyDescent="0.3">
      <c r="A4814" s="5" t="str">
        <f t="shared" si="527"/>
        <v>New Balance</v>
      </c>
      <c r="B4814" s="5" t="str">
        <f t="shared" si="529"/>
        <v>990v6</v>
      </c>
      <c r="C4814" s="3">
        <f t="shared" si="528"/>
        <v>45978</v>
      </c>
      <c r="D4814" s="4">
        <f t="shared" ca="1" si="530"/>
        <v>170</v>
      </c>
      <c r="E4814" s="2">
        <f t="shared" ca="1" si="531"/>
        <v>6263</v>
      </c>
      <c r="F4814" s="2">
        <f t="shared" ca="1" si="532"/>
        <v>32562</v>
      </c>
      <c r="G4814" s="2">
        <f t="shared" ca="1" si="533"/>
        <v>2597</v>
      </c>
    </row>
    <row r="4815" spans="1:7" x14ac:dyDescent="0.3">
      <c r="A4815" s="5" t="str">
        <f t="shared" si="527"/>
        <v>Reebok</v>
      </c>
      <c r="B4815" s="5" t="str">
        <f t="shared" si="529"/>
        <v>Nano X3</v>
      </c>
      <c r="C4815" s="3">
        <f t="shared" si="528"/>
        <v>45978</v>
      </c>
      <c r="D4815" s="4">
        <f t="shared" ca="1" si="530"/>
        <v>186</v>
      </c>
      <c r="E4815" s="2">
        <f t="shared" ca="1" si="531"/>
        <v>8372</v>
      </c>
      <c r="F4815" s="2">
        <f t="shared" ca="1" si="532"/>
        <v>32058</v>
      </c>
      <c r="G4815" s="2">
        <f t="shared" ca="1" si="533"/>
        <v>2473</v>
      </c>
    </row>
    <row r="4816" spans="1:7" x14ac:dyDescent="0.3">
      <c r="A4816" s="5" t="str">
        <f t="shared" si="527"/>
        <v>Nike</v>
      </c>
      <c r="B4816" s="5" t="str">
        <f t="shared" si="529"/>
        <v>Vaporfly 3</v>
      </c>
      <c r="C4816" s="3">
        <f t="shared" si="528"/>
        <v>45978</v>
      </c>
      <c r="D4816" s="4">
        <f t="shared" ca="1" si="530"/>
        <v>173</v>
      </c>
      <c r="E4816" s="2">
        <f t="shared" ca="1" si="531"/>
        <v>10435</v>
      </c>
      <c r="F4816" s="2">
        <f t="shared" ca="1" si="532"/>
        <v>13695</v>
      </c>
      <c r="G4816" s="2">
        <f t="shared" ca="1" si="533"/>
        <v>410</v>
      </c>
    </row>
    <row r="4817" spans="1:7" x14ac:dyDescent="0.3">
      <c r="A4817" s="5" t="str">
        <f t="shared" si="527"/>
        <v>Adidas</v>
      </c>
      <c r="B4817" s="5" t="str">
        <f t="shared" si="529"/>
        <v>Samba</v>
      </c>
      <c r="C4817" s="3">
        <f t="shared" si="528"/>
        <v>45979</v>
      </c>
      <c r="D4817" s="4">
        <f t="shared" ca="1" si="530"/>
        <v>107</v>
      </c>
      <c r="E4817" s="2">
        <f t="shared" ca="1" si="531"/>
        <v>8004</v>
      </c>
      <c r="F4817" s="2">
        <f t="shared" ca="1" si="532"/>
        <v>18172</v>
      </c>
      <c r="G4817" s="2">
        <f t="shared" ca="1" si="533"/>
        <v>1357</v>
      </c>
    </row>
    <row r="4818" spans="1:7" x14ac:dyDescent="0.3">
      <c r="A4818" s="5" t="str">
        <f t="shared" si="527"/>
        <v>Puma</v>
      </c>
      <c r="B4818" s="5" t="str">
        <f t="shared" si="529"/>
        <v>Mayze</v>
      </c>
      <c r="C4818" s="3">
        <f t="shared" si="528"/>
        <v>45979</v>
      </c>
      <c r="D4818" s="4">
        <f t="shared" ca="1" si="530"/>
        <v>244</v>
      </c>
      <c r="E4818" s="2">
        <f t="shared" ca="1" si="531"/>
        <v>1717</v>
      </c>
      <c r="F4818" s="2">
        <f t="shared" ca="1" si="532"/>
        <v>33995</v>
      </c>
      <c r="G4818" s="2">
        <f t="shared" ca="1" si="533"/>
        <v>837</v>
      </c>
    </row>
    <row r="4819" spans="1:7" x14ac:dyDescent="0.3">
      <c r="A4819" s="5" t="str">
        <f t="shared" si="527"/>
        <v>New Balance</v>
      </c>
      <c r="B4819" s="5" t="str">
        <f t="shared" si="529"/>
        <v>574 Core</v>
      </c>
      <c r="C4819" s="3">
        <f t="shared" si="528"/>
        <v>45979</v>
      </c>
      <c r="D4819" s="4">
        <f t="shared" ca="1" si="530"/>
        <v>61</v>
      </c>
      <c r="E4819" s="2">
        <f t="shared" ca="1" si="531"/>
        <v>1388</v>
      </c>
      <c r="F4819" s="2">
        <f t="shared" ca="1" si="532"/>
        <v>27375</v>
      </c>
      <c r="G4819" s="2">
        <f t="shared" ca="1" si="533"/>
        <v>1210</v>
      </c>
    </row>
    <row r="4820" spans="1:7" x14ac:dyDescent="0.3">
      <c r="A4820" s="5" t="str">
        <f t="shared" si="527"/>
        <v>Reebok</v>
      </c>
      <c r="B4820" s="5" t="str">
        <f t="shared" si="529"/>
        <v>Club C 85</v>
      </c>
      <c r="C4820" s="3">
        <f t="shared" si="528"/>
        <v>45979</v>
      </c>
      <c r="D4820" s="4">
        <f t="shared" ca="1" si="530"/>
        <v>210</v>
      </c>
      <c r="E4820" s="2">
        <f t="shared" ca="1" si="531"/>
        <v>10191</v>
      </c>
      <c r="F4820" s="2">
        <f t="shared" ca="1" si="532"/>
        <v>33238</v>
      </c>
      <c r="G4820" s="2">
        <f t="shared" ca="1" si="533"/>
        <v>2316</v>
      </c>
    </row>
    <row r="4821" spans="1:7" x14ac:dyDescent="0.3">
      <c r="A4821" s="5" t="str">
        <f t="shared" si="527"/>
        <v>Nike</v>
      </c>
      <c r="B4821" s="5" t="str">
        <f t="shared" si="529"/>
        <v>Pegasus 40</v>
      </c>
      <c r="C4821" s="3">
        <f t="shared" si="528"/>
        <v>45979</v>
      </c>
      <c r="D4821" s="4">
        <f t="shared" ca="1" si="530"/>
        <v>137</v>
      </c>
      <c r="E4821" s="2">
        <f t="shared" ca="1" si="531"/>
        <v>3941</v>
      </c>
      <c r="F4821" s="2">
        <f t="shared" ca="1" si="532"/>
        <v>19152</v>
      </c>
      <c r="G4821" s="2">
        <f t="shared" ca="1" si="533"/>
        <v>1328</v>
      </c>
    </row>
    <row r="4822" spans="1:7" x14ac:dyDescent="0.3">
      <c r="A4822" s="5" t="str">
        <f t="shared" si="527"/>
        <v>Adidas</v>
      </c>
      <c r="B4822" s="5" t="str">
        <f t="shared" si="529"/>
        <v>Gazelle</v>
      </c>
      <c r="C4822" s="3">
        <f t="shared" si="528"/>
        <v>45979</v>
      </c>
      <c r="D4822" s="4">
        <f t="shared" ca="1" si="530"/>
        <v>54</v>
      </c>
      <c r="E4822" s="2">
        <f t="shared" ca="1" si="531"/>
        <v>9019</v>
      </c>
      <c r="F4822" s="2">
        <f t="shared" ca="1" si="532"/>
        <v>21106</v>
      </c>
      <c r="G4822" s="2">
        <f t="shared" ca="1" si="533"/>
        <v>1122</v>
      </c>
    </row>
    <row r="4823" spans="1:7" x14ac:dyDescent="0.3">
      <c r="A4823" s="5" t="str">
        <f t="shared" si="527"/>
        <v>Puma</v>
      </c>
      <c r="B4823" s="5" t="str">
        <f t="shared" si="529"/>
        <v>Slipstream</v>
      </c>
      <c r="C4823" s="3">
        <f t="shared" si="528"/>
        <v>45979</v>
      </c>
      <c r="D4823" s="4">
        <f t="shared" ca="1" si="530"/>
        <v>248</v>
      </c>
      <c r="E4823" s="2">
        <f t="shared" ca="1" si="531"/>
        <v>10099</v>
      </c>
      <c r="F4823" s="2">
        <f t="shared" ca="1" si="532"/>
        <v>19697</v>
      </c>
      <c r="G4823" s="2">
        <f t="shared" ca="1" si="533"/>
        <v>1436</v>
      </c>
    </row>
    <row r="4824" spans="1:7" x14ac:dyDescent="0.3">
      <c r="A4824" s="5" t="str">
        <f t="shared" si="527"/>
        <v>New Balance</v>
      </c>
      <c r="B4824" s="5" t="str">
        <f t="shared" si="529"/>
        <v>550</v>
      </c>
      <c r="C4824" s="3">
        <f t="shared" si="528"/>
        <v>45979</v>
      </c>
      <c r="D4824" s="4">
        <f t="shared" ca="1" si="530"/>
        <v>115</v>
      </c>
      <c r="E4824" s="2">
        <f t="shared" ca="1" si="531"/>
        <v>8254</v>
      </c>
      <c r="F4824" s="2">
        <f t="shared" ca="1" si="532"/>
        <v>24742</v>
      </c>
      <c r="G4824" s="2">
        <f t="shared" ca="1" si="533"/>
        <v>1191</v>
      </c>
    </row>
    <row r="4825" spans="1:7" x14ac:dyDescent="0.3">
      <c r="A4825" s="5" t="str">
        <f t="shared" si="527"/>
        <v>Reebok</v>
      </c>
      <c r="B4825" s="5" t="str">
        <f t="shared" si="529"/>
        <v>Classic Leather</v>
      </c>
      <c r="C4825" s="3">
        <f t="shared" si="528"/>
        <v>45979</v>
      </c>
      <c r="D4825" s="4">
        <f t="shared" ca="1" si="530"/>
        <v>65</v>
      </c>
      <c r="E4825" s="2">
        <f t="shared" ca="1" si="531"/>
        <v>8458</v>
      </c>
      <c r="F4825" s="2">
        <f t="shared" ca="1" si="532"/>
        <v>23706</v>
      </c>
      <c r="G4825" s="2">
        <f t="shared" ca="1" si="533"/>
        <v>827</v>
      </c>
    </row>
    <row r="4826" spans="1:7" x14ac:dyDescent="0.3">
      <c r="A4826" s="5" t="str">
        <f t="shared" si="527"/>
        <v>Nike</v>
      </c>
      <c r="B4826" s="5" t="str">
        <f t="shared" si="529"/>
        <v>Air Force 1</v>
      </c>
      <c r="C4826" s="3">
        <f t="shared" si="528"/>
        <v>45979</v>
      </c>
      <c r="D4826" s="4">
        <f t="shared" ca="1" si="530"/>
        <v>177</v>
      </c>
      <c r="E4826" s="2">
        <f t="shared" ca="1" si="531"/>
        <v>8253</v>
      </c>
      <c r="F4826" s="2">
        <f t="shared" ca="1" si="532"/>
        <v>17920</v>
      </c>
      <c r="G4826" s="2">
        <f t="shared" ca="1" si="533"/>
        <v>437</v>
      </c>
    </row>
    <row r="4827" spans="1:7" x14ac:dyDescent="0.3">
      <c r="A4827" s="5" t="str">
        <f t="shared" si="527"/>
        <v>Adidas</v>
      </c>
      <c r="B4827" s="5" t="str">
        <f t="shared" si="529"/>
        <v>Superstar</v>
      </c>
      <c r="C4827" s="3">
        <f t="shared" si="528"/>
        <v>45979</v>
      </c>
      <c r="D4827" s="4">
        <f t="shared" ca="1" si="530"/>
        <v>215</v>
      </c>
      <c r="E4827" s="2">
        <f t="shared" ca="1" si="531"/>
        <v>5329</v>
      </c>
      <c r="F4827" s="2">
        <f t="shared" ca="1" si="532"/>
        <v>13661</v>
      </c>
      <c r="G4827" s="2">
        <f t="shared" ca="1" si="533"/>
        <v>746</v>
      </c>
    </row>
    <row r="4828" spans="1:7" x14ac:dyDescent="0.3">
      <c r="A4828" s="5" t="str">
        <f t="shared" si="527"/>
        <v>Puma</v>
      </c>
      <c r="B4828" s="5" t="str">
        <f t="shared" si="529"/>
        <v>Rider Vintage</v>
      </c>
      <c r="C4828" s="3">
        <f t="shared" si="528"/>
        <v>45979</v>
      </c>
      <c r="D4828" s="4">
        <f t="shared" ca="1" si="530"/>
        <v>235</v>
      </c>
      <c r="E4828" s="2">
        <f t="shared" ca="1" si="531"/>
        <v>9015</v>
      </c>
      <c r="F4828" s="2">
        <f t="shared" ca="1" si="532"/>
        <v>25148</v>
      </c>
      <c r="G4828" s="2">
        <f t="shared" ca="1" si="533"/>
        <v>1458</v>
      </c>
    </row>
    <row r="4829" spans="1:7" x14ac:dyDescent="0.3">
      <c r="A4829" s="5" t="str">
        <f t="shared" si="527"/>
        <v>New Balance</v>
      </c>
      <c r="B4829" s="5" t="str">
        <f t="shared" si="529"/>
        <v>327</v>
      </c>
      <c r="C4829" s="3">
        <f t="shared" si="528"/>
        <v>45979</v>
      </c>
      <c r="D4829" s="4">
        <f t="shared" ca="1" si="530"/>
        <v>194</v>
      </c>
      <c r="E4829" s="2">
        <f t="shared" ca="1" si="531"/>
        <v>11275</v>
      </c>
      <c r="F4829" s="2">
        <f t="shared" ca="1" si="532"/>
        <v>6477</v>
      </c>
      <c r="G4829" s="2">
        <f t="shared" ca="1" si="533"/>
        <v>150</v>
      </c>
    </row>
    <row r="4830" spans="1:7" x14ac:dyDescent="0.3">
      <c r="A4830" s="5" t="str">
        <f t="shared" si="527"/>
        <v>Reebok</v>
      </c>
      <c r="B4830" s="5" t="str">
        <f t="shared" si="529"/>
        <v>Question Mid</v>
      </c>
      <c r="C4830" s="3">
        <f t="shared" si="528"/>
        <v>45979</v>
      </c>
      <c r="D4830" s="4">
        <f t="shared" ca="1" si="530"/>
        <v>213</v>
      </c>
      <c r="E4830" s="2">
        <f t="shared" ca="1" si="531"/>
        <v>2003</v>
      </c>
      <c r="F4830" s="2">
        <f t="shared" ca="1" si="532"/>
        <v>34413</v>
      </c>
      <c r="G4830" s="2">
        <f t="shared" ca="1" si="533"/>
        <v>1761</v>
      </c>
    </row>
    <row r="4831" spans="1:7" x14ac:dyDescent="0.3">
      <c r="A4831" s="5" t="str">
        <f t="shared" si="527"/>
        <v>Nike</v>
      </c>
      <c r="B4831" s="5" t="str">
        <f t="shared" si="529"/>
        <v>Air Max 270</v>
      </c>
      <c r="C4831" s="3">
        <f t="shared" si="528"/>
        <v>45979</v>
      </c>
      <c r="D4831" s="4">
        <f t="shared" ca="1" si="530"/>
        <v>110</v>
      </c>
      <c r="E4831" s="2">
        <f t="shared" ca="1" si="531"/>
        <v>4612</v>
      </c>
      <c r="F4831" s="2">
        <f t="shared" ca="1" si="532"/>
        <v>6832</v>
      </c>
      <c r="G4831" s="2">
        <f t="shared" ca="1" si="533"/>
        <v>213</v>
      </c>
    </row>
    <row r="4832" spans="1:7" x14ac:dyDescent="0.3">
      <c r="A4832" s="5" t="str">
        <f t="shared" si="527"/>
        <v>Adidas</v>
      </c>
      <c r="B4832" s="5" t="str">
        <f t="shared" si="529"/>
        <v>Stan Smith</v>
      </c>
      <c r="C4832" s="3">
        <f t="shared" si="528"/>
        <v>45980</v>
      </c>
      <c r="D4832" s="4">
        <f t="shared" ca="1" si="530"/>
        <v>91</v>
      </c>
      <c r="E4832" s="2">
        <f t="shared" ca="1" si="531"/>
        <v>10978</v>
      </c>
      <c r="F4832" s="2">
        <f t="shared" ca="1" si="532"/>
        <v>17193</v>
      </c>
      <c r="G4832" s="2">
        <f t="shared" ca="1" si="533"/>
        <v>418</v>
      </c>
    </row>
    <row r="4833" spans="1:7" x14ac:dyDescent="0.3">
      <c r="A4833" s="5" t="str">
        <f t="shared" si="527"/>
        <v>Puma</v>
      </c>
      <c r="B4833" s="5" t="str">
        <f t="shared" si="529"/>
        <v>Cali Dream</v>
      </c>
      <c r="C4833" s="3">
        <f t="shared" si="528"/>
        <v>45980</v>
      </c>
      <c r="D4833" s="4">
        <f t="shared" ca="1" si="530"/>
        <v>150</v>
      </c>
      <c r="E4833" s="2">
        <f t="shared" ca="1" si="531"/>
        <v>2240</v>
      </c>
      <c r="F4833" s="2">
        <f t="shared" ca="1" si="532"/>
        <v>14997</v>
      </c>
      <c r="G4833" s="2">
        <f t="shared" ca="1" si="533"/>
        <v>599</v>
      </c>
    </row>
    <row r="4834" spans="1:7" x14ac:dyDescent="0.3">
      <c r="A4834" s="5" t="str">
        <f t="shared" si="527"/>
        <v>New Balance</v>
      </c>
      <c r="B4834" s="5" t="str">
        <f t="shared" si="529"/>
        <v>9060</v>
      </c>
      <c r="C4834" s="3">
        <f t="shared" si="528"/>
        <v>45980</v>
      </c>
      <c r="D4834" s="4">
        <f t="shared" ca="1" si="530"/>
        <v>116</v>
      </c>
      <c r="E4834" s="2">
        <f t="shared" ca="1" si="531"/>
        <v>5163</v>
      </c>
      <c r="F4834" s="2">
        <f t="shared" ca="1" si="532"/>
        <v>5366</v>
      </c>
      <c r="G4834" s="2">
        <f t="shared" ca="1" si="533"/>
        <v>206</v>
      </c>
    </row>
    <row r="4835" spans="1:7" x14ac:dyDescent="0.3">
      <c r="A4835" s="5" t="str">
        <f t="shared" si="527"/>
        <v>Reebok</v>
      </c>
      <c r="B4835" s="5" t="str">
        <f t="shared" si="529"/>
        <v>Zig Kinetica</v>
      </c>
      <c r="C4835" s="3">
        <f t="shared" si="528"/>
        <v>45980</v>
      </c>
      <c r="D4835" s="4">
        <f t="shared" ca="1" si="530"/>
        <v>159</v>
      </c>
      <c r="E4835" s="2">
        <f t="shared" ca="1" si="531"/>
        <v>8210</v>
      </c>
      <c r="F4835" s="2">
        <f t="shared" ca="1" si="532"/>
        <v>18973</v>
      </c>
      <c r="G4835" s="2">
        <f t="shared" ca="1" si="533"/>
        <v>1043</v>
      </c>
    </row>
    <row r="4836" spans="1:7" x14ac:dyDescent="0.3">
      <c r="A4836" s="5" t="str">
        <f t="shared" si="527"/>
        <v>Nike</v>
      </c>
      <c r="B4836" s="5" t="str">
        <f t="shared" si="529"/>
        <v>Jordan 1</v>
      </c>
      <c r="C4836" s="3">
        <f t="shared" si="528"/>
        <v>45980</v>
      </c>
      <c r="D4836" s="4">
        <f t="shared" ca="1" si="530"/>
        <v>183</v>
      </c>
      <c r="E4836" s="2">
        <f t="shared" ca="1" si="531"/>
        <v>5553</v>
      </c>
      <c r="F4836" s="2">
        <f t="shared" ca="1" si="532"/>
        <v>6167</v>
      </c>
      <c r="G4836" s="2">
        <f t="shared" ca="1" si="533"/>
        <v>369</v>
      </c>
    </row>
    <row r="4837" spans="1:7" x14ac:dyDescent="0.3">
      <c r="A4837" s="5" t="str">
        <f t="shared" si="527"/>
        <v>Adidas</v>
      </c>
      <c r="B4837" s="5" t="str">
        <f t="shared" si="529"/>
        <v>Ultraboost 23</v>
      </c>
      <c r="C4837" s="3">
        <f t="shared" si="528"/>
        <v>45980</v>
      </c>
      <c r="D4837" s="4">
        <f t="shared" ca="1" si="530"/>
        <v>120</v>
      </c>
      <c r="E4837" s="2">
        <f t="shared" ca="1" si="531"/>
        <v>2571</v>
      </c>
      <c r="F4837" s="2">
        <f t="shared" ca="1" si="532"/>
        <v>15902</v>
      </c>
      <c r="G4837" s="2">
        <f t="shared" ca="1" si="533"/>
        <v>1134</v>
      </c>
    </row>
    <row r="4838" spans="1:7" x14ac:dyDescent="0.3">
      <c r="A4838" s="5" t="str">
        <f t="shared" si="527"/>
        <v>Puma</v>
      </c>
      <c r="B4838" s="5" t="str">
        <f t="shared" si="529"/>
        <v>RS-X</v>
      </c>
      <c r="C4838" s="3">
        <f t="shared" si="528"/>
        <v>45980</v>
      </c>
      <c r="D4838" s="4">
        <f t="shared" ca="1" si="530"/>
        <v>212</v>
      </c>
      <c r="E4838" s="2">
        <f t="shared" ca="1" si="531"/>
        <v>6767</v>
      </c>
      <c r="F4838" s="2">
        <f t="shared" ca="1" si="532"/>
        <v>10114</v>
      </c>
      <c r="G4838" s="2">
        <f t="shared" ca="1" si="533"/>
        <v>595</v>
      </c>
    </row>
    <row r="4839" spans="1:7" x14ac:dyDescent="0.3">
      <c r="A4839" s="5" t="str">
        <f t="shared" si="527"/>
        <v>New Balance</v>
      </c>
      <c r="B4839" s="5" t="str">
        <f t="shared" si="529"/>
        <v>2002R</v>
      </c>
      <c r="C4839" s="3">
        <f t="shared" si="528"/>
        <v>45980</v>
      </c>
      <c r="D4839" s="4">
        <f t="shared" ca="1" si="530"/>
        <v>143</v>
      </c>
      <c r="E4839" s="2">
        <f t="shared" ca="1" si="531"/>
        <v>11445</v>
      </c>
      <c r="F4839" s="2">
        <f t="shared" ca="1" si="532"/>
        <v>17347</v>
      </c>
      <c r="G4839" s="2">
        <f t="shared" ca="1" si="533"/>
        <v>843</v>
      </c>
    </row>
    <row r="4840" spans="1:7" x14ac:dyDescent="0.3">
      <c r="A4840" s="5" t="str">
        <f t="shared" si="527"/>
        <v>Reebok</v>
      </c>
      <c r="B4840" s="5" t="str">
        <f t="shared" si="529"/>
        <v>Instapump Fury</v>
      </c>
      <c r="C4840" s="3">
        <f t="shared" si="528"/>
        <v>45980</v>
      </c>
      <c r="D4840" s="4">
        <f t="shared" ca="1" si="530"/>
        <v>90</v>
      </c>
      <c r="E4840" s="2">
        <f t="shared" ca="1" si="531"/>
        <v>3190</v>
      </c>
      <c r="F4840" s="2">
        <f t="shared" ca="1" si="532"/>
        <v>13674</v>
      </c>
      <c r="G4840" s="2">
        <f t="shared" ca="1" si="533"/>
        <v>580</v>
      </c>
    </row>
    <row r="4841" spans="1:7" x14ac:dyDescent="0.3">
      <c r="A4841" s="5" t="str">
        <f t="shared" si="527"/>
        <v>Nike</v>
      </c>
      <c r="B4841" s="5" t="str">
        <f t="shared" si="529"/>
        <v>Cortez</v>
      </c>
      <c r="C4841" s="3">
        <f t="shared" si="528"/>
        <v>45980</v>
      </c>
      <c r="D4841" s="4">
        <f t="shared" ca="1" si="530"/>
        <v>194</v>
      </c>
      <c r="E4841" s="2">
        <f t="shared" ca="1" si="531"/>
        <v>9894</v>
      </c>
      <c r="F4841" s="2">
        <f t="shared" ca="1" si="532"/>
        <v>28814</v>
      </c>
      <c r="G4841" s="2">
        <f t="shared" ca="1" si="533"/>
        <v>1567</v>
      </c>
    </row>
    <row r="4842" spans="1:7" x14ac:dyDescent="0.3">
      <c r="A4842" s="5" t="str">
        <f t="shared" si="527"/>
        <v>Adidas</v>
      </c>
      <c r="B4842" s="5" t="str">
        <f t="shared" si="529"/>
        <v>NMD S1</v>
      </c>
      <c r="C4842" s="3">
        <f t="shared" si="528"/>
        <v>45980</v>
      </c>
      <c r="D4842" s="4">
        <f t="shared" ca="1" si="530"/>
        <v>248</v>
      </c>
      <c r="E4842" s="2">
        <f t="shared" ca="1" si="531"/>
        <v>10013</v>
      </c>
      <c r="F4842" s="2">
        <f t="shared" ca="1" si="532"/>
        <v>6889</v>
      </c>
      <c r="G4842" s="2">
        <f t="shared" ca="1" si="533"/>
        <v>356</v>
      </c>
    </row>
    <row r="4843" spans="1:7" x14ac:dyDescent="0.3">
      <c r="A4843" s="5" t="str">
        <f t="shared" ref="A4843:A4906" si="534">CHOOSE(MOD(ROW(A4842),5)+1,"Nike","Adidas","Puma","New Balance","Reebok")</f>
        <v>Puma</v>
      </c>
      <c r="B4843" s="5" t="str">
        <f t="shared" si="529"/>
        <v>Suede Classic</v>
      </c>
      <c r="C4843" s="3">
        <f t="shared" ref="C4843:C4906" si="535">DATE(2025,1,1)+INT((ROW(A4843)-2)/15)</f>
        <v>45980</v>
      </c>
      <c r="D4843" s="4">
        <f t="shared" ca="1" si="530"/>
        <v>190</v>
      </c>
      <c r="E4843" s="2">
        <f t="shared" ca="1" si="531"/>
        <v>6904</v>
      </c>
      <c r="F4843" s="2">
        <f t="shared" ca="1" si="532"/>
        <v>31753</v>
      </c>
      <c r="G4843" s="2">
        <f t="shared" ca="1" si="533"/>
        <v>1654</v>
      </c>
    </row>
    <row r="4844" spans="1:7" x14ac:dyDescent="0.3">
      <c r="A4844" s="5" t="str">
        <f t="shared" si="534"/>
        <v>New Balance</v>
      </c>
      <c r="B4844" s="5" t="str">
        <f t="shared" si="529"/>
        <v>990v6</v>
      </c>
      <c r="C4844" s="3">
        <f t="shared" si="535"/>
        <v>45980</v>
      </c>
      <c r="D4844" s="4">
        <f t="shared" ca="1" si="530"/>
        <v>210</v>
      </c>
      <c r="E4844" s="2">
        <f t="shared" ca="1" si="531"/>
        <v>2924</v>
      </c>
      <c r="F4844" s="2">
        <f t="shared" ca="1" si="532"/>
        <v>15405</v>
      </c>
      <c r="G4844" s="2">
        <f t="shared" ca="1" si="533"/>
        <v>753</v>
      </c>
    </row>
    <row r="4845" spans="1:7" x14ac:dyDescent="0.3">
      <c r="A4845" s="5" t="str">
        <f t="shared" si="534"/>
        <v>Reebok</v>
      </c>
      <c r="B4845" s="5" t="str">
        <f t="shared" si="529"/>
        <v>Nano X3</v>
      </c>
      <c r="C4845" s="3">
        <f t="shared" si="535"/>
        <v>45980</v>
      </c>
      <c r="D4845" s="4">
        <f t="shared" ca="1" si="530"/>
        <v>136</v>
      </c>
      <c r="E4845" s="2">
        <f t="shared" ca="1" si="531"/>
        <v>2687</v>
      </c>
      <c r="F4845" s="2">
        <f t="shared" ca="1" si="532"/>
        <v>5335</v>
      </c>
      <c r="G4845" s="2">
        <f t="shared" ca="1" si="533"/>
        <v>354</v>
      </c>
    </row>
    <row r="4846" spans="1:7" x14ac:dyDescent="0.3">
      <c r="A4846" s="5" t="str">
        <f t="shared" si="534"/>
        <v>Nike</v>
      </c>
      <c r="B4846" s="5" t="str">
        <f t="shared" si="529"/>
        <v>Vaporfly 3</v>
      </c>
      <c r="C4846" s="3">
        <f t="shared" si="535"/>
        <v>45980</v>
      </c>
      <c r="D4846" s="4">
        <f t="shared" ca="1" si="530"/>
        <v>33</v>
      </c>
      <c r="E4846" s="2">
        <f t="shared" ca="1" si="531"/>
        <v>6976</v>
      </c>
      <c r="F4846" s="2">
        <f t="shared" ca="1" si="532"/>
        <v>17463</v>
      </c>
      <c r="G4846" s="2">
        <f t="shared" ca="1" si="533"/>
        <v>1380</v>
      </c>
    </row>
    <row r="4847" spans="1:7" x14ac:dyDescent="0.3">
      <c r="A4847" s="5" t="str">
        <f t="shared" si="534"/>
        <v>Adidas</v>
      </c>
      <c r="B4847" s="5" t="str">
        <f t="shared" si="529"/>
        <v>Samba</v>
      </c>
      <c r="C4847" s="3">
        <f t="shared" si="535"/>
        <v>45981</v>
      </c>
      <c r="D4847" s="4">
        <f t="shared" ca="1" si="530"/>
        <v>194</v>
      </c>
      <c r="E4847" s="2">
        <f t="shared" ca="1" si="531"/>
        <v>8741</v>
      </c>
      <c r="F4847" s="2">
        <f t="shared" ca="1" si="532"/>
        <v>15505</v>
      </c>
      <c r="G4847" s="2">
        <f t="shared" ca="1" si="533"/>
        <v>1016</v>
      </c>
    </row>
    <row r="4848" spans="1:7" x14ac:dyDescent="0.3">
      <c r="A4848" s="5" t="str">
        <f t="shared" si="534"/>
        <v>Puma</v>
      </c>
      <c r="B4848" s="5" t="str">
        <f t="shared" si="529"/>
        <v>Mayze</v>
      </c>
      <c r="C4848" s="3">
        <f t="shared" si="535"/>
        <v>45981</v>
      </c>
      <c r="D4848" s="4">
        <f t="shared" ca="1" si="530"/>
        <v>20</v>
      </c>
      <c r="E4848" s="2">
        <f t="shared" ca="1" si="531"/>
        <v>4508</v>
      </c>
      <c r="F4848" s="2">
        <f t="shared" ca="1" si="532"/>
        <v>17483</v>
      </c>
      <c r="G4848" s="2">
        <f t="shared" ca="1" si="533"/>
        <v>1388</v>
      </c>
    </row>
    <row r="4849" spans="1:7" x14ac:dyDescent="0.3">
      <c r="A4849" s="5" t="str">
        <f t="shared" si="534"/>
        <v>New Balance</v>
      </c>
      <c r="B4849" s="5" t="str">
        <f t="shared" si="529"/>
        <v>574 Core</v>
      </c>
      <c r="C4849" s="3">
        <f t="shared" si="535"/>
        <v>45981</v>
      </c>
      <c r="D4849" s="4">
        <f t="shared" ca="1" si="530"/>
        <v>189</v>
      </c>
      <c r="E4849" s="2">
        <f t="shared" ca="1" si="531"/>
        <v>5281</v>
      </c>
      <c r="F4849" s="2">
        <f t="shared" ca="1" si="532"/>
        <v>16124</v>
      </c>
      <c r="G4849" s="2">
        <f t="shared" ca="1" si="533"/>
        <v>709</v>
      </c>
    </row>
    <row r="4850" spans="1:7" x14ac:dyDescent="0.3">
      <c r="A4850" s="5" t="str">
        <f t="shared" si="534"/>
        <v>Reebok</v>
      </c>
      <c r="B4850" s="5" t="str">
        <f t="shared" si="529"/>
        <v>Club C 85</v>
      </c>
      <c r="C4850" s="3">
        <f t="shared" si="535"/>
        <v>45981</v>
      </c>
      <c r="D4850" s="4">
        <f t="shared" ca="1" si="530"/>
        <v>60</v>
      </c>
      <c r="E4850" s="2">
        <f t="shared" ca="1" si="531"/>
        <v>5014</v>
      </c>
      <c r="F4850" s="2">
        <f t="shared" ca="1" si="532"/>
        <v>33931</v>
      </c>
      <c r="G4850" s="2">
        <f t="shared" ca="1" si="533"/>
        <v>1853</v>
      </c>
    </row>
    <row r="4851" spans="1:7" x14ac:dyDescent="0.3">
      <c r="A4851" s="5" t="str">
        <f t="shared" si="534"/>
        <v>Nike</v>
      </c>
      <c r="B4851" s="5" t="str">
        <f t="shared" si="529"/>
        <v>Pegasus 40</v>
      </c>
      <c r="C4851" s="3">
        <f t="shared" si="535"/>
        <v>45981</v>
      </c>
      <c r="D4851" s="4">
        <f t="shared" ca="1" si="530"/>
        <v>92</v>
      </c>
      <c r="E4851" s="2">
        <f t="shared" ca="1" si="531"/>
        <v>3670</v>
      </c>
      <c r="F4851" s="2">
        <f t="shared" ca="1" si="532"/>
        <v>5114</v>
      </c>
      <c r="G4851" s="2">
        <f t="shared" ca="1" si="533"/>
        <v>173</v>
      </c>
    </row>
    <row r="4852" spans="1:7" x14ac:dyDescent="0.3">
      <c r="A4852" s="5" t="str">
        <f t="shared" si="534"/>
        <v>Adidas</v>
      </c>
      <c r="B4852" s="5" t="str">
        <f t="shared" si="529"/>
        <v>Gazelle</v>
      </c>
      <c r="C4852" s="3">
        <f t="shared" si="535"/>
        <v>45981</v>
      </c>
      <c r="D4852" s="4">
        <f t="shared" ca="1" si="530"/>
        <v>62</v>
      </c>
      <c r="E4852" s="2">
        <f t="shared" ca="1" si="531"/>
        <v>9906</v>
      </c>
      <c r="F4852" s="2">
        <f t="shared" ca="1" si="532"/>
        <v>26571</v>
      </c>
      <c r="G4852" s="2">
        <f t="shared" ca="1" si="533"/>
        <v>1145</v>
      </c>
    </row>
    <row r="4853" spans="1:7" x14ac:dyDescent="0.3">
      <c r="A4853" s="5" t="str">
        <f t="shared" si="534"/>
        <v>Puma</v>
      </c>
      <c r="B4853" s="5" t="str">
        <f t="shared" si="529"/>
        <v>Slipstream</v>
      </c>
      <c r="C4853" s="3">
        <f t="shared" si="535"/>
        <v>45981</v>
      </c>
      <c r="D4853" s="4">
        <f t="shared" ca="1" si="530"/>
        <v>53</v>
      </c>
      <c r="E4853" s="2">
        <f t="shared" ca="1" si="531"/>
        <v>11951</v>
      </c>
      <c r="F4853" s="2">
        <f t="shared" ca="1" si="532"/>
        <v>13029</v>
      </c>
      <c r="G4853" s="2">
        <f t="shared" ca="1" si="533"/>
        <v>641</v>
      </c>
    </row>
    <row r="4854" spans="1:7" x14ac:dyDescent="0.3">
      <c r="A4854" s="5" t="str">
        <f t="shared" si="534"/>
        <v>New Balance</v>
      </c>
      <c r="B4854" s="5" t="str">
        <f t="shared" si="529"/>
        <v>550</v>
      </c>
      <c r="C4854" s="3">
        <f t="shared" si="535"/>
        <v>45981</v>
      </c>
      <c r="D4854" s="4">
        <f t="shared" ca="1" si="530"/>
        <v>169</v>
      </c>
      <c r="E4854" s="2">
        <f t="shared" ca="1" si="531"/>
        <v>8035</v>
      </c>
      <c r="F4854" s="2">
        <f t="shared" ca="1" si="532"/>
        <v>12113</v>
      </c>
      <c r="G4854" s="2">
        <f t="shared" ca="1" si="533"/>
        <v>952</v>
      </c>
    </row>
    <row r="4855" spans="1:7" x14ac:dyDescent="0.3">
      <c r="A4855" s="5" t="str">
        <f t="shared" si="534"/>
        <v>Reebok</v>
      </c>
      <c r="B4855" s="5" t="str">
        <f t="shared" si="529"/>
        <v>Classic Leather</v>
      </c>
      <c r="C4855" s="3">
        <f t="shared" si="535"/>
        <v>45981</v>
      </c>
      <c r="D4855" s="4">
        <f t="shared" ca="1" si="530"/>
        <v>186</v>
      </c>
      <c r="E4855" s="2">
        <f t="shared" ca="1" si="531"/>
        <v>5603</v>
      </c>
      <c r="F4855" s="2">
        <f t="shared" ca="1" si="532"/>
        <v>25578</v>
      </c>
      <c r="G4855" s="2">
        <f t="shared" ca="1" si="533"/>
        <v>1262</v>
      </c>
    </row>
    <row r="4856" spans="1:7" x14ac:dyDescent="0.3">
      <c r="A4856" s="5" t="str">
        <f t="shared" si="534"/>
        <v>Nike</v>
      </c>
      <c r="B4856" s="5" t="str">
        <f t="shared" si="529"/>
        <v>Air Force 1</v>
      </c>
      <c r="C4856" s="3">
        <f t="shared" si="535"/>
        <v>45981</v>
      </c>
      <c r="D4856" s="4">
        <f t="shared" ca="1" si="530"/>
        <v>194</v>
      </c>
      <c r="E4856" s="2">
        <f t="shared" ca="1" si="531"/>
        <v>4833</v>
      </c>
      <c r="F4856" s="2">
        <f t="shared" ca="1" si="532"/>
        <v>5172</v>
      </c>
      <c r="G4856" s="2">
        <f t="shared" ca="1" si="533"/>
        <v>352</v>
      </c>
    </row>
    <row r="4857" spans="1:7" x14ac:dyDescent="0.3">
      <c r="A4857" s="5" t="str">
        <f t="shared" si="534"/>
        <v>Adidas</v>
      </c>
      <c r="B4857" s="5" t="str">
        <f t="shared" si="529"/>
        <v>Superstar</v>
      </c>
      <c r="C4857" s="3">
        <f t="shared" si="535"/>
        <v>45981</v>
      </c>
      <c r="D4857" s="4">
        <f t="shared" ca="1" si="530"/>
        <v>189</v>
      </c>
      <c r="E4857" s="2">
        <f t="shared" ca="1" si="531"/>
        <v>11492</v>
      </c>
      <c r="F4857" s="2">
        <f t="shared" ca="1" si="532"/>
        <v>11340</v>
      </c>
      <c r="G4857" s="2">
        <f t="shared" ca="1" si="533"/>
        <v>570</v>
      </c>
    </row>
    <row r="4858" spans="1:7" x14ac:dyDescent="0.3">
      <c r="A4858" s="5" t="str">
        <f t="shared" si="534"/>
        <v>Puma</v>
      </c>
      <c r="B4858" s="5" t="str">
        <f t="shared" si="529"/>
        <v>Rider Vintage</v>
      </c>
      <c r="C4858" s="3">
        <f t="shared" si="535"/>
        <v>45981</v>
      </c>
      <c r="D4858" s="4">
        <f t="shared" ca="1" si="530"/>
        <v>108</v>
      </c>
      <c r="E4858" s="2">
        <f t="shared" ca="1" si="531"/>
        <v>11866</v>
      </c>
      <c r="F4858" s="2">
        <f t="shared" ca="1" si="532"/>
        <v>29072</v>
      </c>
      <c r="G4858" s="2">
        <f t="shared" ca="1" si="533"/>
        <v>768</v>
      </c>
    </row>
    <row r="4859" spans="1:7" x14ac:dyDescent="0.3">
      <c r="A4859" s="5" t="str">
        <f t="shared" si="534"/>
        <v>New Balance</v>
      </c>
      <c r="B4859" s="5" t="str">
        <f t="shared" si="529"/>
        <v>327</v>
      </c>
      <c r="C4859" s="3">
        <f t="shared" si="535"/>
        <v>45981</v>
      </c>
      <c r="D4859" s="4">
        <f t="shared" ca="1" si="530"/>
        <v>193</v>
      </c>
      <c r="E4859" s="2">
        <f t="shared" ca="1" si="531"/>
        <v>5271</v>
      </c>
      <c r="F4859" s="2">
        <f t="shared" ca="1" si="532"/>
        <v>6452</v>
      </c>
      <c r="G4859" s="2">
        <f t="shared" ca="1" si="533"/>
        <v>360</v>
      </c>
    </row>
    <row r="4860" spans="1:7" x14ac:dyDescent="0.3">
      <c r="A4860" s="5" t="str">
        <f t="shared" si="534"/>
        <v>Reebok</v>
      </c>
      <c r="B4860" s="5" t="str">
        <f t="shared" si="529"/>
        <v>Question Mid</v>
      </c>
      <c r="C4860" s="3">
        <f t="shared" si="535"/>
        <v>45981</v>
      </c>
      <c r="D4860" s="4">
        <f t="shared" ca="1" si="530"/>
        <v>104</v>
      </c>
      <c r="E4860" s="2">
        <f t="shared" ca="1" si="531"/>
        <v>10312</v>
      </c>
      <c r="F4860" s="2">
        <f t="shared" ca="1" si="532"/>
        <v>13550</v>
      </c>
      <c r="G4860" s="2">
        <f t="shared" ca="1" si="533"/>
        <v>516</v>
      </c>
    </row>
    <row r="4861" spans="1:7" x14ac:dyDescent="0.3">
      <c r="A4861" s="5" t="str">
        <f t="shared" si="534"/>
        <v>Nike</v>
      </c>
      <c r="B4861" s="5" t="str">
        <f t="shared" si="529"/>
        <v>Air Max 270</v>
      </c>
      <c r="C4861" s="3">
        <f t="shared" si="535"/>
        <v>45981</v>
      </c>
      <c r="D4861" s="4">
        <f t="shared" ca="1" si="530"/>
        <v>82</v>
      </c>
      <c r="E4861" s="2">
        <f t="shared" ca="1" si="531"/>
        <v>9630</v>
      </c>
      <c r="F4861" s="2">
        <f t="shared" ca="1" si="532"/>
        <v>32576</v>
      </c>
      <c r="G4861" s="2">
        <f t="shared" ca="1" si="533"/>
        <v>1480</v>
      </c>
    </row>
    <row r="4862" spans="1:7" x14ac:dyDescent="0.3">
      <c r="A4862" s="5" t="str">
        <f t="shared" si="534"/>
        <v>Adidas</v>
      </c>
      <c r="B4862" s="5" t="str">
        <f t="shared" si="529"/>
        <v>Stan Smith</v>
      </c>
      <c r="C4862" s="3">
        <f t="shared" si="535"/>
        <v>45982</v>
      </c>
      <c r="D4862" s="4">
        <f t="shared" ca="1" si="530"/>
        <v>173</v>
      </c>
      <c r="E4862" s="2">
        <f t="shared" ca="1" si="531"/>
        <v>3511</v>
      </c>
      <c r="F4862" s="2">
        <f t="shared" ca="1" si="532"/>
        <v>18860</v>
      </c>
      <c r="G4862" s="2">
        <f t="shared" ca="1" si="533"/>
        <v>1330</v>
      </c>
    </row>
    <row r="4863" spans="1:7" x14ac:dyDescent="0.3">
      <c r="A4863" s="5" t="str">
        <f t="shared" si="534"/>
        <v>Puma</v>
      </c>
      <c r="B4863" s="5" t="str">
        <f t="shared" si="529"/>
        <v>Cali Dream</v>
      </c>
      <c r="C4863" s="3">
        <f t="shared" si="535"/>
        <v>45982</v>
      </c>
      <c r="D4863" s="4">
        <f t="shared" ca="1" si="530"/>
        <v>230</v>
      </c>
      <c r="E4863" s="2">
        <f t="shared" ca="1" si="531"/>
        <v>11347</v>
      </c>
      <c r="F4863" s="2">
        <f t="shared" ca="1" si="532"/>
        <v>12150</v>
      </c>
      <c r="G4863" s="2">
        <f t="shared" ca="1" si="533"/>
        <v>722</v>
      </c>
    </row>
    <row r="4864" spans="1:7" x14ac:dyDescent="0.3">
      <c r="A4864" s="5" t="str">
        <f t="shared" si="534"/>
        <v>New Balance</v>
      </c>
      <c r="B4864" s="5" t="str">
        <f t="shared" si="529"/>
        <v>9060</v>
      </c>
      <c r="C4864" s="3">
        <f t="shared" si="535"/>
        <v>45982</v>
      </c>
      <c r="D4864" s="4">
        <f t="shared" ca="1" si="530"/>
        <v>158</v>
      </c>
      <c r="E4864" s="2">
        <f t="shared" ca="1" si="531"/>
        <v>11562</v>
      </c>
      <c r="F4864" s="2">
        <f t="shared" ca="1" si="532"/>
        <v>34540</v>
      </c>
      <c r="G4864" s="2">
        <f t="shared" ca="1" si="533"/>
        <v>1014</v>
      </c>
    </row>
    <row r="4865" spans="1:7" x14ac:dyDescent="0.3">
      <c r="A4865" s="5" t="str">
        <f t="shared" si="534"/>
        <v>Reebok</v>
      </c>
      <c r="B4865" s="5" t="str">
        <f t="shared" si="529"/>
        <v>Zig Kinetica</v>
      </c>
      <c r="C4865" s="3">
        <f t="shared" si="535"/>
        <v>45982</v>
      </c>
      <c r="D4865" s="4">
        <f t="shared" ca="1" si="530"/>
        <v>59</v>
      </c>
      <c r="E4865" s="2">
        <f t="shared" ca="1" si="531"/>
        <v>7149</v>
      </c>
      <c r="F4865" s="2">
        <f t="shared" ca="1" si="532"/>
        <v>22686</v>
      </c>
      <c r="G4865" s="2">
        <f t="shared" ca="1" si="533"/>
        <v>1543</v>
      </c>
    </row>
    <row r="4866" spans="1:7" x14ac:dyDescent="0.3">
      <c r="A4866" s="5" t="str">
        <f t="shared" si="534"/>
        <v>Nike</v>
      </c>
      <c r="B4866" s="5" t="str">
        <f t="shared" si="529"/>
        <v>Jordan 1</v>
      </c>
      <c r="C4866" s="3">
        <f t="shared" si="535"/>
        <v>45982</v>
      </c>
      <c r="D4866" s="4">
        <f t="shared" ca="1" si="530"/>
        <v>51</v>
      </c>
      <c r="E4866" s="2">
        <f t="shared" ca="1" si="531"/>
        <v>4327</v>
      </c>
      <c r="F4866" s="2">
        <f t="shared" ca="1" si="532"/>
        <v>22695</v>
      </c>
      <c r="G4866" s="2">
        <f t="shared" ca="1" si="533"/>
        <v>1325</v>
      </c>
    </row>
    <row r="4867" spans="1:7" x14ac:dyDescent="0.3">
      <c r="A4867" s="5" t="str">
        <f t="shared" si="534"/>
        <v>Adidas</v>
      </c>
      <c r="B4867" s="5" t="str">
        <f t="shared" ref="B4867:B4930" si="536">IF(A4867="Nike",CHOOSE(MOD(ROW(A4866),6)+1,"Air Max 270","Air Force 1","Pegasus 40","Vaporfly 3","Cortez","Jordan 1"),
 IF(A4867="Adidas",CHOOSE(MOD(ROW(A4866),6)+1,"Ultraboost 23","Stan Smith","Superstar","Gazelle","Samba","NMD S1"),
 IF(A4867="Puma",CHOOSE(MOD(ROW(A4866),6)+1,"Suede Classic","RS-X","Cali Dream","Rider Vintage","Slipstream","Mayze"),
 IF(A4867="New Balance",CHOOSE(MOD(ROW(A4866),6)+1,"574 Core","990v6","2002R","9060","327","550"),
 IF(A4867="Reebok",CHOOSE(MOD(ROW(A4866),6)+1,"Classic Leather","Club C 85","Nano X3","Instapump Fury","Zig Kinetica","Question Mid"),"")))))</f>
        <v>Ultraboost 23</v>
      </c>
      <c r="C4867" s="3">
        <f t="shared" si="535"/>
        <v>45982</v>
      </c>
      <c r="D4867" s="4">
        <f t="shared" ref="D4867:D4930" ca="1" si="537">RANDBETWEEN(20,250)</f>
        <v>103</v>
      </c>
      <c r="E4867" s="2">
        <f t="shared" ref="E4867:E4930" ca="1" si="538">ROUND(RANDBETWEEN(1500,12000)+(RANDBETWEEN(-200,200)),2)</f>
        <v>10508</v>
      </c>
      <c r="F4867" s="2">
        <f t="shared" ref="F4867:F4930" ca="1" si="539">RANDBETWEEN(5000,35000)</f>
        <v>10918</v>
      </c>
      <c r="G4867" s="2">
        <f t="shared" ref="G4867:G4930" ca="1" si="540">RANDBETWEEN(ROUND(F4867*0.02,0),ROUND(F4867*0.08,0))</f>
        <v>681</v>
      </c>
    </row>
    <row r="4868" spans="1:7" x14ac:dyDescent="0.3">
      <c r="A4868" s="5" t="str">
        <f t="shared" si="534"/>
        <v>Puma</v>
      </c>
      <c r="B4868" s="5" t="str">
        <f t="shared" si="536"/>
        <v>RS-X</v>
      </c>
      <c r="C4868" s="3">
        <f t="shared" si="535"/>
        <v>45982</v>
      </c>
      <c r="D4868" s="4">
        <f t="shared" ca="1" si="537"/>
        <v>157</v>
      </c>
      <c r="E4868" s="2">
        <f t="shared" ca="1" si="538"/>
        <v>3234</v>
      </c>
      <c r="F4868" s="2">
        <f t="shared" ca="1" si="539"/>
        <v>29262</v>
      </c>
      <c r="G4868" s="2">
        <f t="shared" ca="1" si="540"/>
        <v>686</v>
      </c>
    </row>
    <row r="4869" spans="1:7" x14ac:dyDescent="0.3">
      <c r="A4869" s="5" t="str">
        <f t="shared" si="534"/>
        <v>New Balance</v>
      </c>
      <c r="B4869" s="5" t="str">
        <f t="shared" si="536"/>
        <v>2002R</v>
      </c>
      <c r="C4869" s="3">
        <f t="shared" si="535"/>
        <v>45982</v>
      </c>
      <c r="D4869" s="4">
        <f t="shared" ca="1" si="537"/>
        <v>169</v>
      </c>
      <c r="E4869" s="2">
        <f t="shared" ca="1" si="538"/>
        <v>8779</v>
      </c>
      <c r="F4869" s="2">
        <f t="shared" ca="1" si="539"/>
        <v>5658</v>
      </c>
      <c r="G4869" s="2">
        <f t="shared" ca="1" si="540"/>
        <v>148</v>
      </c>
    </row>
    <row r="4870" spans="1:7" x14ac:dyDescent="0.3">
      <c r="A4870" s="5" t="str">
        <f t="shared" si="534"/>
        <v>Reebok</v>
      </c>
      <c r="B4870" s="5" t="str">
        <f t="shared" si="536"/>
        <v>Instapump Fury</v>
      </c>
      <c r="C4870" s="3">
        <f t="shared" si="535"/>
        <v>45982</v>
      </c>
      <c r="D4870" s="4">
        <f t="shared" ca="1" si="537"/>
        <v>106</v>
      </c>
      <c r="E4870" s="2">
        <f t="shared" ca="1" si="538"/>
        <v>11763</v>
      </c>
      <c r="F4870" s="2">
        <f t="shared" ca="1" si="539"/>
        <v>34955</v>
      </c>
      <c r="G4870" s="2">
        <f t="shared" ca="1" si="540"/>
        <v>2658</v>
      </c>
    </row>
    <row r="4871" spans="1:7" x14ac:dyDescent="0.3">
      <c r="A4871" s="5" t="str">
        <f t="shared" si="534"/>
        <v>Nike</v>
      </c>
      <c r="B4871" s="5" t="str">
        <f t="shared" si="536"/>
        <v>Cortez</v>
      </c>
      <c r="C4871" s="3">
        <f t="shared" si="535"/>
        <v>45982</v>
      </c>
      <c r="D4871" s="4">
        <f t="shared" ca="1" si="537"/>
        <v>64</v>
      </c>
      <c r="E4871" s="2">
        <f t="shared" ca="1" si="538"/>
        <v>5795</v>
      </c>
      <c r="F4871" s="2">
        <f t="shared" ca="1" si="539"/>
        <v>9297</v>
      </c>
      <c r="G4871" s="2">
        <f t="shared" ca="1" si="540"/>
        <v>568</v>
      </c>
    </row>
    <row r="4872" spans="1:7" x14ac:dyDescent="0.3">
      <c r="A4872" s="5" t="str">
        <f t="shared" si="534"/>
        <v>Adidas</v>
      </c>
      <c r="B4872" s="5" t="str">
        <f t="shared" si="536"/>
        <v>NMD S1</v>
      </c>
      <c r="C4872" s="3">
        <f t="shared" si="535"/>
        <v>45982</v>
      </c>
      <c r="D4872" s="4">
        <f t="shared" ca="1" si="537"/>
        <v>101</v>
      </c>
      <c r="E4872" s="2">
        <f t="shared" ca="1" si="538"/>
        <v>7228</v>
      </c>
      <c r="F4872" s="2">
        <f t="shared" ca="1" si="539"/>
        <v>10370</v>
      </c>
      <c r="G4872" s="2">
        <f t="shared" ca="1" si="540"/>
        <v>297</v>
      </c>
    </row>
    <row r="4873" spans="1:7" x14ac:dyDescent="0.3">
      <c r="A4873" s="5" t="str">
        <f t="shared" si="534"/>
        <v>Puma</v>
      </c>
      <c r="B4873" s="5" t="str">
        <f t="shared" si="536"/>
        <v>Suede Classic</v>
      </c>
      <c r="C4873" s="3">
        <f t="shared" si="535"/>
        <v>45982</v>
      </c>
      <c r="D4873" s="4">
        <f t="shared" ca="1" si="537"/>
        <v>210</v>
      </c>
      <c r="E4873" s="2">
        <f t="shared" ca="1" si="538"/>
        <v>3292</v>
      </c>
      <c r="F4873" s="2">
        <f t="shared" ca="1" si="539"/>
        <v>34513</v>
      </c>
      <c r="G4873" s="2">
        <f t="shared" ca="1" si="540"/>
        <v>1102</v>
      </c>
    </row>
    <row r="4874" spans="1:7" x14ac:dyDescent="0.3">
      <c r="A4874" s="5" t="str">
        <f t="shared" si="534"/>
        <v>New Balance</v>
      </c>
      <c r="B4874" s="5" t="str">
        <f t="shared" si="536"/>
        <v>990v6</v>
      </c>
      <c r="C4874" s="3">
        <f t="shared" si="535"/>
        <v>45982</v>
      </c>
      <c r="D4874" s="4">
        <f t="shared" ca="1" si="537"/>
        <v>35</v>
      </c>
      <c r="E4874" s="2">
        <f t="shared" ca="1" si="538"/>
        <v>9378</v>
      </c>
      <c r="F4874" s="2">
        <f t="shared" ca="1" si="539"/>
        <v>5299</v>
      </c>
      <c r="G4874" s="2">
        <f t="shared" ca="1" si="540"/>
        <v>383</v>
      </c>
    </row>
    <row r="4875" spans="1:7" x14ac:dyDescent="0.3">
      <c r="A4875" s="5" t="str">
        <f t="shared" si="534"/>
        <v>Reebok</v>
      </c>
      <c r="B4875" s="5" t="str">
        <f t="shared" si="536"/>
        <v>Nano X3</v>
      </c>
      <c r="C4875" s="3">
        <f t="shared" si="535"/>
        <v>45982</v>
      </c>
      <c r="D4875" s="4">
        <f t="shared" ca="1" si="537"/>
        <v>244</v>
      </c>
      <c r="E4875" s="2">
        <f t="shared" ca="1" si="538"/>
        <v>9894</v>
      </c>
      <c r="F4875" s="2">
        <f t="shared" ca="1" si="539"/>
        <v>5502</v>
      </c>
      <c r="G4875" s="2">
        <f t="shared" ca="1" si="540"/>
        <v>355</v>
      </c>
    </row>
    <row r="4876" spans="1:7" x14ac:dyDescent="0.3">
      <c r="A4876" s="5" t="str">
        <f t="shared" si="534"/>
        <v>Nike</v>
      </c>
      <c r="B4876" s="5" t="str">
        <f t="shared" si="536"/>
        <v>Vaporfly 3</v>
      </c>
      <c r="C4876" s="3">
        <f t="shared" si="535"/>
        <v>45982</v>
      </c>
      <c r="D4876" s="4">
        <f t="shared" ca="1" si="537"/>
        <v>164</v>
      </c>
      <c r="E4876" s="2">
        <f t="shared" ca="1" si="538"/>
        <v>6865</v>
      </c>
      <c r="F4876" s="2">
        <f t="shared" ca="1" si="539"/>
        <v>8141</v>
      </c>
      <c r="G4876" s="2">
        <f t="shared" ca="1" si="540"/>
        <v>457</v>
      </c>
    </row>
    <row r="4877" spans="1:7" x14ac:dyDescent="0.3">
      <c r="A4877" s="5" t="str">
        <f t="shared" si="534"/>
        <v>Adidas</v>
      </c>
      <c r="B4877" s="5" t="str">
        <f t="shared" si="536"/>
        <v>Samba</v>
      </c>
      <c r="C4877" s="3">
        <f t="shared" si="535"/>
        <v>45983</v>
      </c>
      <c r="D4877" s="4">
        <f t="shared" ca="1" si="537"/>
        <v>241</v>
      </c>
      <c r="E4877" s="2">
        <f t="shared" ca="1" si="538"/>
        <v>10627</v>
      </c>
      <c r="F4877" s="2">
        <f t="shared" ca="1" si="539"/>
        <v>29633</v>
      </c>
      <c r="G4877" s="2">
        <f t="shared" ca="1" si="540"/>
        <v>1409</v>
      </c>
    </row>
    <row r="4878" spans="1:7" x14ac:dyDescent="0.3">
      <c r="A4878" s="5" t="str">
        <f t="shared" si="534"/>
        <v>Puma</v>
      </c>
      <c r="B4878" s="5" t="str">
        <f t="shared" si="536"/>
        <v>Mayze</v>
      </c>
      <c r="C4878" s="3">
        <f t="shared" si="535"/>
        <v>45983</v>
      </c>
      <c r="D4878" s="4">
        <f t="shared" ca="1" si="537"/>
        <v>238</v>
      </c>
      <c r="E4878" s="2">
        <f t="shared" ca="1" si="538"/>
        <v>11518</v>
      </c>
      <c r="F4878" s="2">
        <f t="shared" ca="1" si="539"/>
        <v>17150</v>
      </c>
      <c r="G4878" s="2">
        <f t="shared" ca="1" si="540"/>
        <v>1306</v>
      </c>
    </row>
    <row r="4879" spans="1:7" x14ac:dyDescent="0.3">
      <c r="A4879" s="5" t="str">
        <f t="shared" si="534"/>
        <v>New Balance</v>
      </c>
      <c r="B4879" s="5" t="str">
        <f t="shared" si="536"/>
        <v>574 Core</v>
      </c>
      <c r="C4879" s="3">
        <f t="shared" si="535"/>
        <v>45983</v>
      </c>
      <c r="D4879" s="4">
        <f t="shared" ca="1" si="537"/>
        <v>24</v>
      </c>
      <c r="E4879" s="2">
        <f t="shared" ca="1" si="538"/>
        <v>4433</v>
      </c>
      <c r="F4879" s="2">
        <f t="shared" ca="1" si="539"/>
        <v>18334</v>
      </c>
      <c r="G4879" s="2">
        <f t="shared" ca="1" si="540"/>
        <v>1111</v>
      </c>
    </row>
    <row r="4880" spans="1:7" x14ac:dyDescent="0.3">
      <c r="A4880" s="5" t="str">
        <f t="shared" si="534"/>
        <v>Reebok</v>
      </c>
      <c r="B4880" s="5" t="str">
        <f t="shared" si="536"/>
        <v>Club C 85</v>
      </c>
      <c r="C4880" s="3">
        <f t="shared" si="535"/>
        <v>45983</v>
      </c>
      <c r="D4880" s="4">
        <f t="shared" ca="1" si="537"/>
        <v>118</v>
      </c>
      <c r="E4880" s="2">
        <f t="shared" ca="1" si="538"/>
        <v>10509</v>
      </c>
      <c r="F4880" s="2">
        <f t="shared" ca="1" si="539"/>
        <v>8279</v>
      </c>
      <c r="G4880" s="2">
        <f t="shared" ca="1" si="540"/>
        <v>644</v>
      </c>
    </row>
    <row r="4881" spans="1:7" x14ac:dyDescent="0.3">
      <c r="A4881" s="5" t="str">
        <f t="shared" si="534"/>
        <v>Nike</v>
      </c>
      <c r="B4881" s="5" t="str">
        <f t="shared" si="536"/>
        <v>Pegasus 40</v>
      </c>
      <c r="C4881" s="3">
        <f t="shared" si="535"/>
        <v>45983</v>
      </c>
      <c r="D4881" s="4">
        <f t="shared" ca="1" si="537"/>
        <v>138</v>
      </c>
      <c r="E4881" s="2">
        <f t="shared" ca="1" si="538"/>
        <v>5941</v>
      </c>
      <c r="F4881" s="2">
        <f t="shared" ca="1" si="539"/>
        <v>30664</v>
      </c>
      <c r="G4881" s="2">
        <f t="shared" ca="1" si="540"/>
        <v>1865</v>
      </c>
    </row>
    <row r="4882" spans="1:7" x14ac:dyDescent="0.3">
      <c r="A4882" s="5" t="str">
        <f t="shared" si="534"/>
        <v>Adidas</v>
      </c>
      <c r="B4882" s="5" t="str">
        <f t="shared" si="536"/>
        <v>Gazelle</v>
      </c>
      <c r="C4882" s="3">
        <f t="shared" si="535"/>
        <v>45983</v>
      </c>
      <c r="D4882" s="4">
        <f t="shared" ca="1" si="537"/>
        <v>103</v>
      </c>
      <c r="E4882" s="2">
        <f t="shared" ca="1" si="538"/>
        <v>4057</v>
      </c>
      <c r="F4882" s="2">
        <f t="shared" ca="1" si="539"/>
        <v>23331</v>
      </c>
      <c r="G4882" s="2">
        <f t="shared" ca="1" si="540"/>
        <v>1813</v>
      </c>
    </row>
    <row r="4883" spans="1:7" x14ac:dyDescent="0.3">
      <c r="A4883" s="5" t="str">
        <f t="shared" si="534"/>
        <v>Puma</v>
      </c>
      <c r="B4883" s="5" t="str">
        <f t="shared" si="536"/>
        <v>Slipstream</v>
      </c>
      <c r="C4883" s="3">
        <f t="shared" si="535"/>
        <v>45983</v>
      </c>
      <c r="D4883" s="4">
        <f t="shared" ca="1" si="537"/>
        <v>61</v>
      </c>
      <c r="E4883" s="2">
        <f t="shared" ca="1" si="538"/>
        <v>6433</v>
      </c>
      <c r="F4883" s="2">
        <f t="shared" ca="1" si="539"/>
        <v>31690</v>
      </c>
      <c r="G4883" s="2">
        <f t="shared" ca="1" si="540"/>
        <v>2368</v>
      </c>
    </row>
    <row r="4884" spans="1:7" x14ac:dyDescent="0.3">
      <c r="A4884" s="5" t="str">
        <f t="shared" si="534"/>
        <v>New Balance</v>
      </c>
      <c r="B4884" s="5" t="str">
        <f t="shared" si="536"/>
        <v>550</v>
      </c>
      <c r="C4884" s="3">
        <f t="shared" si="535"/>
        <v>45983</v>
      </c>
      <c r="D4884" s="4">
        <f t="shared" ca="1" si="537"/>
        <v>105</v>
      </c>
      <c r="E4884" s="2">
        <f t="shared" ca="1" si="538"/>
        <v>3228</v>
      </c>
      <c r="F4884" s="2">
        <f t="shared" ca="1" si="539"/>
        <v>12143</v>
      </c>
      <c r="G4884" s="2">
        <f t="shared" ca="1" si="540"/>
        <v>560</v>
      </c>
    </row>
    <row r="4885" spans="1:7" x14ac:dyDescent="0.3">
      <c r="A4885" s="5" t="str">
        <f t="shared" si="534"/>
        <v>Reebok</v>
      </c>
      <c r="B4885" s="5" t="str">
        <f t="shared" si="536"/>
        <v>Classic Leather</v>
      </c>
      <c r="C4885" s="3">
        <f t="shared" si="535"/>
        <v>45983</v>
      </c>
      <c r="D4885" s="4">
        <f t="shared" ca="1" si="537"/>
        <v>40</v>
      </c>
      <c r="E4885" s="2">
        <f t="shared" ca="1" si="538"/>
        <v>12011</v>
      </c>
      <c r="F4885" s="2">
        <f t="shared" ca="1" si="539"/>
        <v>21319</v>
      </c>
      <c r="G4885" s="2">
        <f t="shared" ca="1" si="540"/>
        <v>1108</v>
      </c>
    </row>
    <row r="4886" spans="1:7" x14ac:dyDescent="0.3">
      <c r="A4886" s="5" t="str">
        <f t="shared" si="534"/>
        <v>Nike</v>
      </c>
      <c r="B4886" s="5" t="str">
        <f t="shared" si="536"/>
        <v>Air Force 1</v>
      </c>
      <c r="C4886" s="3">
        <f t="shared" si="535"/>
        <v>45983</v>
      </c>
      <c r="D4886" s="4">
        <f t="shared" ca="1" si="537"/>
        <v>49</v>
      </c>
      <c r="E4886" s="2">
        <f t="shared" ca="1" si="538"/>
        <v>7215</v>
      </c>
      <c r="F4886" s="2">
        <f t="shared" ca="1" si="539"/>
        <v>26549</v>
      </c>
      <c r="G4886" s="2">
        <f t="shared" ca="1" si="540"/>
        <v>1183</v>
      </c>
    </row>
    <row r="4887" spans="1:7" x14ac:dyDescent="0.3">
      <c r="A4887" s="5" t="str">
        <f t="shared" si="534"/>
        <v>Adidas</v>
      </c>
      <c r="B4887" s="5" t="str">
        <f t="shared" si="536"/>
        <v>Superstar</v>
      </c>
      <c r="C4887" s="3">
        <f t="shared" si="535"/>
        <v>45983</v>
      </c>
      <c r="D4887" s="4">
        <f t="shared" ca="1" si="537"/>
        <v>176</v>
      </c>
      <c r="E4887" s="2">
        <f t="shared" ca="1" si="538"/>
        <v>9159</v>
      </c>
      <c r="F4887" s="2">
        <f t="shared" ca="1" si="539"/>
        <v>26839</v>
      </c>
      <c r="G4887" s="2">
        <f t="shared" ca="1" si="540"/>
        <v>780</v>
      </c>
    </row>
    <row r="4888" spans="1:7" x14ac:dyDescent="0.3">
      <c r="A4888" s="5" t="str">
        <f t="shared" si="534"/>
        <v>Puma</v>
      </c>
      <c r="B4888" s="5" t="str">
        <f t="shared" si="536"/>
        <v>Rider Vintage</v>
      </c>
      <c r="C4888" s="3">
        <f t="shared" si="535"/>
        <v>45983</v>
      </c>
      <c r="D4888" s="4">
        <f t="shared" ca="1" si="537"/>
        <v>126</v>
      </c>
      <c r="E4888" s="2">
        <f t="shared" ca="1" si="538"/>
        <v>2567</v>
      </c>
      <c r="F4888" s="2">
        <f t="shared" ca="1" si="539"/>
        <v>16687</v>
      </c>
      <c r="G4888" s="2">
        <f t="shared" ca="1" si="540"/>
        <v>696</v>
      </c>
    </row>
    <row r="4889" spans="1:7" x14ac:dyDescent="0.3">
      <c r="A4889" s="5" t="str">
        <f t="shared" si="534"/>
        <v>New Balance</v>
      </c>
      <c r="B4889" s="5" t="str">
        <f t="shared" si="536"/>
        <v>327</v>
      </c>
      <c r="C4889" s="3">
        <f t="shared" si="535"/>
        <v>45983</v>
      </c>
      <c r="D4889" s="4">
        <f t="shared" ca="1" si="537"/>
        <v>101</v>
      </c>
      <c r="E4889" s="2">
        <f t="shared" ca="1" si="538"/>
        <v>10349</v>
      </c>
      <c r="F4889" s="2">
        <f t="shared" ca="1" si="539"/>
        <v>17988</v>
      </c>
      <c r="G4889" s="2">
        <f t="shared" ca="1" si="540"/>
        <v>829</v>
      </c>
    </row>
    <row r="4890" spans="1:7" x14ac:dyDescent="0.3">
      <c r="A4890" s="5" t="str">
        <f t="shared" si="534"/>
        <v>Reebok</v>
      </c>
      <c r="B4890" s="5" t="str">
        <f t="shared" si="536"/>
        <v>Question Mid</v>
      </c>
      <c r="C4890" s="3">
        <f t="shared" si="535"/>
        <v>45983</v>
      </c>
      <c r="D4890" s="4">
        <f t="shared" ca="1" si="537"/>
        <v>154</v>
      </c>
      <c r="E4890" s="2">
        <f t="shared" ca="1" si="538"/>
        <v>7799</v>
      </c>
      <c r="F4890" s="2">
        <f t="shared" ca="1" si="539"/>
        <v>28108</v>
      </c>
      <c r="G4890" s="2">
        <f t="shared" ca="1" si="540"/>
        <v>1465</v>
      </c>
    </row>
    <row r="4891" spans="1:7" x14ac:dyDescent="0.3">
      <c r="A4891" s="5" t="str">
        <f t="shared" si="534"/>
        <v>Nike</v>
      </c>
      <c r="B4891" s="5" t="str">
        <f t="shared" si="536"/>
        <v>Air Max 270</v>
      </c>
      <c r="C4891" s="3">
        <f t="shared" si="535"/>
        <v>45983</v>
      </c>
      <c r="D4891" s="4">
        <f t="shared" ca="1" si="537"/>
        <v>77</v>
      </c>
      <c r="E4891" s="2">
        <f t="shared" ca="1" si="538"/>
        <v>8926</v>
      </c>
      <c r="F4891" s="2">
        <f t="shared" ca="1" si="539"/>
        <v>18899</v>
      </c>
      <c r="G4891" s="2">
        <f t="shared" ca="1" si="540"/>
        <v>692</v>
      </c>
    </row>
    <row r="4892" spans="1:7" x14ac:dyDescent="0.3">
      <c r="A4892" s="5" t="str">
        <f t="shared" si="534"/>
        <v>Adidas</v>
      </c>
      <c r="B4892" s="5" t="str">
        <f t="shared" si="536"/>
        <v>Stan Smith</v>
      </c>
      <c r="C4892" s="3">
        <f t="shared" si="535"/>
        <v>45984</v>
      </c>
      <c r="D4892" s="4">
        <f t="shared" ca="1" si="537"/>
        <v>201</v>
      </c>
      <c r="E4892" s="2">
        <f t="shared" ca="1" si="538"/>
        <v>4965</v>
      </c>
      <c r="F4892" s="2">
        <f t="shared" ca="1" si="539"/>
        <v>14774</v>
      </c>
      <c r="G4892" s="2">
        <f t="shared" ca="1" si="540"/>
        <v>401</v>
      </c>
    </row>
    <row r="4893" spans="1:7" x14ac:dyDescent="0.3">
      <c r="A4893" s="5" t="str">
        <f t="shared" si="534"/>
        <v>Puma</v>
      </c>
      <c r="B4893" s="5" t="str">
        <f t="shared" si="536"/>
        <v>Cali Dream</v>
      </c>
      <c r="C4893" s="3">
        <f t="shared" si="535"/>
        <v>45984</v>
      </c>
      <c r="D4893" s="4">
        <f t="shared" ca="1" si="537"/>
        <v>165</v>
      </c>
      <c r="E4893" s="2">
        <f t="shared" ca="1" si="538"/>
        <v>5351</v>
      </c>
      <c r="F4893" s="2">
        <f t="shared" ca="1" si="539"/>
        <v>33467</v>
      </c>
      <c r="G4893" s="2">
        <f t="shared" ca="1" si="540"/>
        <v>2253</v>
      </c>
    </row>
    <row r="4894" spans="1:7" x14ac:dyDescent="0.3">
      <c r="A4894" s="5" t="str">
        <f t="shared" si="534"/>
        <v>New Balance</v>
      </c>
      <c r="B4894" s="5" t="str">
        <f t="shared" si="536"/>
        <v>9060</v>
      </c>
      <c r="C4894" s="3">
        <f t="shared" si="535"/>
        <v>45984</v>
      </c>
      <c r="D4894" s="4">
        <f t="shared" ca="1" si="537"/>
        <v>63</v>
      </c>
      <c r="E4894" s="2">
        <f t="shared" ca="1" si="538"/>
        <v>3528</v>
      </c>
      <c r="F4894" s="2">
        <f t="shared" ca="1" si="539"/>
        <v>29547</v>
      </c>
      <c r="G4894" s="2">
        <f t="shared" ca="1" si="540"/>
        <v>869</v>
      </c>
    </row>
    <row r="4895" spans="1:7" x14ac:dyDescent="0.3">
      <c r="A4895" s="5" t="str">
        <f t="shared" si="534"/>
        <v>Reebok</v>
      </c>
      <c r="B4895" s="5" t="str">
        <f t="shared" si="536"/>
        <v>Zig Kinetica</v>
      </c>
      <c r="C4895" s="3">
        <f t="shared" si="535"/>
        <v>45984</v>
      </c>
      <c r="D4895" s="4">
        <f t="shared" ca="1" si="537"/>
        <v>121</v>
      </c>
      <c r="E4895" s="2">
        <f t="shared" ca="1" si="538"/>
        <v>4638</v>
      </c>
      <c r="F4895" s="2">
        <f t="shared" ca="1" si="539"/>
        <v>8938</v>
      </c>
      <c r="G4895" s="2">
        <f t="shared" ca="1" si="540"/>
        <v>433</v>
      </c>
    </row>
    <row r="4896" spans="1:7" x14ac:dyDescent="0.3">
      <c r="A4896" s="5" t="str">
        <f t="shared" si="534"/>
        <v>Nike</v>
      </c>
      <c r="B4896" s="5" t="str">
        <f t="shared" si="536"/>
        <v>Jordan 1</v>
      </c>
      <c r="C4896" s="3">
        <f t="shared" si="535"/>
        <v>45984</v>
      </c>
      <c r="D4896" s="4">
        <f t="shared" ca="1" si="537"/>
        <v>57</v>
      </c>
      <c r="E4896" s="2">
        <f t="shared" ca="1" si="538"/>
        <v>3854</v>
      </c>
      <c r="F4896" s="2">
        <f t="shared" ca="1" si="539"/>
        <v>11398</v>
      </c>
      <c r="G4896" s="2">
        <f t="shared" ca="1" si="540"/>
        <v>481</v>
      </c>
    </row>
    <row r="4897" spans="1:7" x14ac:dyDescent="0.3">
      <c r="A4897" s="5" t="str">
        <f t="shared" si="534"/>
        <v>Adidas</v>
      </c>
      <c r="B4897" s="5" t="str">
        <f t="shared" si="536"/>
        <v>Ultraboost 23</v>
      </c>
      <c r="C4897" s="3">
        <f t="shared" si="535"/>
        <v>45984</v>
      </c>
      <c r="D4897" s="4">
        <f t="shared" ca="1" si="537"/>
        <v>124</v>
      </c>
      <c r="E4897" s="2">
        <f t="shared" ca="1" si="538"/>
        <v>9176</v>
      </c>
      <c r="F4897" s="2">
        <f t="shared" ca="1" si="539"/>
        <v>32437</v>
      </c>
      <c r="G4897" s="2">
        <f t="shared" ca="1" si="540"/>
        <v>1745</v>
      </c>
    </row>
    <row r="4898" spans="1:7" x14ac:dyDescent="0.3">
      <c r="A4898" s="5" t="str">
        <f t="shared" si="534"/>
        <v>Puma</v>
      </c>
      <c r="B4898" s="5" t="str">
        <f t="shared" si="536"/>
        <v>RS-X</v>
      </c>
      <c r="C4898" s="3">
        <f t="shared" si="535"/>
        <v>45984</v>
      </c>
      <c r="D4898" s="4">
        <f t="shared" ca="1" si="537"/>
        <v>144</v>
      </c>
      <c r="E4898" s="2">
        <f t="shared" ca="1" si="538"/>
        <v>3615</v>
      </c>
      <c r="F4898" s="2">
        <f t="shared" ca="1" si="539"/>
        <v>12809</v>
      </c>
      <c r="G4898" s="2">
        <f t="shared" ca="1" si="540"/>
        <v>966</v>
      </c>
    </row>
    <row r="4899" spans="1:7" x14ac:dyDescent="0.3">
      <c r="A4899" s="5" t="str">
        <f t="shared" si="534"/>
        <v>New Balance</v>
      </c>
      <c r="B4899" s="5" t="str">
        <f t="shared" si="536"/>
        <v>2002R</v>
      </c>
      <c r="C4899" s="3">
        <f t="shared" si="535"/>
        <v>45984</v>
      </c>
      <c r="D4899" s="4">
        <f t="shared" ca="1" si="537"/>
        <v>100</v>
      </c>
      <c r="E4899" s="2">
        <f t="shared" ca="1" si="538"/>
        <v>9566</v>
      </c>
      <c r="F4899" s="2">
        <f t="shared" ca="1" si="539"/>
        <v>26057</v>
      </c>
      <c r="G4899" s="2">
        <f t="shared" ca="1" si="540"/>
        <v>1833</v>
      </c>
    </row>
    <row r="4900" spans="1:7" x14ac:dyDescent="0.3">
      <c r="A4900" s="5" t="str">
        <f t="shared" si="534"/>
        <v>Reebok</v>
      </c>
      <c r="B4900" s="5" t="str">
        <f t="shared" si="536"/>
        <v>Instapump Fury</v>
      </c>
      <c r="C4900" s="3">
        <f t="shared" si="535"/>
        <v>45984</v>
      </c>
      <c r="D4900" s="4">
        <f t="shared" ca="1" si="537"/>
        <v>29</v>
      </c>
      <c r="E4900" s="2">
        <f t="shared" ca="1" si="538"/>
        <v>2520</v>
      </c>
      <c r="F4900" s="2">
        <f t="shared" ca="1" si="539"/>
        <v>8402</v>
      </c>
      <c r="G4900" s="2">
        <f t="shared" ca="1" si="540"/>
        <v>430</v>
      </c>
    </row>
    <row r="4901" spans="1:7" x14ac:dyDescent="0.3">
      <c r="A4901" s="5" t="str">
        <f t="shared" si="534"/>
        <v>Nike</v>
      </c>
      <c r="B4901" s="5" t="str">
        <f t="shared" si="536"/>
        <v>Cortez</v>
      </c>
      <c r="C4901" s="3">
        <f t="shared" si="535"/>
        <v>45984</v>
      </c>
      <c r="D4901" s="4">
        <f t="shared" ca="1" si="537"/>
        <v>20</v>
      </c>
      <c r="E4901" s="2">
        <f t="shared" ca="1" si="538"/>
        <v>7519</v>
      </c>
      <c r="F4901" s="2">
        <f t="shared" ca="1" si="539"/>
        <v>7020</v>
      </c>
      <c r="G4901" s="2">
        <f t="shared" ca="1" si="540"/>
        <v>182</v>
      </c>
    </row>
    <row r="4902" spans="1:7" x14ac:dyDescent="0.3">
      <c r="A4902" s="5" t="str">
        <f t="shared" si="534"/>
        <v>Adidas</v>
      </c>
      <c r="B4902" s="5" t="str">
        <f t="shared" si="536"/>
        <v>NMD S1</v>
      </c>
      <c r="C4902" s="3">
        <f t="shared" si="535"/>
        <v>45984</v>
      </c>
      <c r="D4902" s="4">
        <f t="shared" ca="1" si="537"/>
        <v>44</v>
      </c>
      <c r="E4902" s="2">
        <f t="shared" ca="1" si="538"/>
        <v>3848</v>
      </c>
      <c r="F4902" s="2">
        <f t="shared" ca="1" si="539"/>
        <v>7967</v>
      </c>
      <c r="G4902" s="2">
        <f t="shared" ca="1" si="540"/>
        <v>438</v>
      </c>
    </row>
    <row r="4903" spans="1:7" x14ac:dyDescent="0.3">
      <c r="A4903" s="5" t="str">
        <f t="shared" si="534"/>
        <v>Puma</v>
      </c>
      <c r="B4903" s="5" t="str">
        <f t="shared" si="536"/>
        <v>Suede Classic</v>
      </c>
      <c r="C4903" s="3">
        <f t="shared" si="535"/>
        <v>45984</v>
      </c>
      <c r="D4903" s="4">
        <f t="shared" ca="1" si="537"/>
        <v>128</v>
      </c>
      <c r="E4903" s="2">
        <f t="shared" ca="1" si="538"/>
        <v>11546</v>
      </c>
      <c r="F4903" s="2">
        <f t="shared" ca="1" si="539"/>
        <v>5765</v>
      </c>
      <c r="G4903" s="2">
        <f t="shared" ca="1" si="540"/>
        <v>172</v>
      </c>
    </row>
    <row r="4904" spans="1:7" x14ac:dyDescent="0.3">
      <c r="A4904" s="5" t="str">
        <f t="shared" si="534"/>
        <v>New Balance</v>
      </c>
      <c r="B4904" s="5" t="str">
        <f t="shared" si="536"/>
        <v>990v6</v>
      </c>
      <c r="C4904" s="3">
        <f t="shared" si="535"/>
        <v>45984</v>
      </c>
      <c r="D4904" s="4">
        <f t="shared" ca="1" si="537"/>
        <v>88</v>
      </c>
      <c r="E4904" s="2">
        <f t="shared" ca="1" si="538"/>
        <v>7028</v>
      </c>
      <c r="F4904" s="2">
        <f t="shared" ca="1" si="539"/>
        <v>24098</v>
      </c>
      <c r="G4904" s="2">
        <f t="shared" ca="1" si="540"/>
        <v>1195</v>
      </c>
    </row>
    <row r="4905" spans="1:7" x14ac:dyDescent="0.3">
      <c r="A4905" s="5" t="str">
        <f t="shared" si="534"/>
        <v>Reebok</v>
      </c>
      <c r="B4905" s="5" t="str">
        <f t="shared" si="536"/>
        <v>Nano X3</v>
      </c>
      <c r="C4905" s="3">
        <f t="shared" si="535"/>
        <v>45984</v>
      </c>
      <c r="D4905" s="4">
        <f t="shared" ca="1" si="537"/>
        <v>68</v>
      </c>
      <c r="E4905" s="2">
        <f t="shared" ca="1" si="538"/>
        <v>5906</v>
      </c>
      <c r="F4905" s="2">
        <f t="shared" ca="1" si="539"/>
        <v>7697</v>
      </c>
      <c r="G4905" s="2">
        <f t="shared" ca="1" si="540"/>
        <v>186</v>
      </c>
    </row>
    <row r="4906" spans="1:7" x14ac:dyDescent="0.3">
      <c r="A4906" s="5" t="str">
        <f t="shared" si="534"/>
        <v>Nike</v>
      </c>
      <c r="B4906" s="5" t="str">
        <f t="shared" si="536"/>
        <v>Vaporfly 3</v>
      </c>
      <c r="C4906" s="3">
        <f t="shared" si="535"/>
        <v>45984</v>
      </c>
      <c r="D4906" s="4">
        <f t="shared" ca="1" si="537"/>
        <v>129</v>
      </c>
      <c r="E4906" s="2">
        <f t="shared" ca="1" si="538"/>
        <v>4781</v>
      </c>
      <c r="F4906" s="2">
        <f t="shared" ca="1" si="539"/>
        <v>10042</v>
      </c>
      <c r="G4906" s="2">
        <f t="shared" ca="1" si="540"/>
        <v>644</v>
      </c>
    </row>
    <row r="4907" spans="1:7" x14ac:dyDescent="0.3">
      <c r="A4907" s="5" t="str">
        <f t="shared" ref="A4907:A4970" si="541">CHOOSE(MOD(ROW(A4906),5)+1,"Nike","Adidas","Puma","New Balance","Reebok")</f>
        <v>Adidas</v>
      </c>
      <c r="B4907" s="5" t="str">
        <f t="shared" si="536"/>
        <v>Samba</v>
      </c>
      <c r="C4907" s="3">
        <f t="shared" ref="C4907:C4970" si="542">DATE(2025,1,1)+INT((ROW(A4907)-2)/15)</f>
        <v>45985</v>
      </c>
      <c r="D4907" s="4">
        <f t="shared" ca="1" si="537"/>
        <v>202</v>
      </c>
      <c r="E4907" s="2">
        <f t="shared" ca="1" si="538"/>
        <v>7035</v>
      </c>
      <c r="F4907" s="2">
        <f t="shared" ca="1" si="539"/>
        <v>21746</v>
      </c>
      <c r="G4907" s="2">
        <f t="shared" ca="1" si="540"/>
        <v>1709</v>
      </c>
    </row>
    <row r="4908" spans="1:7" x14ac:dyDescent="0.3">
      <c r="A4908" s="5" t="str">
        <f t="shared" si="541"/>
        <v>Puma</v>
      </c>
      <c r="B4908" s="5" t="str">
        <f t="shared" si="536"/>
        <v>Mayze</v>
      </c>
      <c r="C4908" s="3">
        <f t="shared" si="542"/>
        <v>45985</v>
      </c>
      <c r="D4908" s="4">
        <f t="shared" ca="1" si="537"/>
        <v>168</v>
      </c>
      <c r="E4908" s="2">
        <f t="shared" ca="1" si="538"/>
        <v>7365</v>
      </c>
      <c r="F4908" s="2">
        <f t="shared" ca="1" si="539"/>
        <v>32367</v>
      </c>
      <c r="G4908" s="2">
        <f t="shared" ca="1" si="540"/>
        <v>1828</v>
      </c>
    </row>
    <row r="4909" spans="1:7" x14ac:dyDescent="0.3">
      <c r="A4909" s="5" t="str">
        <f t="shared" si="541"/>
        <v>New Balance</v>
      </c>
      <c r="B4909" s="5" t="str">
        <f t="shared" si="536"/>
        <v>574 Core</v>
      </c>
      <c r="C4909" s="3">
        <f t="shared" si="542"/>
        <v>45985</v>
      </c>
      <c r="D4909" s="4">
        <f t="shared" ca="1" si="537"/>
        <v>132</v>
      </c>
      <c r="E4909" s="2">
        <f t="shared" ca="1" si="538"/>
        <v>4213</v>
      </c>
      <c r="F4909" s="2">
        <f t="shared" ca="1" si="539"/>
        <v>10716</v>
      </c>
      <c r="G4909" s="2">
        <f t="shared" ca="1" si="540"/>
        <v>560</v>
      </c>
    </row>
    <row r="4910" spans="1:7" x14ac:dyDescent="0.3">
      <c r="A4910" s="5" t="str">
        <f t="shared" si="541"/>
        <v>Reebok</v>
      </c>
      <c r="B4910" s="5" t="str">
        <f t="shared" si="536"/>
        <v>Club C 85</v>
      </c>
      <c r="C4910" s="3">
        <f t="shared" si="542"/>
        <v>45985</v>
      </c>
      <c r="D4910" s="4">
        <f t="shared" ca="1" si="537"/>
        <v>183</v>
      </c>
      <c r="E4910" s="2">
        <f t="shared" ca="1" si="538"/>
        <v>7595</v>
      </c>
      <c r="F4910" s="2">
        <f t="shared" ca="1" si="539"/>
        <v>14196</v>
      </c>
      <c r="G4910" s="2">
        <f t="shared" ca="1" si="540"/>
        <v>579</v>
      </c>
    </row>
    <row r="4911" spans="1:7" x14ac:dyDescent="0.3">
      <c r="A4911" s="5" t="str">
        <f t="shared" si="541"/>
        <v>Nike</v>
      </c>
      <c r="B4911" s="5" t="str">
        <f t="shared" si="536"/>
        <v>Pegasus 40</v>
      </c>
      <c r="C4911" s="3">
        <f t="shared" si="542"/>
        <v>45985</v>
      </c>
      <c r="D4911" s="4">
        <f t="shared" ca="1" si="537"/>
        <v>115</v>
      </c>
      <c r="E4911" s="2">
        <f t="shared" ca="1" si="538"/>
        <v>4147</v>
      </c>
      <c r="F4911" s="2">
        <f t="shared" ca="1" si="539"/>
        <v>10743</v>
      </c>
      <c r="G4911" s="2">
        <f t="shared" ca="1" si="540"/>
        <v>619</v>
      </c>
    </row>
    <row r="4912" spans="1:7" x14ac:dyDescent="0.3">
      <c r="A4912" s="5" t="str">
        <f t="shared" si="541"/>
        <v>Adidas</v>
      </c>
      <c r="B4912" s="5" t="str">
        <f t="shared" si="536"/>
        <v>Gazelle</v>
      </c>
      <c r="C4912" s="3">
        <f t="shared" si="542"/>
        <v>45985</v>
      </c>
      <c r="D4912" s="4">
        <f t="shared" ca="1" si="537"/>
        <v>185</v>
      </c>
      <c r="E4912" s="2">
        <f t="shared" ca="1" si="538"/>
        <v>8230</v>
      </c>
      <c r="F4912" s="2">
        <f t="shared" ca="1" si="539"/>
        <v>13728</v>
      </c>
      <c r="G4912" s="2">
        <f t="shared" ca="1" si="540"/>
        <v>603</v>
      </c>
    </row>
    <row r="4913" spans="1:7" x14ac:dyDescent="0.3">
      <c r="A4913" s="5" t="str">
        <f t="shared" si="541"/>
        <v>Puma</v>
      </c>
      <c r="B4913" s="5" t="str">
        <f t="shared" si="536"/>
        <v>Slipstream</v>
      </c>
      <c r="C4913" s="3">
        <f t="shared" si="542"/>
        <v>45985</v>
      </c>
      <c r="D4913" s="4">
        <f t="shared" ca="1" si="537"/>
        <v>54</v>
      </c>
      <c r="E4913" s="2">
        <f t="shared" ca="1" si="538"/>
        <v>7896</v>
      </c>
      <c r="F4913" s="2">
        <f t="shared" ca="1" si="539"/>
        <v>15502</v>
      </c>
      <c r="G4913" s="2">
        <f t="shared" ca="1" si="540"/>
        <v>891</v>
      </c>
    </row>
    <row r="4914" spans="1:7" x14ac:dyDescent="0.3">
      <c r="A4914" s="5" t="str">
        <f t="shared" si="541"/>
        <v>New Balance</v>
      </c>
      <c r="B4914" s="5" t="str">
        <f t="shared" si="536"/>
        <v>550</v>
      </c>
      <c r="C4914" s="3">
        <f t="shared" si="542"/>
        <v>45985</v>
      </c>
      <c r="D4914" s="4">
        <f t="shared" ca="1" si="537"/>
        <v>117</v>
      </c>
      <c r="E4914" s="2">
        <f t="shared" ca="1" si="538"/>
        <v>8874</v>
      </c>
      <c r="F4914" s="2">
        <f t="shared" ca="1" si="539"/>
        <v>14306</v>
      </c>
      <c r="G4914" s="2">
        <f t="shared" ca="1" si="540"/>
        <v>611</v>
      </c>
    </row>
    <row r="4915" spans="1:7" x14ac:dyDescent="0.3">
      <c r="A4915" s="5" t="str">
        <f t="shared" si="541"/>
        <v>Reebok</v>
      </c>
      <c r="B4915" s="5" t="str">
        <f t="shared" si="536"/>
        <v>Classic Leather</v>
      </c>
      <c r="C4915" s="3">
        <f t="shared" si="542"/>
        <v>45985</v>
      </c>
      <c r="D4915" s="4">
        <f t="shared" ca="1" si="537"/>
        <v>37</v>
      </c>
      <c r="E4915" s="2">
        <f t="shared" ca="1" si="538"/>
        <v>9255</v>
      </c>
      <c r="F4915" s="2">
        <f t="shared" ca="1" si="539"/>
        <v>12230</v>
      </c>
      <c r="G4915" s="2">
        <f t="shared" ca="1" si="540"/>
        <v>430</v>
      </c>
    </row>
    <row r="4916" spans="1:7" x14ac:dyDescent="0.3">
      <c r="A4916" s="5" t="str">
        <f t="shared" si="541"/>
        <v>Nike</v>
      </c>
      <c r="B4916" s="5" t="str">
        <f t="shared" si="536"/>
        <v>Air Force 1</v>
      </c>
      <c r="C4916" s="3">
        <f t="shared" si="542"/>
        <v>45985</v>
      </c>
      <c r="D4916" s="4">
        <f t="shared" ca="1" si="537"/>
        <v>159</v>
      </c>
      <c r="E4916" s="2">
        <f t="shared" ca="1" si="538"/>
        <v>8180</v>
      </c>
      <c r="F4916" s="2">
        <f t="shared" ca="1" si="539"/>
        <v>28405</v>
      </c>
      <c r="G4916" s="2">
        <f t="shared" ca="1" si="540"/>
        <v>1338</v>
      </c>
    </row>
    <row r="4917" spans="1:7" x14ac:dyDescent="0.3">
      <c r="A4917" s="5" t="str">
        <f t="shared" si="541"/>
        <v>Adidas</v>
      </c>
      <c r="B4917" s="5" t="str">
        <f t="shared" si="536"/>
        <v>Superstar</v>
      </c>
      <c r="C4917" s="3">
        <f t="shared" si="542"/>
        <v>45985</v>
      </c>
      <c r="D4917" s="4">
        <f t="shared" ca="1" si="537"/>
        <v>250</v>
      </c>
      <c r="E4917" s="2">
        <f t="shared" ca="1" si="538"/>
        <v>10388</v>
      </c>
      <c r="F4917" s="2">
        <f t="shared" ca="1" si="539"/>
        <v>6665</v>
      </c>
      <c r="G4917" s="2">
        <f t="shared" ca="1" si="540"/>
        <v>203</v>
      </c>
    </row>
    <row r="4918" spans="1:7" x14ac:dyDescent="0.3">
      <c r="A4918" s="5" t="str">
        <f t="shared" si="541"/>
        <v>Puma</v>
      </c>
      <c r="B4918" s="5" t="str">
        <f t="shared" si="536"/>
        <v>Rider Vintage</v>
      </c>
      <c r="C4918" s="3">
        <f t="shared" si="542"/>
        <v>45985</v>
      </c>
      <c r="D4918" s="4">
        <f t="shared" ca="1" si="537"/>
        <v>135</v>
      </c>
      <c r="E4918" s="2">
        <f t="shared" ca="1" si="538"/>
        <v>9773</v>
      </c>
      <c r="F4918" s="2">
        <f t="shared" ca="1" si="539"/>
        <v>16434</v>
      </c>
      <c r="G4918" s="2">
        <f t="shared" ca="1" si="540"/>
        <v>717</v>
      </c>
    </row>
    <row r="4919" spans="1:7" x14ac:dyDescent="0.3">
      <c r="A4919" s="5" t="str">
        <f t="shared" si="541"/>
        <v>New Balance</v>
      </c>
      <c r="B4919" s="5" t="str">
        <f t="shared" si="536"/>
        <v>327</v>
      </c>
      <c r="C4919" s="3">
        <f t="shared" si="542"/>
        <v>45985</v>
      </c>
      <c r="D4919" s="4">
        <f t="shared" ca="1" si="537"/>
        <v>174</v>
      </c>
      <c r="E4919" s="2">
        <f t="shared" ca="1" si="538"/>
        <v>7195</v>
      </c>
      <c r="F4919" s="2">
        <f t="shared" ca="1" si="539"/>
        <v>8282</v>
      </c>
      <c r="G4919" s="2">
        <f t="shared" ca="1" si="540"/>
        <v>476</v>
      </c>
    </row>
    <row r="4920" spans="1:7" x14ac:dyDescent="0.3">
      <c r="A4920" s="5" t="str">
        <f t="shared" si="541"/>
        <v>Reebok</v>
      </c>
      <c r="B4920" s="5" t="str">
        <f t="shared" si="536"/>
        <v>Question Mid</v>
      </c>
      <c r="C4920" s="3">
        <f t="shared" si="542"/>
        <v>45985</v>
      </c>
      <c r="D4920" s="4">
        <f t="shared" ca="1" si="537"/>
        <v>194</v>
      </c>
      <c r="E4920" s="2">
        <f t="shared" ca="1" si="538"/>
        <v>11559</v>
      </c>
      <c r="F4920" s="2">
        <f t="shared" ca="1" si="539"/>
        <v>10707</v>
      </c>
      <c r="G4920" s="2">
        <f t="shared" ca="1" si="540"/>
        <v>838</v>
      </c>
    </row>
    <row r="4921" spans="1:7" x14ac:dyDescent="0.3">
      <c r="A4921" s="5" t="str">
        <f t="shared" si="541"/>
        <v>Nike</v>
      </c>
      <c r="B4921" s="5" t="str">
        <f t="shared" si="536"/>
        <v>Air Max 270</v>
      </c>
      <c r="C4921" s="3">
        <f t="shared" si="542"/>
        <v>45985</v>
      </c>
      <c r="D4921" s="4">
        <f t="shared" ca="1" si="537"/>
        <v>166</v>
      </c>
      <c r="E4921" s="2">
        <f t="shared" ca="1" si="538"/>
        <v>2819</v>
      </c>
      <c r="F4921" s="2">
        <f t="shared" ca="1" si="539"/>
        <v>16519</v>
      </c>
      <c r="G4921" s="2">
        <f t="shared" ca="1" si="540"/>
        <v>1226</v>
      </c>
    </row>
    <row r="4922" spans="1:7" x14ac:dyDescent="0.3">
      <c r="A4922" s="5" t="str">
        <f t="shared" si="541"/>
        <v>Adidas</v>
      </c>
      <c r="B4922" s="5" t="str">
        <f t="shared" si="536"/>
        <v>Stan Smith</v>
      </c>
      <c r="C4922" s="3">
        <f t="shared" si="542"/>
        <v>45986</v>
      </c>
      <c r="D4922" s="4">
        <f t="shared" ca="1" si="537"/>
        <v>100</v>
      </c>
      <c r="E4922" s="2">
        <f t="shared" ca="1" si="538"/>
        <v>6533</v>
      </c>
      <c r="F4922" s="2">
        <f t="shared" ca="1" si="539"/>
        <v>15735</v>
      </c>
      <c r="G4922" s="2">
        <f t="shared" ca="1" si="540"/>
        <v>550</v>
      </c>
    </row>
    <row r="4923" spans="1:7" x14ac:dyDescent="0.3">
      <c r="A4923" s="5" t="str">
        <f t="shared" si="541"/>
        <v>Puma</v>
      </c>
      <c r="B4923" s="5" t="str">
        <f t="shared" si="536"/>
        <v>Cali Dream</v>
      </c>
      <c r="C4923" s="3">
        <f t="shared" si="542"/>
        <v>45986</v>
      </c>
      <c r="D4923" s="4">
        <f t="shared" ca="1" si="537"/>
        <v>53</v>
      </c>
      <c r="E4923" s="2">
        <f t="shared" ca="1" si="538"/>
        <v>4266</v>
      </c>
      <c r="F4923" s="2">
        <f t="shared" ca="1" si="539"/>
        <v>23136</v>
      </c>
      <c r="G4923" s="2">
        <f t="shared" ca="1" si="540"/>
        <v>1266</v>
      </c>
    </row>
    <row r="4924" spans="1:7" x14ac:dyDescent="0.3">
      <c r="A4924" s="5" t="str">
        <f t="shared" si="541"/>
        <v>New Balance</v>
      </c>
      <c r="B4924" s="5" t="str">
        <f t="shared" si="536"/>
        <v>9060</v>
      </c>
      <c r="C4924" s="3">
        <f t="shared" si="542"/>
        <v>45986</v>
      </c>
      <c r="D4924" s="4">
        <f t="shared" ca="1" si="537"/>
        <v>187</v>
      </c>
      <c r="E4924" s="2">
        <f t="shared" ca="1" si="538"/>
        <v>10483</v>
      </c>
      <c r="F4924" s="2">
        <f t="shared" ca="1" si="539"/>
        <v>28132</v>
      </c>
      <c r="G4924" s="2">
        <f t="shared" ca="1" si="540"/>
        <v>1144</v>
      </c>
    </row>
    <row r="4925" spans="1:7" x14ac:dyDescent="0.3">
      <c r="A4925" s="5" t="str">
        <f t="shared" si="541"/>
        <v>Reebok</v>
      </c>
      <c r="B4925" s="5" t="str">
        <f t="shared" si="536"/>
        <v>Zig Kinetica</v>
      </c>
      <c r="C4925" s="3">
        <f t="shared" si="542"/>
        <v>45986</v>
      </c>
      <c r="D4925" s="4">
        <f t="shared" ca="1" si="537"/>
        <v>188</v>
      </c>
      <c r="E4925" s="2">
        <f t="shared" ca="1" si="538"/>
        <v>5484</v>
      </c>
      <c r="F4925" s="2">
        <f t="shared" ca="1" si="539"/>
        <v>21058</v>
      </c>
      <c r="G4925" s="2">
        <f t="shared" ca="1" si="540"/>
        <v>1236</v>
      </c>
    </row>
    <row r="4926" spans="1:7" x14ac:dyDescent="0.3">
      <c r="A4926" s="5" t="str">
        <f t="shared" si="541"/>
        <v>Nike</v>
      </c>
      <c r="B4926" s="5" t="str">
        <f t="shared" si="536"/>
        <v>Jordan 1</v>
      </c>
      <c r="C4926" s="3">
        <f t="shared" si="542"/>
        <v>45986</v>
      </c>
      <c r="D4926" s="4">
        <f t="shared" ca="1" si="537"/>
        <v>113</v>
      </c>
      <c r="E4926" s="2">
        <f t="shared" ca="1" si="538"/>
        <v>11996</v>
      </c>
      <c r="F4926" s="2">
        <f t="shared" ca="1" si="539"/>
        <v>28325</v>
      </c>
      <c r="G4926" s="2">
        <f t="shared" ca="1" si="540"/>
        <v>1666</v>
      </c>
    </row>
    <row r="4927" spans="1:7" x14ac:dyDescent="0.3">
      <c r="A4927" s="5" t="str">
        <f t="shared" si="541"/>
        <v>Adidas</v>
      </c>
      <c r="B4927" s="5" t="str">
        <f t="shared" si="536"/>
        <v>Ultraboost 23</v>
      </c>
      <c r="C4927" s="3">
        <f t="shared" si="542"/>
        <v>45986</v>
      </c>
      <c r="D4927" s="4">
        <f t="shared" ca="1" si="537"/>
        <v>48</v>
      </c>
      <c r="E4927" s="2">
        <f t="shared" ca="1" si="538"/>
        <v>10527</v>
      </c>
      <c r="F4927" s="2">
        <f t="shared" ca="1" si="539"/>
        <v>34054</v>
      </c>
      <c r="G4927" s="2">
        <f t="shared" ca="1" si="540"/>
        <v>701</v>
      </c>
    </row>
    <row r="4928" spans="1:7" x14ac:dyDescent="0.3">
      <c r="A4928" s="5" t="str">
        <f t="shared" si="541"/>
        <v>Puma</v>
      </c>
      <c r="B4928" s="5" t="str">
        <f t="shared" si="536"/>
        <v>RS-X</v>
      </c>
      <c r="C4928" s="3">
        <f t="shared" si="542"/>
        <v>45986</v>
      </c>
      <c r="D4928" s="4">
        <f t="shared" ca="1" si="537"/>
        <v>84</v>
      </c>
      <c r="E4928" s="2">
        <f t="shared" ca="1" si="538"/>
        <v>6963</v>
      </c>
      <c r="F4928" s="2">
        <f t="shared" ca="1" si="539"/>
        <v>30429</v>
      </c>
      <c r="G4928" s="2">
        <f t="shared" ca="1" si="540"/>
        <v>1818</v>
      </c>
    </row>
    <row r="4929" spans="1:7" x14ac:dyDescent="0.3">
      <c r="A4929" s="5" t="str">
        <f t="shared" si="541"/>
        <v>New Balance</v>
      </c>
      <c r="B4929" s="5" t="str">
        <f t="shared" si="536"/>
        <v>2002R</v>
      </c>
      <c r="C4929" s="3">
        <f t="shared" si="542"/>
        <v>45986</v>
      </c>
      <c r="D4929" s="4">
        <f t="shared" ca="1" si="537"/>
        <v>146</v>
      </c>
      <c r="E4929" s="2">
        <f t="shared" ca="1" si="538"/>
        <v>1753</v>
      </c>
      <c r="F4929" s="2">
        <f t="shared" ca="1" si="539"/>
        <v>10484</v>
      </c>
      <c r="G4929" s="2">
        <f t="shared" ca="1" si="540"/>
        <v>438</v>
      </c>
    </row>
    <row r="4930" spans="1:7" x14ac:dyDescent="0.3">
      <c r="A4930" s="5" t="str">
        <f t="shared" si="541"/>
        <v>Reebok</v>
      </c>
      <c r="B4930" s="5" t="str">
        <f t="shared" si="536"/>
        <v>Instapump Fury</v>
      </c>
      <c r="C4930" s="3">
        <f t="shared" si="542"/>
        <v>45986</v>
      </c>
      <c r="D4930" s="4">
        <f t="shared" ca="1" si="537"/>
        <v>240</v>
      </c>
      <c r="E4930" s="2">
        <f t="shared" ca="1" si="538"/>
        <v>2231</v>
      </c>
      <c r="F4930" s="2">
        <f t="shared" ca="1" si="539"/>
        <v>14041</v>
      </c>
      <c r="G4930" s="2">
        <f t="shared" ca="1" si="540"/>
        <v>637</v>
      </c>
    </row>
    <row r="4931" spans="1:7" x14ac:dyDescent="0.3">
      <c r="A4931" s="5" t="str">
        <f t="shared" si="541"/>
        <v>Nike</v>
      </c>
      <c r="B4931" s="5" t="str">
        <f t="shared" ref="B4931:B4994" si="543">IF(A4931="Nike",CHOOSE(MOD(ROW(A4930),6)+1,"Air Max 270","Air Force 1","Pegasus 40","Vaporfly 3","Cortez","Jordan 1"),
 IF(A4931="Adidas",CHOOSE(MOD(ROW(A4930),6)+1,"Ultraboost 23","Stan Smith","Superstar","Gazelle","Samba","NMD S1"),
 IF(A4931="Puma",CHOOSE(MOD(ROW(A4930),6)+1,"Suede Classic","RS-X","Cali Dream","Rider Vintage","Slipstream","Mayze"),
 IF(A4931="New Balance",CHOOSE(MOD(ROW(A4930),6)+1,"574 Core","990v6","2002R","9060","327","550"),
 IF(A4931="Reebok",CHOOSE(MOD(ROW(A4930),6)+1,"Classic Leather","Club C 85","Nano X3","Instapump Fury","Zig Kinetica","Question Mid"),"")))))</f>
        <v>Cortez</v>
      </c>
      <c r="C4931" s="3">
        <f t="shared" si="542"/>
        <v>45986</v>
      </c>
      <c r="D4931" s="4">
        <f t="shared" ref="D4931:D4994" ca="1" si="544">RANDBETWEEN(20,250)</f>
        <v>141</v>
      </c>
      <c r="E4931" s="2">
        <f t="shared" ref="E4931:E4994" ca="1" si="545">ROUND(RANDBETWEEN(1500,12000)+(RANDBETWEEN(-200,200)),2)</f>
        <v>6672</v>
      </c>
      <c r="F4931" s="2">
        <f t="shared" ref="F4931:F4994" ca="1" si="546">RANDBETWEEN(5000,35000)</f>
        <v>10679</v>
      </c>
      <c r="G4931" s="2">
        <f t="shared" ref="G4931:G4994" ca="1" si="547">RANDBETWEEN(ROUND(F4931*0.02,0),ROUND(F4931*0.08,0))</f>
        <v>337</v>
      </c>
    </row>
    <row r="4932" spans="1:7" x14ac:dyDescent="0.3">
      <c r="A4932" s="5" t="str">
        <f t="shared" si="541"/>
        <v>Adidas</v>
      </c>
      <c r="B4932" s="5" t="str">
        <f t="shared" si="543"/>
        <v>NMD S1</v>
      </c>
      <c r="C4932" s="3">
        <f t="shared" si="542"/>
        <v>45986</v>
      </c>
      <c r="D4932" s="4">
        <f t="shared" ca="1" si="544"/>
        <v>84</v>
      </c>
      <c r="E4932" s="2">
        <f t="shared" ca="1" si="545"/>
        <v>4286</v>
      </c>
      <c r="F4932" s="2">
        <f t="shared" ca="1" si="546"/>
        <v>30380</v>
      </c>
      <c r="G4932" s="2">
        <f t="shared" ca="1" si="547"/>
        <v>800</v>
      </c>
    </row>
    <row r="4933" spans="1:7" x14ac:dyDescent="0.3">
      <c r="A4933" s="5" t="str">
        <f t="shared" si="541"/>
        <v>Puma</v>
      </c>
      <c r="B4933" s="5" t="str">
        <f t="shared" si="543"/>
        <v>Suede Classic</v>
      </c>
      <c r="C4933" s="3">
        <f t="shared" si="542"/>
        <v>45986</v>
      </c>
      <c r="D4933" s="4">
        <f t="shared" ca="1" si="544"/>
        <v>213</v>
      </c>
      <c r="E4933" s="2">
        <f t="shared" ca="1" si="545"/>
        <v>4797</v>
      </c>
      <c r="F4933" s="2">
        <f t="shared" ca="1" si="546"/>
        <v>29443</v>
      </c>
      <c r="G4933" s="2">
        <f t="shared" ca="1" si="547"/>
        <v>1013</v>
      </c>
    </row>
    <row r="4934" spans="1:7" x14ac:dyDescent="0.3">
      <c r="A4934" s="5" t="str">
        <f t="shared" si="541"/>
        <v>New Balance</v>
      </c>
      <c r="B4934" s="5" t="str">
        <f t="shared" si="543"/>
        <v>990v6</v>
      </c>
      <c r="C4934" s="3">
        <f t="shared" si="542"/>
        <v>45986</v>
      </c>
      <c r="D4934" s="4">
        <f t="shared" ca="1" si="544"/>
        <v>118</v>
      </c>
      <c r="E4934" s="2">
        <f t="shared" ca="1" si="545"/>
        <v>7268</v>
      </c>
      <c r="F4934" s="2">
        <f t="shared" ca="1" si="546"/>
        <v>27492</v>
      </c>
      <c r="G4934" s="2">
        <f t="shared" ca="1" si="547"/>
        <v>1153</v>
      </c>
    </row>
    <row r="4935" spans="1:7" x14ac:dyDescent="0.3">
      <c r="A4935" s="5" t="str">
        <f t="shared" si="541"/>
        <v>Reebok</v>
      </c>
      <c r="B4935" s="5" t="str">
        <f t="shared" si="543"/>
        <v>Nano X3</v>
      </c>
      <c r="C4935" s="3">
        <f t="shared" si="542"/>
        <v>45986</v>
      </c>
      <c r="D4935" s="4">
        <f t="shared" ca="1" si="544"/>
        <v>57</v>
      </c>
      <c r="E4935" s="2">
        <f t="shared" ca="1" si="545"/>
        <v>4042</v>
      </c>
      <c r="F4935" s="2">
        <f t="shared" ca="1" si="546"/>
        <v>29403</v>
      </c>
      <c r="G4935" s="2">
        <f t="shared" ca="1" si="547"/>
        <v>2308</v>
      </c>
    </row>
    <row r="4936" spans="1:7" x14ac:dyDescent="0.3">
      <c r="A4936" s="5" t="str">
        <f t="shared" si="541"/>
        <v>Nike</v>
      </c>
      <c r="B4936" s="5" t="str">
        <f t="shared" si="543"/>
        <v>Vaporfly 3</v>
      </c>
      <c r="C4936" s="3">
        <f t="shared" si="542"/>
        <v>45986</v>
      </c>
      <c r="D4936" s="4">
        <f t="shared" ca="1" si="544"/>
        <v>138</v>
      </c>
      <c r="E4936" s="2">
        <f t="shared" ca="1" si="545"/>
        <v>11695</v>
      </c>
      <c r="F4936" s="2">
        <f t="shared" ca="1" si="546"/>
        <v>30478</v>
      </c>
      <c r="G4936" s="2">
        <f t="shared" ca="1" si="547"/>
        <v>1586</v>
      </c>
    </row>
    <row r="4937" spans="1:7" x14ac:dyDescent="0.3">
      <c r="A4937" s="5" t="str">
        <f t="shared" si="541"/>
        <v>Adidas</v>
      </c>
      <c r="B4937" s="5" t="str">
        <f t="shared" si="543"/>
        <v>Samba</v>
      </c>
      <c r="C4937" s="3">
        <f t="shared" si="542"/>
        <v>45987</v>
      </c>
      <c r="D4937" s="4">
        <f t="shared" ca="1" si="544"/>
        <v>93</v>
      </c>
      <c r="E4937" s="2">
        <f t="shared" ca="1" si="545"/>
        <v>9856</v>
      </c>
      <c r="F4937" s="2">
        <f t="shared" ca="1" si="546"/>
        <v>33273</v>
      </c>
      <c r="G4937" s="2">
        <f t="shared" ca="1" si="547"/>
        <v>1663</v>
      </c>
    </row>
    <row r="4938" spans="1:7" x14ac:dyDescent="0.3">
      <c r="A4938" s="5" t="str">
        <f t="shared" si="541"/>
        <v>Puma</v>
      </c>
      <c r="B4938" s="5" t="str">
        <f t="shared" si="543"/>
        <v>Mayze</v>
      </c>
      <c r="C4938" s="3">
        <f t="shared" si="542"/>
        <v>45987</v>
      </c>
      <c r="D4938" s="4">
        <f t="shared" ca="1" si="544"/>
        <v>159</v>
      </c>
      <c r="E4938" s="2">
        <f t="shared" ca="1" si="545"/>
        <v>5723</v>
      </c>
      <c r="F4938" s="2">
        <f t="shared" ca="1" si="546"/>
        <v>13842</v>
      </c>
      <c r="G4938" s="2">
        <f t="shared" ca="1" si="547"/>
        <v>1103</v>
      </c>
    </row>
    <row r="4939" spans="1:7" x14ac:dyDescent="0.3">
      <c r="A4939" s="5" t="str">
        <f t="shared" si="541"/>
        <v>New Balance</v>
      </c>
      <c r="B4939" s="5" t="str">
        <f t="shared" si="543"/>
        <v>574 Core</v>
      </c>
      <c r="C4939" s="3">
        <f t="shared" si="542"/>
        <v>45987</v>
      </c>
      <c r="D4939" s="4">
        <f t="shared" ca="1" si="544"/>
        <v>135</v>
      </c>
      <c r="E4939" s="2">
        <f t="shared" ca="1" si="545"/>
        <v>11285</v>
      </c>
      <c r="F4939" s="2">
        <f t="shared" ca="1" si="546"/>
        <v>8654</v>
      </c>
      <c r="G4939" s="2">
        <f t="shared" ca="1" si="547"/>
        <v>338</v>
      </c>
    </row>
    <row r="4940" spans="1:7" x14ac:dyDescent="0.3">
      <c r="A4940" s="5" t="str">
        <f t="shared" si="541"/>
        <v>Reebok</v>
      </c>
      <c r="B4940" s="5" t="str">
        <f t="shared" si="543"/>
        <v>Club C 85</v>
      </c>
      <c r="C4940" s="3">
        <f t="shared" si="542"/>
        <v>45987</v>
      </c>
      <c r="D4940" s="4">
        <f t="shared" ca="1" si="544"/>
        <v>175</v>
      </c>
      <c r="E4940" s="2">
        <f t="shared" ca="1" si="545"/>
        <v>2007</v>
      </c>
      <c r="F4940" s="2">
        <f t="shared" ca="1" si="546"/>
        <v>31129</v>
      </c>
      <c r="G4940" s="2">
        <f t="shared" ca="1" si="547"/>
        <v>1931</v>
      </c>
    </row>
    <row r="4941" spans="1:7" x14ac:dyDescent="0.3">
      <c r="A4941" s="5" t="str">
        <f t="shared" si="541"/>
        <v>Nike</v>
      </c>
      <c r="B4941" s="5" t="str">
        <f t="shared" si="543"/>
        <v>Pegasus 40</v>
      </c>
      <c r="C4941" s="3">
        <f t="shared" si="542"/>
        <v>45987</v>
      </c>
      <c r="D4941" s="4">
        <f t="shared" ca="1" si="544"/>
        <v>81</v>
      </c>
      <c r="E4941" s="2">
        <f t="shared" ca="1" si="545"/>
        <v>5113</v>
      </c>
      <c r="F4941" s="2">
        <f t="shared" ca="1" si="546"/>
        <v>5262</v>
      </c>
      <c r="G4941" s="2">
        <f t="shared" ca="1" si="547"/>
        <v>178</v>
      </c>
    </row>
    <row r="4942" spans="1:7" x14ac:dyDescent="0.3">
      <c r="A4942" s="5" t="str">
        <f t="shared" si="541"/>
        <v>Adidas</v>
      </c>
      <c r="B4942" s="5" t="str">
        <f t="shared" si="543"/>
        <v>Gazelle</v>
      </c>
      <c r="C4942" s="3">
        <f t="shared" si="542"/>
        <v>45987</v>
      </c>
      <c r="D4942" s="4">
        <f t="shared" ca="1" si="544"/>
        <v>47</v>
      </c>
      <c r="E4942" s="2">
        <f t="shared" ca="1" si="545"/>
        <v>3733</v>
      </c>
      <c r="F4942" s="2">
        <f t="shared" ca="1" si="546"/>
        <v>5350</v>
      </c>
      <c r="G4942" s="2">
        <f t="shared" ca="1" si="547"/>
        <v>179</v>
      </c>
    </row>
    <row r="4943" spans="1:7" x14ac:dyDescent="0.3">
      <c r="A4943" s="5" t="str">
        <f t="shared" si="541"/>
        <v>Puma</v>
      </c>
      <c r="B4943" s="5" t="str">
        <f t="shared" si="543"/>
        <v>Slipstream</v>
      </c>
      <c r="C4943" s="3">
        <f t="shared" si="542"/>
        <v>45987</v>
      </c>
      <c r="D4943" s="4">
        <f t="shared" ca="1" si="544"/>
        <v>150</v>
      </c>
      <c r="E4943" s="2">
        <f t="shared" ca="1" si="545"/>
        <v>3318</v>
      </c>
      <c r="F4943" s="2">
        <f t="shared" ca="1" si="546"/>
        <v>24713</v>
      </c>
      <c r="G4943" s="2">
        <f t="shared" ca="1" si="547"/>
        <v>983</v>
      </c>
    </row>
    <row r="4944" spans="1:7" x14ac:dyDescent="0.3">
      <c r="A4944" s="5" t="str">
        <f t="shared" si="541"/>
        <v>New Balance</v>
      </c>
      <c r="B4944" s="5" t="str">
        <f t="shared" si="543"/>
        <v>550</v>
      </c>
      <c r="C4944" s="3">
        <f t="shared" si="542"/>
        <v>45987</v>
      </c>
      <c r="D4944" s="4">
        <f t="shared" ca="1" si="544"/>
        <v>118</v>
      </c>
      <c r="E4944" s="2">
        <f t="shared" ca="1" si="545"/>
        <v>6219</v>
      </c>
      <c r="F4944" s="2">
        <f t="shared" ca="1" si="546"/>
        <v>34205</v>
      </c>
      <c r="G4944" s="2">
        <f t="shared" ca="1" si="547"/>
        <v>2053</v>
      </c>
    </row>
    <row r="4945" spans="1:7" x14ac:dyDescent="0.3">
      <c r="A4945" s="5" t="str">
        <f t="shared" si="541"/>
        <v>Reebok</v>
      </c>
      <c r="B4945" s="5" t="str">
        <f t="shared" si="543"/>
        <v>Classic Leather</v>
      </c>
      <c r="C4945" s="3">
        <f t="shared" si="542"/>
        <v>45987</v>
      </c>
      <c r="D4945" s="4">
        <f t="shared" ca="1" si="544"/>
        <v>198</v>
      </c>
      <c r="E4945" s="2">
        <f t="shared" ca="1" si="545"/>
        <v>6738</v>
      </c>
      <c r="F4945" s="2">
        <f t="shared" ca="1" si="546"/>
        <v>6406</v>
      </c>
      <c r="G4945" s="2">
        <f t="shared" ca="1" si="547"/>
        <v>462</v>
      </c>
    </row>
    <row r="4946" spans="1:7" x14ac:dyDescent="0.3">
      <c r="A4946" s="5" t="str">
        <f t="shared" si="541"/>
        <v>Nike</v>
      </c>
      <c r="B4946" s="5" t="str">
        <f t="shared" si="543"/>
        <v>Air Force 1</v>
      </c>
      <c r="C4946" s="3">
        <f t="shared" si="542"/>
        <v>45987</v>
      </c>
      <c r="D4946" s="4">
        <f t="shared" ca="1" si="544"/>
        <v>133</v>
      </c>
      <c r="E4946" s="2">
        <f t="shared" ca="1" si="545"/>
        <v>2567</v>
      </c>
      <c r="F4946" s="2">
        <f t="shared" ca="1" si="546"/>
        <v>27794</v>
      </c>
      <c r="G4946" s="2">
        <f t="shared" ca="1" si="547"/>
        <v>1307</v>
      </c>
    </row>
    <row r="4947" spans="1:7" x14ac:dyDescent="0.3">
      <c r="A4947" s="5" t="str">
        <f t="shared" si="541"/>
        <v>Adidas</v>
      </c>
      <c r="B4947" s="5" t="str">
        <f t="shared" si="543"/>
        <v>Superstar</v>
      </c>
      <c r="C4947" s="3">
        <f t="shared" si="542"/>
        <v>45987</v>
      </c>
      <c r="D4947" s="4">
        <f t="shared" ca="1" si="544"/>
        <v>74</v>
      </c>
      <c r="E4947" s="2">
        <f t="shared" ca="1" si="545"/>
        <v>1720</v>
      </c>
      <c r="F4947" s="2">
        <f t="shared" ca="1" si="546"/>
        <v>28972</v>
      </c>
      <c r="G4947" s="2">
        <f t="shared" ca="1" si="547"/>
        <v>2002</v>
      </c>
    </row>
    <row r="4948" spans="1:7" x14ac:dyDescent="0.3">
      <c r="A4948" s="5" t="str">
        <f t="shared" si="541"/>
        <v>Puma</v>
      </c>
      <c r="B4948" s="5" t="str">
        <f t="shared" si="543"/>
        <v>Rider Vintage</v>
      </c>
      <c r="C4948" s="3">
        <f t="shared" si="542"/>
        <v>45987</v>
      </c>
      <c r="D4948" s="4">
        <f t="shared" ca="1" si="544"/>
        <v>217</v>
      </c>
      <c r="E4948" s="2">
        <f t="shared" ca="1" si="545"/>
        <v>7076</v>
      </c>
      <c r="F4948" s="2">
        <f t="shared" ca="1" si="546"/>
        <v>28901</v>
      </c>
      <c r="G4948" s="2">
        <f t="shared" ca="1" si="547"/>
        <v>2278</v>
      </c>
    </row>
    <row r="4949" spans="1:7" x14ac:dyDescent="0.3">
      <c r="A4949" s="5" t="str">
        <f t="shared" si="541"/>
        <v>New Balance</v>
      </c>
      <c r="B4949" s="5" t="str">
        <f t="shared" si="543"/>
        <v>327</v>
      </c>
      <c r="C4949" s="3">
        <f t="shared" si="542"/>
        <v>45987</v>
      </c>
      <c r="D4949" s="4">
        <f t="shared" ca="1" si="544"/>
        <v>178</v>
      </c>
      <c r="E4949" s="2">
        <f t="shared" ca="1" si="545"/>
        <v>8809</v>
      </c>
      <c r="F4949" s="2">
        <f t="shared" ca="1" si="546"/>
        <v>12397</v>
      </c>
      <c r="G4949" s="2">
        <f t="shared" ca="1" si="547"/>
        <v>927</v>
      </c>
    </row>
    <row r="4950" spans="1:7" x14ac:dyDescent="0.3">
      <c r="A4950" s="5" t="str">
        <f t="shared" si="541"/>
        <v>Reebok</v>
      </c>
      <c r="B4950" s="5" t="str">
        <f t="shared" si="543"/>
        <v>Question Mid</v>
      </c>
      <c r="C4950" s="3">
        <f t="shared" si="542"/>
        <v>45987</v>
      </c>
      <c r="D4950" s="4">
        <f t="shared" ca="1" si="544"/>
        <v>196</v>
      </c>
      <c r="E4950" s="2">
        <f t="shared" ca="1" si="545"/>
        <v>11616</v>
      </c>
      <c r="F4950" s="2">
        <f t="shared" ca="1" si="546"/>
        <v>34861</v>
      </c>
      <c r="G4950" s="2">
        <f t="shared" ca="1" si="547"/>
        <v>1105</v>
      </c>
    </row>
    <row r="4951" spans="1:7" x14ac:dyDescent="0.3">
      <c r="A4951" s="5" t="str">
        <f t="shared" si="541"/>
        <v>Nike</v>
      </c>
      <c r="B4951" s="5" t="str">
        <f t="shared" si="543"/>
        <v>Air Max 270</v>
      </c>
      <c r="C4951" s="3">
        <f t="shared" si="542"/>
        <v>45987</v>
      </c>
      <c r="D4951" s="4">
        <f t="shared" ca="1" si="544"/>
        <v>137</v>
      </c>
      <c r="E4951" s="2">
        <f t="shared" ca="1" si="545"/>
        <v>7369</v>
      </c>
      <c r="F4951" s="2">
        <f t="shared" ca="1" si="546"/>
        <v>5295</v>
      </c>
      <c r="G4951" s="2">
        <f t="shared" ca="1" si="547"/>
        <v>383</v>
      </c>
    </row>
    <row r="4952" spans="1:7" x14ac:dyDescent="0.3">
      <c r="A4952" s="5" t="str">
        <f t="shared" si="541"/>
        <v>Adidas</v>
      </c>
      <c r="B4952" s="5" t="str">
        <f t="shared" si="543"/>
        <v>Stan Smith</v>
      </c>
      <c r="C4952" s="3">
        <f t="shared" si="542"/>
        <v>45988</v>
      </c>
      <c r="D4952" s="4">
        <f t="shared" ca="1" si="544"/>
        <v>57</v>
      </c>
      <c r="E4952" s="2">
        <f t="shared" ca="1" si="545"/>
        <v>4956</v>
      </c>
      <c r="F4952" s="2">
        <f t="shared" ca="1" si="546"/>
        <v>9667</v>
      </c>
      <c r="G4952" s="2">
        <f t="shared" ca="1" si="547"/>
        <v>307</v>
      </c>
    </row>
    <row r="4953" spans="1:7" x14ac:dyDescent="0.3">
      <c r="A4953" s="5" t="str">
        <f t="shared" si="541"/>
        <v>Puma</v>
      </c>
      <c r="B4953" s="5" t="str">
        <f t="shared" si="543"/>
        <v>Cali Dream</v>
      </c>
      <c r="C4953" s="3">
        <f t="shared" si="542"/>
        <v>45988</v>
      </c>
      <c r="D4953" s="4">
        <f t="shared" ca="1" si="544"/>
        <v>55</v>
      </c>
      <c r="E4953" s="2">
        <f t="shared" ca="1" si="545"/>
        <v>10532</v>
      </c>
      <c r="F4953" s="2">
        <f t="shared" ca="1" si="546"/>
        <v>27844</v>
      </c>
      <c r="G4953" s="2">
        <f t="shared" ca="1" si="547"/>
        <v>1498</v>
      </c>
    </row>
    <row r="4954" spans="1:7" x14ac:dyDescent="0.3">
      <c r="A4954" s="5" t="str">
        <f t="shared" si="541"/>
        <v>New Balance</v>
      </c>
      <c r="B4954" s="5" t="str">
        <f t="shared" si="543"/>
        <v>9060</v>
      </c>
      <c r="C4954" s="3">
        <f t="shared" si="542"/>
        <v>45988</v>
      </c>
      <c r="D4954" s="4">
        <f t="shared" ca="1" si="544"/>
        <v>156</v>
      </c>
      <c r="E4954" s="2">
        <f t="shared" ca="1" si="545"/>
        <v>6303</v>
      </c>
      <c r="F4954" s="2">
        <f t="shared" ca="1" si="546"/>
        <v>27454</v>
      </c>
      <c r="G4954" s="2">
        <f t="shared" ca="1" si="547"/>
        <v>2181</v>
      </c>
    </row>
    <row r="4955" spans="1:7" x14ac:dyDescent="0.3">
      <c r="A4955" s="5" t="str">
        <f t="shared" si="541"/>
        <v>Reebok</v>
      </c>
      <c r="B4955" s="5" t="str">
        <f t="shared" si="543"/>
        <v>Zig Kinetica</v>
      </c>
      <c r="C4955" s="3">
        <f t="shared" si="542"/>
        <v>45988</v>
      </c>
      <c r="D4955" s="4">
        <f t="shared" ca="1" si="544"/>
        <v>121</v>
      </c>
      <c r="E4955" s="2">
        <f t="shared" ca="1" si="545"/>
        <v>8221</v>
      </c>
      <c r="F4955" s="2">
        <f t="shared" ca="1" si="546"/>
        <v>10621</v>
      </c>
      <c r="G4955" s="2">
        <f t="shared" ca="1" si="547"/>
        <v>412</v>
      </c>
    </row>
    <row r="4956" spans="1:7" x14ac:dyDescent="0.3">
      <c r="A4956" s="5" t="str">
        <f t="shared" si="541"/>
        <v>Nike</v>
      </c>
      <c r="B4956" s="5" t="str">
        <f t="shared" si="543"/>
        <v>Jordan 1</v>
      </c>
      <c r="C4956" s="3">
        <f t="shared" si="542"/>
        <v>45988</v>
      </c>
      <c r="D4956" s="4">
        <f t="shared" ca="1" si="544"/>
        <v>186</v>
      </c>
      <c r="E4956" s="2">
        <f t="shared" ca="1" si="545"/>
        <v>2161</v>
      </c>
      <c r="F4956" s="2">
        <f t="shared" ca="1" si="546"/>
        <v>9116</v>
      </c>
      <c r="G4956" s="2">
        <f t="shared" ca="1" si="547"/>
        <v>282</v>
      </c>
    </row>
    <row r="4957" spans="1:7" x14ac:dyDescent="0.3">
      <c r="A4957" s="5" t="str">
        <f t="shared" si="541"/>
        <v>Adidas</v>
      </c>
      <c r="B4957" s="5" t="str">
        <f t="shared" si="543"/>
        <v>Ultraboost 23</v>
      </c>
      <c r="C4957" s="3">
        <f t="shared" si="542"/>
        <v>45988</v>
      </c>
      <c r="D4957" s="4">
        <f t="shared" ca="1" si="544"/>
        <v>30</v>
      </c>
      <c r="E4957" s="2">
        <f t="shared" ca="1" si="545"/>
        <v>9522</v>
      </c>
      <c r="F4957" s="2">
        <f t="shared" ca="1" si="546"/>
        <v>27758</v>
      </c>
      <c r="G4957" s="2">
        <f t="shared" ca="1" si="547"/>
        <v>1589</v>
      </c>
    </row>
    <row r="4958" spans="1:7" x14ac:dyDescent="0.3">
      <c r="A4958" s="5" t="str">
        <f t="shared" si="541"/>
        <v>Puma</v>
      </c>
      <c r="B4958" s="5" t="str">
        <f t="shared" si="543"/>
        <v>RS-X</v>
      </c>
      <c r="C4958" s="3">
        <f t="shared" si="542"/>
        <v>45988</v>
      </c>
      <c r="D4958" s="4">
        <f t="shared" ca="1" si="544"/>
        <v>128</v>
      </c>
      <c r="E4958" s="2">
        <f t="shared" ca="1" si="545"/>
        <v>9170</v>
      </c>
      <c r="F4958" s="2">
        <f t="shared" ca="1" si="546"/>
        <v>18176</v>
      </c>
      <c r="G4958" s="2">
        <f t="shared" ca="1" si="547"/>
        <v>757</v>
      </c>
    </row>
    <row r="4959" spans="1:7" x14ac:dyDescent="0.3">
      <c r="A4959" s="5" t="str">
        <f t="shared" si="541"/>
        <v>New Balance</v>
      </c>
      <c r="B4959" s="5" t="str">
        <f t="shared" si="543"/>
        <v>2002R</v>
      </c>
      <c r="C4959" s="3">
        <f t="shared" si="542"/>
        <v>45988</v>
      </c>
      <c r="D4959" s="4">
        <f t="shared" ca="1" si="544"/>
        <v>223</v>
      </c>
      <c r="E4959" s="2">
        <f t="shared" ca="1" si="545"/>
        <v>11431</v>
      </c>
      <c r="F4959" s="2">
        <f t="shared" ca="1" si="546"/>
        <v>28647</v>
      </c>
      <c r="G4959" s="2">
        <f t="shared" ca="1" si="547"/>
        <v>2260</v>
      </c>
    </row>
    <row r="4960" spans="1:7" x14ac:dyDescent="0.3">
      <c r="A4960" s="5" t="str">
        <f t="shared" si="541"/>
        <v>Reebok</v>
      </c>
      <c r="B4960" s="5" t="str">
        <f t="shared" si="543"/>
        <v>Instapump Fury</v>
      </c>
      <c r="C4960" s="3">
        <f t="shared" si="542"/>
        <v>45988</v>
      </c>
      <c r="D4960" s="4">
        <f t="shared" ca="1" si="544"/>
        <v>248</v>
      </c>
      <c r="E4960" s="2">
        <f t="shared" ca="1" si="545"/>
        <v>8696</v>
      </c>
      <c r="F4960" s="2">
        <f t="shared" ca="1" si="546"/>
        <v>23603</v>
      </c>
      <c r="G4960" s="2">
        <f t="shared" ca="1" si="547"/>
        <v>490</v>
      </c>
    </row>
    <row r="4961" spans="1:7" x14ac:dyDescent="0.3">
      <c r="A4961" s="5" t="str">
        <f t="shared" si="541"/>
        <v>Nike</v>
      </c>
      <c r="B4961" s="5" t="str">
        <f t="shared" si="543"/>
        <v>Cortez</v>
      </c>
      <c r="C4961" s="3">
        <f t="shared" si="542"/>
        <v>45988</v>
      </c>
      <c r="D4961" s="4">
        <f t="shared" ca="1" si="544"/>
        <v>138</v>
      </c>
      <c r="E4961" s="2">
        <f t="shared" ca="1" si="545"/>
        <v>2832</v>
      </c>
      <c r="F4961" s="2">
        <f t="shared" ca="1" si="546"/>
        <v>28182</v>
      </c>
      <c r="G4961" s="2">
        <f t="shared" ca="1" si="547"/>
        <v>804</v>
      </c>
    </row>
    <row r="4962" spans="1:7" x14ac:dyDescent="0.3">
      <c r="A4962" s="5" t="str">
        <f t="shared" si="541"/>
        <v>Adidas</v>
      </c>
      <c r="B4962" s="5" t="str">
        <f t="shared" si="543"/>
        <v>NMD S1</v>
      </c>
      <c r="C4962" s="3">
        <f t="shared" si="542"/>
        <v>45988</v>
      </c>
      <c r="D4962" s="4">
        <f t="shared" ca="1" si="544"/>
        <v>47</v>
      </c>
      <c r="E4962" s="2">
        <f t="shared" ca="1" si="545"/>
        <v>6222</v>
      </c>
      <c r="F4962" s="2">
        <f t="shared" ca="1" si="546"/>
        <v>29639</v>
      </c>
      <c r="G4962" s="2">
        <f t="shared" ca="1" si="547"/>
        <v>1944</v>
      </c>
    </row>
    <row r="4963" spans="1:7" x14ac:dyDescent="0.3">
      <c r="A4963" s="5" t="str">
        <f t="shared" si="541"/>
        <v>Puma</v>
      </c>
      <c r="B4963" s="5" t="str">
        <f t="shared" si="543"/>
        <v>Suede Classic</v>
      </c>
      <c r="C4963" s="3">
        <f t="shared" si="542"/>
        <v>45988</v>
      </c>
      <c r="D4963" s="4">
        <f t="shared" ca="1" si="544"/>
        <v>231</v>
      </c>
      <c r="E4963" s="2">
        <f t="shared" ca="1" si="545"/>
        <v>7259</v>
      </c>
      <c r="F4963" s="2">
        <f t="shared" ca="1" si="546"/>
        <v>23667</v>
      </c>
      <c r="G4963" s="2">
        <f t="shared" ca="1" si="547"/>
        <v>1742</v>
      </c>
    </row>
    <row r="4964" spans="1:7" x14ac:dyDescent="0.3">
      <c r="A4964" s="5" t="str">
        <f t="shared" si="541"/>
        <v>New Balance</v>
      </c>
      <c r="B4964" s="5" t="str">
        <f t="shared" si="543"/>
        <v>990v6</v>
      </c>
      <c r="C4964" s="3">
        <f t="shared" si="542"/>
        <v>45988</v>
      </c>
      <c r="D4964" s="4">
        <f t="shared" ca="1" si="544"/>
        <v>236</v>
      </c>
      <c r="E4964" s="2">
        <f t="shared" ca="1" si="545"/>
        <v>6969</v>
      </c>
      <c r="F4964" s="2">
        <f t="shared" ca="1" si="546"/>
        <v>11421</v>
      </c>
      <c r="G4964" s="2">
        <f t="shared" ca="1" si="547"/>
        <v>868</v>
      </c>
    </row>
    <row r="4965" spans="1:7" x14ac:dyDescent="0.3">
      <c r="A4965" s="5" t="str">
        <f t="shared" si="541"/>
        <v>Reebok</v>
      </c>
      <c r="B4965" s="5" t="str">
        <f t="shared" si="543"/>
        <v>Nano X3</v>
      </c>
      <c r="C4965" s="3">
        <f t="shared" si="542"/>
        <v>45988</v>
      </c>
      <c r="D4965" s="4">
        <f t="shared" ca="1" si="544"/>
        <v>96</v>
      </c>
      <c r="E4965" s="2">
        <f t="shared" ca="1" si="545"/>
        <v>2745</v>
      </c>
      <c r="F4965" s="2">
        <f t="shared" ca="1" si="546"/>
        <v>29054</v>
      </c>
      <c r="G4965" s="2">
        <f t="shared" ca="1" si="547"/>
        <v>2047</v>
      </c>
    </row>
    <row r="4966" spans="1:7" x14ac:dyDescent="0.3">
      <c r="A4966" s="5" t="str">
        <f t="shared" si="541"/>
        <v>Nike</v>
      </c>
      <c r="B4966" s="5" t="str">
        <f t="shared" si="543"/>
        <v>Vaporfly 3</v>
      </c>
      <c r="C4966" s="3">
        <f t="shared" si="542"/>
        <v>45988</v>
      </c>
      <c r="D4966" s="4">
        <f t="shared" ca="1" si="544"/>
        <v>42</v>
      </c>
      <c r="E4966" s="2">
        <f t="shared" ca="1" si="545"/>
        <v>2971</v>
      </c>
      <c r="F4966" s="2">
        <f t="shared" ca="1" si="546"/>
        <v>28058</v>
      </c>
      <c r="G4966" s="2">
        <f t="shared" ca="1" si="547"/>
        <v>1219</v>
      </c>
    </row>
    <row r="4967" spans="1:7" x14ac:dyDescent="0.3">
      <c r="A4967" s="5" t="str">
        <f t="shared" si="541"/>
        <v>Adidas</v>
      </c>
      <c r="B4967" s="5" t="str">
        <f t="shared" si="543"/>
        <v>Samba</v>
      </c>
      <c r="C4967" s="3">
        <f t="shared" si="542"/>
        <v>45989</v>
      </c>
      <c r="D4967" s="4">
        <f t="shared" ca="1" si="544"/>
        <v>154</v>
      </c>
      <c r="E4967" s="2">
        <f t="shared" ca="1" si="545"/>
        <v>4373</v>
      </c>
      <c r="F4967" s="2">
        <f t="shared" ca="1" si="546"/>
        <v>15396</v>
      </c>
      <c r="G4967" s="2">
        <f t="shared" ca="1" si="547"/>
        <v>836</v>
      </c>
    </row>
    <row r="4968" spans="1:7" x14ac:dyDescent="0.3">
      <c r="A4968" s="5" t="str">
        <f t="shared" si="541"/>
        <v>Puma</v>
      </c>
      <c r="B4968" s="5" t="str">
        <f t="shared" si="543"/>
        <v>Mayze</v>
      </c>
      <c r="C4968" s="3">
        <f t="shared" si="542"/>
        <v>45989</v>
      </c>
      <c r="D4968" s="4">
        <f t="shared" ca="1" si="544"/>
        <v>26</v>
      </c>
      <c r="E4968" s="2">
        <f t="shared" ca="1" si="545"/>
        <v>7416</v>
      </c>
      <c r="F4968" s="2">
        <f t="shared" ca="1" si="546"/>
        <v>30824</v>
      </c>
      <c r="G4968" s="2">
        <f t="shared" ca="1" si="547"/>
        <v>919</v>
      </c>
    </row>
    <row r="4969" spans="1:7" x14ac:dyDescent="0.3">
      <c r="A4969" s="5" t="str">
        <f t="shared" si="541"/>
        <v>New Balance</v>
      </c>
      <c r="B4969" s="5" t="str">
        <f t="shared" si="543"/>
        <v>574 Core</v>
      </c>
      <c r="C4969" s="3">
        <f t="shared" si="542"/>
        <v>45989</v>
      </c>
      <c r="D4969" s="4">
        <f t="shared" ca="1" si="544"/>
        <v>53</v>
      </c>
      <c r="E4969" s="2">
        <f t="shared" ca="1" si="545"/>
        <v>11264</v>
      </c>
      <c r="F4969" s="2">
        <f t="shared" ca="1" si="546"/>
        <v>20591</v>
      </c>
      <c r="G4969" s="2">
        <f t="shared" ca="1" si="547"/>
        <v>1082</v>
      </c>
    </row>
    <row r="4970" spans="1:7" x14ac:dyDescent="0.3">
      <c r="A4970" s="5" t="str">
        <f t="shared" si="541"/>
        <v>Reebok</v>
      </c>
      <c r="B4970" s="5" t="str">
        <f t="shared" si="543"/>
        <v>Club C 85</v>
      </c>
      <c r="C4970" s="3">
        <f t="shared" si="542"/>
        <v>45989</v>
      </c>
      <c r="D4970" s="4">
        <f t="shared" ca="1" si="544"/>
        <v>237</v>
      </c>
      <c r="E4970" s="2">
        <f t="shared" ca="1" si="545"/>
        <v>4195</v>
      </c>
      <c r="F4970" s="2">
        <f t="shared" ca="1" si="546"/>
        <v>14910</v>
      </c>
      <c r="G4970" s="2">
        <f t="shared" ca="1" si="547"/>
        <v>806</v>
      </c>
    </row>
    <row r="4971" spans="1:7" x14ac:dyDescent="0.3">
      <c r="A4971" s="5" t="str">
        <f t="shared" ref="A4971:A5034" si="548">CHOOSE(MOD(ROW(A4970),5)+1,"Nike","Adidas","Puma","New Balance","Reebok")</f>
        <v>Nike</v>
      </c>
      <c r="B4971" s="5" t="str">
        <f t="shared" si="543"/>
        <v>Pegasus 40</v>
      </c>
      <c r="C4971" s="3">
        <f t="shared" ref="C4971:C5034" si="549">DATE(2025,1,1)+INT((ROW(A4971)-2)/15)</f>
        <v>45989</v>
      </c>
      <c r="D4971" s="4">
        <f t="shared" ca="1" si="544"/>
        <v>202</v>
      </c>
      <c r="E4971" s="2">
        <f t="shared" ca="1" si="545"/>
        <v>9436</v>
      </c>
      <c r="F4971" s="2">
        <f t="shared" ca="1" si="546"/>
        <v>20007</v>
      </c>
      <c r="G4971" s="2">
        <f t="shared" ca="1" si="547"/>
        <v>820</v>
      </c>
    </row>
    <row r="4972" spans="1:7" x14ac:dyDescent="0.3">
      <c r="A4972" s="5" t="str">
        <f t="shared" si="548"/>
        <v>Adidas</v>
      </c>
      <c r="B4972" s="5" t="str">
        <f t="shared" si="543"/>
        <v>Gazelle</v>
      </c>
      <c r="C4972" s="3">
        <f t="shared" si="549"/>
        <v>45989</v>
      </c>
      <c r="D4972" s="4">
        <f t="shared" ca="1" si="544"/>
        <v>210</v>
      </c>
      <c r="E4972" s="2">
        <f t="shared" ca="1" si="545"/>
        <v>11558</v>
      </c>
      <c r="F4972" s="2">
        <f t="shared" ca="1" si="546"/>
        <v>10559</v>
      </c>
      <c r="G4972" s="2">
        <f t="shared" ca="1" si="547"/>
        <v>444</v>
      </c>
    </row>
    <row r="4973" spans="1:7" x14ac:dyDescent="0.3">
      <c r="A4973" s="5" t="str">
        <f t="shared" si="548"/>
        <v>Puma</v>
      </c>
      <c r="B4973" s="5" t="str">
        <f t="shared" si="543"/>
        <v>Slipstream</v>
      </c>
      <c r="C4973" s="3">
        <f t="shared" si="549"/>
        <v>45989</v>
      </c>
      <c r="D4973" s="4">
        <f t="shared" ca="1" si="544"/>
        <v>69</v>
      </c>
      <c r="E4973" s="2">
        <f t="shared" ca="1" si="545"/>
        <v>6400</v>
      </c>
      <c r="F4973" s="2">
        <f t="shared" ca="1" si="546"/>
        <v>10554</v>
      </c>
      <c r="G4973" s="2">
        <f t="shared" ca="1" si="547"/>
        <v>482</v>
      </c>
    </row>
    <row r="4974" spans="1:7" x14ac:dyDescent="0.3">
      <c r="A4974" s="5" t="str">
        <f t="shared" si="548"/>
        <v>New Balance</v>
      </c>
      <c r="B4974" s="5" t="str">
        <f t="shared" si="543"/>
        <v>550</v>
      </c>
      <c r="C4974" s="3">
        <f t="shared" si="549"/>
        <v>45989</v>
      </c>
      <c r="D4974" s="4">
        <f t="shared" ca="1" si="544"/>
        <v>96</v>
      </c>
      <c r="E4974" s="2">
        <f t="shared" ca="1" si="545"/>
        <v>2759</v>
      </c>
      <c r="F4974" s="2">
        <f t="shared" ca="1" si="546"/>
        <v>21302</v>
      </c>
      <c r="G4974" s="2">
        <f t="shared" ca="1" si="547"/>
        <v>656</v>
      </c>
    </row>
    <row r="4975" spans="1:7" x14ac:dyDescent="0.3">
      <c r="A4975" s="5" t="str">
        <f t="shared" si="548"/>
        <v>Reebok</v>
      </c>
      <c r="B4975" s="5" t="str">
        <f t="shared" si="543"/>
        <v>Classic Leather</v>
      </c>
      <c r="C4975" s="3">
        <f t="shared" si="549"/>
        <v>45989</v>
      </c>
      <c r="D4975" s="4">
        <f t="shared" ca="1" si="544"/>
        <v>231</v>
      </c>
      <c r="E4975" s="2">
        <f t="shared" ca="1" si="545"/>
        <v>10349</v>
      </c>
      <c r="F4975" s="2">
        <f t="shared" ca="1" si="546"/>
        <v>13338</v>
      </c>
      <c r="G4975" s="2">
        <f t="shared" ca="1" si="547"/>
        <v>774</v>
      </c>
    </row>
    <row r="4976" spans="1:7" x14ac:dyDescent="0.3">
      <c r="A4976" s="5" t="str">
        <f t="shared" si="548"/>
        <v>Nike</v>
      </c>
      <c r="B4976" s="5" t="str">
        <f t="shared" si="543"/>
        <v>Air Force 1</v>
      </c>
      <c r="C4976" s="3">
        <f t="shared" si="549"/>
        <v>45989</v>
      </c>
      <c r="D4976" s="4">
        <f t="shared" ca="1" si="544"/>
        <v>125</v>
      </c>
      <c r="E4976" s="2">
        <f t="shared" ca="1" si="545"/>
        <v>5694</v>
      </c>
      <c r="F4976" s="2">
        <f t="shared" ca="1" si="546"/>
        <v>21521</v>
      </c>
      <c r="G4976" s="2">
        <f t="shared" ca="1" si="547"/>
        <v>1511</v>
      </c>
    </row>
    <row r="4977" spans="1:7" x14ac:dyDescent="0.3">
      <c r="A4977" s="5" t="str">
        <f t="shared" si="548"/>
        <v>Adidas</v>
      </c>
      <c r="B4977" s="5" t="str">
        <f t="shared" si="543"/>
        <v>Superstar</v>
      </c>
      <c r="C4977" s="3">
        <f t="shared" si="549"/>
        <v>45989</v>
      </c>
      <c r="D4977" s="4">
        <f t="shared" ca="1" si="544"/>
        <v>206</v>
      </c>
      <c r="E4977" s="2">
        <f t="shared" ca="1" si="545"/>
        <v>9800</v>
      </c>
      <c r="F4977" s="2">
        <f t="shared" ca="1" si="546"/>
        <v>25097</v>
      </c>
      <c r="G4977" s="2">
        <f t="shared" ca="1" si="547"/>
        <v>647</v>
      </c>
    </row>
    <row r="4978" spans="1:7" x14ac:dyDescent="0.3">
      <c r="A4978" s="5" t="str">
        <f t="shared" si="548"/>
        <v>Puma</v>
      </c>
      <c r="B4978" s="5" t="str">
        <f t="shared" si="543"/>
        <v>Rider Vintage</v>
      </c>
      <c r="C4978" s="3">
        <f t="shared" si="549"/>
        <v>45989</v>
      </c>
      <c r="D4978" s="4">
        <f t="shared" ca="1" si="544"/>
        <v>173</v>
      </c>
      <c r="E4978" s="2">
        <f t="shared" ca="1" si="545"/>
        <v>8829</v>
      </c>
      <c r="F4978" s="2">
        <f t="shared" ca="1" si="546"/>
        <v>34992</v>
      </c>
      <c r="G4978" s="2">
        <f t="shared" ca="1" si="547"/>
        <v>1717</v>
      </c>
    </row>
    <row r="4979" spans="1:7" x14ac:dyDescent="0.3">
      <c r="A4979" s="5" t="str">
        <f t="shared" si="548"/>
        <v>New Balance</v>
      </c>
      <c r="B4979" s="5" t="str">
        <f t="shared" si="543"/>
        <v>327</v>
      </c>
      <c r="C4979" s="3">
        <f t="shared" si="549"/>
        <v>45989</v>
      </c>
      <c r="D4979" s="4">
        <f t="shared" ca="1" si="544"/>
        <v>234</v>
      </c>
      <c r="E4979" s="2">
        <f t="shared" ca="1" si="545"/>
        <v>2220</v>
      </c>
      <c r="F4979" s="2">
        <f t="shared" ca="1" si="546"/>
        <v>26300</v>
      </c>
      <c r="G4979" s="2">
        <f t="shared" ca="1" si="547"/>
        <v>1747</v>
      </c>
    </row>
    <row r="4980" spans="1:7" x14ac:dyDescent="0.3">
      <c r="A4980" s="5" t="str">
        <f t="shared" si="548"/>
        <v>Reebok</v>
      </c>
      <c r="B4980" s="5" t="str">
        <f t="shared" si="543"/>
        <v>Question Mid</v>
      </c>
      <c r="C4980" s="3">
        <f t="shared" si="549"/>
        <v>45989</v>
      </c>
      <c r="D4980" s="4">
        <f t="shared" ca="1" si="544"/>
        <v>160</v>
      </c>
      <c r="E4980" s="2">
        <f t="shared" ca="1" si="545"/>
        <v>11972</v>
      </c>
      <c r="F4980" s="2">
        <f t="shared" ca="1" si="546"/>
        <v>8599</v>
      </c>
      <c r="G4980" s="2">
        <f t="shared" ca="1" si="547"/>
        <v>318</v>
      </c>
    </row>
    <row r="4981" spans="1:7" x14ac:dyDescent="0.3">
      <c r="A4981" s="5" t="str">
        <f t="shared" si="548"/>
        <v>Nike</v>
      </c>
      <c r="B4981" s="5" t="str">
        <f t="shared" si="543"/>
        <v>Air Max 270</v>
      </c>
      <c r="C4981" s="3">
        <f t="shared" si="549"/>
        <v>45989</v>
      </c>
      <c r="D4981" s="4">
        <f t="shared" ca="1" si="544"/>
        <v>138</v>
      </c>
      <c r="E4981" s="2">
        <f t="shared" ca="1" si="545"/>
        <v>1410</v>
      </c>
      <c r="F4981" s="2">
        <f t="shared" ca="1" si="546"/>
        <v>6690</v>
      </c>
      <c r="G4981" s="2">
        <f t="shared" ca="1" si="547"/>
        <v>162</v>
      </c>
    </row>
    <row r="4982" spans="1:7" x14ac:dyDescent="0.3">
      <c r="A4982" s="5" t="str">
        <f t="shared" si="548"/>
        <v>Adidas</v>
      </c>
      <c r="B4982" s="5" t="str">
        <f t="shared" si="543"/>
        <v>Stan Smith</v>
      </c>
      <c r="C4982" s="3">
        <f t="shared" si="549"/>
        <v>45990</v>
      </c>
      <c r="D4982" s="4">
        <f t="shared" ca="1" si="544"/>
        <v>191</v>
      </c>
      <c r="E4982" s="2">
        <f t="shared" ca="1" si="545"/>
        <v>7207</v>
      </c>
      <c r="F4982" s="2">
        <f t="shared" ca="1" si="546"/>
        <v>8319</v>
      </c>
      <c r="G4982" s="2">
        <f t="shared" ca="1" si="547"/>
        <v>453</v>
      </c>
    </row>
    <row r="4983" spans="1:7" x14ac:dyDescent="0.3">
      <c r="A4983" s="5" t="str">
        <f t="shared" si="548"/>
        <v>Puma</v>
      </c>
      <c r="B4983" s="5" t="str">
        <f t="shared" si="543"/>
        <v>Cali Dream</v>
      </c>
      <c r="C4983" s="3">
        <f t="shared" si="549"/>
        <v>45990</v>
      </c>
      <c r="D4983" s="4">
        <f t="shared" ca="1" si="544"/>
        <v>81</v>
      </c>
      <c r="E4983" s="2">
        <f t="shared" ca="1" si="545"/>
        <v>5808</v>
      </c>
      <c r="F4983" s="2">
        <f t="shared" ca="1" si="546"/>
        <v>30778</v>
      </c>
      <c r="G4983" s="2">
        <f t="shared" ca="1" si="547"/>
        <v>2197</v>
      </c>
    </row>
    <row r="4984" spans="1:7" x14ac:dyDescent="0.3">
      <c r="A4984" s="5" t="str">
        <f t="shared" si="548"/>
        <v>New Balance</v>
      </c>
      <c r="B4984" s="5" t="str">
        <f t="shared" si="543"/>
        <v>9060</v>
      </c>
      <c r="C4984" s="3">
        <f t="shared" si="549"/>
        <v>45990</v>
      </c>
      <c r="D4984" s="4">
        <f t="shared" ca="1" si="544"/>
        <v>28</v>
      </c>
      <c r="E4984" s="2">
        <f t="shared" ca="1" si="545"/>
        <v>6559</v>
      </c>
      <c r="F4984" s="2">
        <f t="shared" ca="1" si="546"/>
        <v>30709</v>
      </c>
      <c r="G4984" s="2">
        <f t="shared" ca="1" si="547"/>
        <v>2455</v>
      </c>
    </row>
    <row r="4985" spans="1:7" x14ac:dyDescent="0.3">
      <c r="A4985" s="5" t="str">
        <f t="shared" si="548"/>
        <v>Reebok</v>
      </c>
      <c r="B4985" s="5" t="str">
        <f t="shared" si="543"/>
        <v>Zig Kinetica</v>
      </c>
      <c r="C4985" s="3">
        <f t="shared" si="549"/>
        <v>45990</v>
      </c>
      <c r="D4985" s="4">
        <f t="shared" ca="1" si="544"/>
        <v>233</v>
      </c>
      <c r="E4985" s="2">
        <f t="shared" ca="1" si="545"/>
        <v>2055</v>
      </c>
      <c r="F4985" s="2">
        <f t="shared" ca="1" si="546"/>
        <v>16159</v>
      </c>
      <c r="G4985" s="2">
        <f t="shared" ca="1" si="547"/>
        <v>639</v>
      </c>
    </row>
    <row r="4986" spans="1:7" x14ac:dyDescent="0.3">
      <c r="A4986" s="5" t="str">
        <f t="shared" si="548"/>
        <v>Nike</v>
      </c>
      <c r="B4986" s="5" t="str">
        <f t="shared" si="543"/>
        <v>Jordan 1</v>
      </c>
      <c r="C4986" s="3">
        <f t="shared" si="549"/>
        <v>45990</v>
      </c>
      <c r="D4986" s="4">
        <f t="shared" ca="1" si="544"/>
        <v>212</v>
      </c>
      <c r="E4986" s="2">
        <f t="shared" ca="1" si="545"/>
        <v>3189</v>
      </c>
      <c r="F4986" s="2">
        <f t="shared" ca="1" si="546"/>
        <v>13437</v>
      </c>
      <c r="G4986" s="2">
        <f t="shared" ca="1" si="547"/>
        <v>854</v>
      </c>
    </row>
    <row r="4987" spans="1:7" x14ac:dyDescent="0.3">
      <c r="A4987" s="5" t="str">
        <f t="shared" si="548"/>
        <v>Adidas</v>
      </c>
      <c r="B4987" s="5" t="str">
        <f t="shared" si="543"/>
        <v>Ultraboost 23</v>
      </c>
      <c r="C4987" s="3">
        <f t="shared" si="549"/>
        <v>45990</v>
      </c>
      <c r="D4987" s="4">
        <f t="shared" ca="1" si="544"/>
        <v>53</v>
      </c>
      <c r="E4987" s="2">
        <f t="shared" ca="1" si="545"/>
        <v>1882</v>
      </c>
      <c r="F4987" s="2">
        <f t="shared" ca="1" si="546"/>
        <v>31345</v>
      </c>
      <c r="G4987" s="2">
        <f t="shared" ca="1" si="547"/>
        <v>1865</v>
      </c>
    </row>
    <row r="4988" spans="1:7" x14ac:dyDescent="0.3">
      <c r="A4988" s="5" t="str">
        <f t="shared" si="548"/>
        <v>Puma</v>
      </c>
      <c r="B4988" s="5" t="str">
        <f t="shared" si="543"/>
        <v>RS-X</v>
      </c>
      <c r="C4988" s="3">
        <f t="shared" si="549"/>
        <v>45990</v>
      </c>
      <c r="D4988" s="4">
        <f t="shared" ca="1" si="544"/>
        <v>105</v>
      </c>
      <c r="E4988" s="2">
        <f t="shared" ca="1" si="545"/>
        <v>6755</v>
      </c>
      <c r="F4988" s="2">
        <f t="shared" ca="1" si="546"/>
        <v>28587</v>
      </c>
      <c r="G4988" s="2">
        <f t="shared" ca="1" si="547"/>
        <v>1577</v>
      </c>
    </row>
    <row r="4989" spans="1:7" x14ac:dyDescent="0.3">
      <c r="A4989" s="5" t="str">
        <f t="shared" si="548"/>
        <v>New Balance</v>
      </c>
      <c r="B4989" s="5" t="str">
        <f t="shared" si="543"/>
        <v>2002R</v>
      </c>
      <c r="C4989" s="3">
        <f t="shared" si="549"/>
        <v>45990</v>
      </c>
      <c r="D4989" s="4">
        <f t="shared" ca="1" si="544"/>
        <v>112</v>
      </c>
      <c r="E4989" s="2">
        <f t="shared" ca="1" si="545"/>
        <v>11898</v>
      </c>
      <c r="F4989" s="2">
        <f t="shared" ca="1" si="546"/>
        <v>33132</v>
      </c>
      <c r="G4989" s="2">
        <f t="shared" ca="1" si="547"/>
        <v>1991</v>
      </c>
    </row>
    <row r="4990" spans="1:7" x14ac:dyDescent="0.3">
      <c r="A4990" s="5" t="str">
        <f t="shared" si="548"/>
        <v>Reebok</v>
      </c>
      <c r="B4990" s="5" t="str">
        <f t="shared" si="543"/>
        <v>Instapump Fury</v>
      </c>
      <c r="C4990" s="3">
        <f t="shared" si="549"/>
        <v>45990</v>
      </c>
      <c r="D4990" s="4">
        <f t="shared" ca="1" si="544"/>
        <v>139</v>
      </c>
      <c r="E4990" s="2">
        <f t="shared" ca="1" si="545"/>
        <v>2262</v>
      </c>
      <c r="F4990" s="2">
        <f t="shared" ca="1" si="546"/>
        <v>19792</v>
      </c>
      <c r="G4990" s="2">
        <f t="shared" ca="1" si="547"/>
        <v>1135</v>
      </c>
    </row>
    <row r="4991" spans="1:7" x14ac:dyDescent="0.3">
      <c r="A4991" s="5" t="str">
        <f t="shared" si="548"/>
        <v>Nike</v>
      </c>
      <c r="B4991" s="5" t="str">
        <f t="shared" si="543"/>
        <v>Cortez</v>
      </c>
      <c r="C4991" s="3">
        <f t="shared" si="549"/>
        <v>45990</v>
      </c>
      <c r="D4991" s="4">
        <f t="shared" ca="1" si="544"/>
        <v>233</v>
      </c>
      <c r="E4991" s="2">
        <f t="shared" ca="1" si="545"/>
        <v>4542</v>
      </c>
      <c r="F4991" s="2">
        <f t="shared" ca="1" si="546"/>
        <v>31816</v>
      </c>
      <c r="G4991" s="2">
        <f t="shared" ca="1" si="547"/>
        <v>2141</v>
      </c>
    </row>
    <row r="4992" spans="1:7" x14ac:dyDescent="0.3">
      <c r="A4992" s="5" t="str">
        <f t="shared" si="548"/>
        <v>Adidas</v>
      </c>
      <c r="B4992" s="5" t="str">
        <f t="shared" si="543"/>
        <v>NMD S1</v>
      </c>
      <c r="C4992" s="3">
        <f t="shared" si="549"/>
        <v>45990</v>
      </c>
      <c r="D4992" s="4">
        <f t="shared" ca="1" si="544"/>
        <v>213</v>
      </c>
      <c r="E4992" s="2">
        <f t="shared" ca="1" si="545"/>
        <v>4632</v>
      </c>
      <c r="F4992" s="2">
        <f t="shared" ca="1" si="546"/>
        <v>13353</v>
      </c>
      <c r="G4992" s="2">
        <f t="shared" ca="1" si="547"/>
        <v>982</v>
      </c>
    </row>
    <row r="4993" spans="1:7" x14ac:dyDescent="0.3">
      <c r="A4993" s="5" t="str">
        <f t="shared" si="548"/>
        <v>Puma</v>
      </c>
      <c r="B4993" s="5" t="str">
        <f t="shared" si="543"/>
        <v>Suede Classic</v>
      </c>
      <c r="C4993" s="3">
        <f t="shared" si="549"/>
        <v>45990</v>
      </c>
      <c r="D4993" s="4">
        <f t="shared" ca="1" si="544"/>
        <v>162</v>
      </c>
      <c r="E4993" s="2">
        <f t="shared" ca="1" si="545"/>
        <v>3264</v>
      </c>
      <c r="F4993" s="2">
        <f t="shared" ca="1" si="546"/>
        <v>33532</v>
      </c>
      <c r="G4993" s="2">
        <f t="shared" ca="1" si="547"/>
        <v>2256</v>
      </c>
    </row>
    <row r="4994" spans="1:7" x14ac:dyDescent="0.3">
      <c r="A4994" s="5" t="str">
        <f t="shared" si="548"/>
        <v>New Balance</v>
      </c>
      <c r="B4994" s="5" t="str">
        <f t="shared" si="543"/>
        <v>990v6</v>
      </c>
      <c r="C4994" s="3">
        <f t="shared" si="549"/>
        <v>45990</v>
      </c>
      <c r="D4994" s="4">
        <f t="shared" ca="1" si="544"/>
        <v>161</v>
      </c>
      <c r="E4994" s="2">
        <f t="shared" ca="1" si="545"/>
        <v>2806</v>
      </c>
      <c r="F4994" s="2">
        <f t="shared" ca="1" si="546"/>
        <v>13068</v>
      </c>
      <c r="G4994" s="2">
        <f t="shared" ca="1" si="547"/>
        <v>549</v>
      </c>
    </row>
    <row r="4995" spans="1:7" x14ac:dyDescent="0.3">
      <c r="A4995" s="5" t="str">
        <f t="shared" si="548"/>
        <v>Reebok</v>
      </c>
      <c r="B4995" s="5" t="str">
        <f t="shared" ref="B4995:B5058" si="550">IF(A4995="Nike",CHOOSE(MOD(ROW(A4994),6)+1,"Air Max 270","Air Force 1","Pegasus 40","Vaporfly 3","Cortez","Jordan 1"),
 IF(A4995="Adidas",CHOOSE(MOD(ROW(A4994),6)+1,"Ultraboost 23","Stan Smith","Superstar","Gazelle","Samba","NMD S1"),
 IF(A4995="Puma",CHOOSE(MOD(ROW(A4994),6)+1,"Suede Classic","RS-X","Cali Dream","Rider Vintage","Slipstream","Mayze"),
 IF(A4995="New Balance",CHOOSE(MOD(ROW(A4994),6)+1,"574 Core","990v6","2002R","9060","327","550"),
 IF(A4995="Reebok",CHOOSE(MOD(ROW(A4994),6)+1,"Classic Leather","Club C 85","Nano X3","Instapump Fury","Zig Kinetica","Question Mid"),"")))))</f>
        <v>Nano X3</v>
      </c>
      <c r="C4995" s="3">
        <f t="shared" si="549"/>
        <v>45990</v>
      </c>
      <c r="D4995" s="4">
        <f t="shared" ref="D4995:D5058" ca="1" si="551">RANDBETWEEN(20,250)</f>
        <v>79</v>
      </c>
      <c r="E4995" s="2">
        <f t="shared" ref="E4995:E5058" ca="1" si="552">ROUND(RANDBETWEEN(1500,12000)+(RANDBETWEEN(-200,200)),2)</f>
        <v>8964</v>
      </c>
      <c r="F4995" s="2">
        <f t="shared" ref="F4995:F5058" ca="1" si="553">RANDBETWEEN(5000,35000)</f>
        <v>11611</v>
      </c>
      <c r="G4995" s="2">
        <f t="shared" ref="G4995:G5058" ca="1" si="554">RANDBETWEEN(ROUND(F4995*0.02,0),ROUND(F4995*0.08,0))</f>
        <v>781</v>
      </c>
    </row>
    <row r="4996" spans="1:7" x14ac:dyDescent="0.3">
      <c r="A4996" s="5" t="str">
        <f t="shared" si="548"/>
        <v>Nike</v>
      </c>
      <c r="B4996" s="5" t="str">
        <f t="shared" si="550"/>
        <v>Vaporfly 3</v>
      </c>
      <c r="C4996" s="3">
        <f t="shared" si="549"/>
        <v>45990</v>
      </c>
      <c r="D4996" s="4">
        <f t="shared" ca="1" si="551"/>
        <v>154</v>
      </c>
      <c r="E4996" s="2">
        <f t="shared" ca="1" si="552"/>
        <v>11591</v>
      </c>
      <c r="F4996" s="2">
        <f t="shared" ca="1" si="553"/>
        <v>18685</v>
      </c>
      <c r="G4996" s="2">
        <f t="shared" ca="1" si="554"/>
        <v>427</v>
      </c>
    </row>
    <row r="4997" spans="1:7" x14ac:dyDescent="0.3">
      <c r="A4997" s="5" t="str">
        <f t="shared" si="548"/>
        <v>Adidas</v>
      </c>
      <c r="B4997" s="5" t="str">
        <f t="shared" si="550"/>
        <v>Samba</v>
      </c>
      <c r="C4997" s="3">
        <f t="shared" si="549"/>
        <v>45991</v>
      </c>
      <c r="D4997" s="4">
        <f t="shared" ca="1" si="551"/>
        <v>160</v>
      </c>
      <c r="E4997" s="2">
        <f t="shared" ca="1" si="552"/>
        <v>2206</v>
      </c>
      <c r="F4997" s="2">
        <f t="shared" ca="1" si="553"/>
        <v>24314</v>
      </c>
      <c r="G4997" s="2">
        <f t="shared" ca="1" si="554"/>
        <v>1007</v>
      </c>
    </row>
    <row r="4998" spans="1:7" x14ac:dyDescent="0.3">
      <c r="A4998" s="5" t="str">
        <f t="shared" si="548"/>
        <v>Puma</v>
      </c>
      <c r="B4998" s="5" t="str">
        <f t="shared" si="550"/>
        <v>Mayze</v>
      </c>
      <c r="C4998" s="3">
        <f t="shared" si="549"/>
        <v>45991</v>
      </c>
      <c r="D4998" s="4">
        <f t="shared" ca="1" si="551"/>
        <v>175</v>
      </c>
      <c r="E4998" s="2">
        <f t="shared" ca="1" si="552"/>
        <v>10216</v>
      </c>
      <c r="F4998" s="2">
        <f t="shared" ca="1" si="553"/>
        <v>22970</v>
      </c>
      <c r="G4998" s="2">
        <f t="shared" ca="1" si="554"/>
        <v>613</v>
      </c>
    </row>
    <row r="4999" spans="1:7" x14ac:dyDescent="0.3">
      <c r="A4999" s="5" t="str">
        <f t="shared" si="548"/>
        <v>New Balance</v>
      </c>
      <c r="B4999" s="5" t="str">
        <f t="shared" si="550"/>
        <v>574 Core</v>
      </c>
      <c r="C4999" s="3">
        <f t="shared" si="549"/>
        <v>45991</v>
      </c>
      <c r="D4999" s="4">
        <f t="shared" ca="1" si="551"/>
        <v>131</v>
      </c>
      <c r="E4999" s="2">
        <f t="shared" ca="1" si="552"/>
        <v>3050</v>
      </c>
      <c r="F4999" s="2">
        <f t="shared" ca="1" si="553"/>
        <v>28527</v>
      </c>
      <c r="G4999" s="2">
        <f t="shared" ca="1" si="554"/>
        <v>867</v>
      </c>
    </row>
    <row r="5000" spans="1:7" x14ac:dyDescent="0.3">
      <c r="A5000" s="5" t="str">
        <f t="shared" si="548"/>
        <v>Reebok</v>
      </c>
      <c r="B5000" s="5" t="str">
        <f t="shared" si="550"/>
        <v>Club C 85</v>
      </c>
      <c r="C5000" s="3">
        <f t="shared" si="549"/>
        <v>45991</v>
      </c>
      <c r="D5000" s="4">
        <f t="shared" ca="1" si="551"/>
        <v>52</v>
      </c>
      <c r="E5000" s="2">
        <f t="shared" ca="1" si="552"/>
        <v>7775</v>
      </c>
      <c r="F5000" s="2">
        <f t="shared" ca="1" si="553"/>
        <v>19253</v>
      </c>
      <c r="G5000" s="2">
        <f t="shared" ca="1" si="554"/>
        <v>794</v>
      </c>
    </row>
    <row r="5001" spans="1:7" x14ac:dyDescent="0.3">
      <c r="A5001" s="5" t="str">
        <f t="shared" si="548"/>
        <v>Nike</v>
      </c>
      <c r="B5001" s="5" t="str">
        <f t="shared" si="550"/>
        <v>Pegasus 40</v>
      </c>
      <c r="C5001" s="3">
        <f t="shared" si="549"/>
        <v>45991</v>
      </c>
      <c r="D5001" s="4">
        <f t="shared" ca="1" si="551"/>
        <v>170</v>
      </c>
      <c r="E5001" s="2">
        <f t="shared" ca="1" si="552"/>
        <v>10029</v>
      </c>
      <c r="F5001" s="2">
        <f t="shared" ca="1" si="553"/>
        <v>27002</v>
      </c>
      <c r="G5001" s="2">
        <f t="shared" ca="1" si="554"/>
        <v>2000</v>
      </c>
    </row>
    <row r="5002" spans="1:7" x14ac:dyDescent="0.3">
      <c r="A5002" s="5" t="str">
        <f t="shared" si="548"/>
        <v>Adidas</v>
      </c>
      <c r="B5002" s="5" t="str">
        <f t="shared" si="550"/>
        <v>Gazelle</v>
      </c>
      <c r="C5002" s="3">
        <f t="shared" si="549"/>
        <v>45991</v>
      </c>
      <c r="D5002" s="4">
        <f t="shared" ca="1" si="551"/>
        <v>178</v>
      </c>
      <c r="E5002" s="2">
        <f t="shared" ca="1" si="552"/>
        <v>6276</v>
      </c>
      <c r="F5002" s="2">
        <f t="shared" ca="1" si="553"/>
        <v>29061</v>
      </c>
      <c r="G5002" s="2">
        <f t="shared" ca="1" si="554"/>
        <v>2186</v>
      </c>
    </row>
    <row r="5003" spans="1:7" x14ac:dyDescent="0.3">
      <c r="A5003" s="5" t="str">
        <f t="shared" si="548"/>
        <v>Puma</v>
      </c>
      <c r="B5003" s="5" t="str">
        <f t="shared" si="550"/>
        <v>Slipstream</v>
      </c>
      <c r="C5003" s="3">
        <f t="shared" si="549"/>
        <v>45991</v>
      </c>
      <c r="D5003" s="4">
        <f t="shared" ca="1" si="551"/>
        <v>68</v>
      </c>
      <c r="E5003" s="2">
        <f t="shared" ca="1" si="552"/>
        <v>5536</v>
      </c>
      <c r="F5003" s="2">
        <f t="shared" ca="1" si="553"/>
        <v>8051</v>
      </c>
      <c r="G5003" s="2">
        <f t="shared" ca="1" si="554"/>
        <v>341</v>
      </c>
    </row>
    <row r="5004" spans="1:7" x14ac:dyDescent="0.3">
      <c r="A5004" s="5" t="str">
        <f t="shared" si="548"/>
        <v>New Balance</v>
      </c>
      <c r="B5004" s="5" t="str">
        <f t="shared" si="550"/>
        <v>550</v>
      </c>
      <c r="C5004" s="3">
        <f t="shared" si="549"/>
        <v>45991</v>
      </c>
      <c r="D5004" s="4">
        <f t="shared" ca="1" si="551"/>
        <v>32</v>
      </c>
      <c r="E5004" s="2">
        <f t="shared" ca="1" si="552"/>
        <v>10514</v>
      </c>
      <c r="F5004" s="2">
        <f t="shared" ca="1" si="553"/>
        <v>31130</v>
      </c>
      <c r="G5004" s="2">
        <f t="shared" ca="1" si="554"/>
        <v>1395</v>
      </c>
    </row>
    <row r="5005" spans="1:7" x14ac:dyDescent="0.3">
      <c r="A5005" s="5" t="str">
        <f t="shared" si="548"/>
        <v>Reebok</v>
      </c>
      <c r="B5005" s="5" t="str">
        <f t="shared" si="550"/>
        <v>Classic Leather</v>
      </c>
      <c r="C5005" s="3">
        <f t="shared" si="549"/>
        <v>45991</v>
      </c>
      <c r="D5005" s="4">
        <f t="shared" ca="1" si="551"/>
        <v>142</v>
      </c>
      <c r="E5005" s="2">
        <f t="shared" ca="1" si="552"/>
        <v>1697</v>
      </c>
      <c r="F5005" s="2">
        <f t="shared" ca="1" si="553"/>
        <v>13973</v>
      </c>
      <c r="G5005" s="2">
        <f t="shared" ca="1" si="554"/>
        <v>600</v>
      </c>
    </row>
    <row r="5006" spans="1:7" x14ac:dyDescent="0.3">
      <c r="A5006" s="5" t="str">
        <f t="shared" si="548"/>
        <v>Nike</v>
      </c>
      <c r="B5006" s="5" t="str">
        <f t="shared" si="550"/>
        <v>Air Force 1</v>
      </c>
      <c r="C5006" s="3">
        <f t="shared" si="549"/>
        <v>45991</v>
      </c>
      <c r="D5006" s="4">
        <f t="shared" ca="1" si="551"/>
        <v>82</v>
      </c>
      <c r="E5006" s="2">
        <f t="shared" ca="1" si="552"/>
        <v>9880</v>
      </c>
      <c r="F5006" s="2">
        <f t="shared" ca="1" si="553"/>
        <v>18220</v>
      </c>
      <c r="G5006" s="2">
        <f t="shared" ca="1" si="554"/>
        <v>1444</v>
      </c>
    </row>
    <row r="5007" spans="1:7" x14ac:dyDescent="0.3">
      <c r="A5007" s="5" t="str">
        <f t="shared" si="548"/>
        <v>Adidas</v>
      </c>
      <c r="B5007" s="5" t="str">
        <f t="shared" si="550"/>
        <v>Superstar</v>
      </c>
      <c r="C5007" s="3">
        <f t="shared" si="549"/>
        <v>45991</v>
      </c>
      <c r="D5007" s="4">
        <f t="shared" ca="1" si="551"/>
        <v>188</v>
      </c>
      <c r="E5007" s="2">
        <f t="shared" ca="1" si="552"/>
        <v>3212</v>
      </c>
      <c r="F5007" s="2">
        <f t="shared" ca="1" si="553"/>
        <v>29668</v>
      </c>
      <c r="G5007" s="2">
        <f t="shared" ca="1" si="554"/>
        <v>701</v>
      </c>
    </row>
    <row r="5008" spans="1:7" x14ac:dyDescent="0.3">
      <c r="A5008" s="5" t="str">
        <f t="shared" si="548"/>
        <v>Puma</v>
      </c>
      <c r="B5008" s="5" t="str">
        <f t="shared" si="550"/>
        <v>Rider Vintage</v>
      </c>
      <c r="C5008" s="3">
        <f t="shared" si="549"/>
        <v>45991</v>
      </c>
      <c r="D5008" s="4">
        <f t="shared" ca="1" si="551"/>
        <v>186</v>
      </c>
      <c r="E5008" s="2">
        <f t="shared" ca="1" si="552"/>
        <v>9450</v>
      </c>
      <c r="F5008" s="2">
        <f t="shared" ca="1" si="553"/>
        <v>9849</v>
      </c>
      <c r="G5008" s="2">
        <f t="shared" ca="1" si="554"/>
        <v>683</v>
      </c>
    </row>
    <row r="5009" spans="1:7" x14ac:dyDescent="0.3">
      <c r="A5009" s="5" t="str">
        <f t="shared" si="548"/>
        <v>New Balance</v>
      </c>
      <c r="B5009" s="5" t="str">
        <f t="shared" si="550"/>
        <v>327</v>
      </c>
      <c r="C5009" s="3">
        <f t="shared" si="549"/>
        <v>45991</v>
      </c>
      <c r="D5009" s="4">
        <f t="shared" ca="1" si="551"/>
        <v>30</v>
      </c>
      <c r="E5009" s="2">
        <f t="shared" ca="1" si="552"/>
        <v>11378</v>
      </c>
      <c r="F5009" s="2">
        <f t="shared" ca="1" si="553"/>
        <v>25620</v>
      </c>
      <c r="G5009" s="2">
        <f t="shared" ca="1" si="554"/>
        <v>1593</v>
      </c>
    </row>
    <row r="5010" spans="1:7" x14ac:dyDescent="0.3">
      <c r="A5010" s="5" t="str">
        <f t="shared" si="548"/>
        <v>Reebok</v>
      </c>
      <c r="B5010" s="5" t="str">
        <f t="shared" si="550"/>
        <v>Question Mid</v>
      </c>
      <c r="C5010" s="3">
        <f t="shared" si="549"/>
        <v>45991</v>
      </c>
      <c r="D5010" s="4">
        <f t="shared" ca="1" si="551"/>
        <v>235</v>
      </c>
      <c r="E5010" s="2">
        <f t="shared" ca="1" si="552"/>
        <v>10746</v>
      </c>
      <c r="F5010" s="2">
        <f t="shared" ca="1" si="553"/>
        <v>14963</v>
      </c>
      <c r="G5010" s="2">
        <f t="shared" ca="1" si="554"/>
        <v>312</v>
      </c>
    </row>
    <row r="5011" spans="1:7" x14ac:dyDescent="0.3">
      <c r="A5011" s="5" t="str">
        <f t="shared" si="548"/>
        <v>Nike</v>
      </c>
      <c r="B5011" s="5" t="str">
        <f t="shared" si="550"/>
        <v>Air Max 270</v>
      </c>
      <c r="C5011" s="3">
        <f t="shared" si="549"/>
        <v>45991</v>
      </c>
      <c r="D5011" s="4">
        <f t="shared" ca="1" si="551"/>
        <v>96</v>
      </c>
      <c r="E5011" s="2">
        <f t="shared" ca="1" si="552"/>
        <v>6047</v>
      </c>
      <c r="F5011" s="2">
        <f t="shared" ca="1" si="553"/>
        <v>6067</v>
      </c>
      <c r="G5011" s="2">
        <f t="shared" ca="1" si="554"/>
        <v>262</v>
      </c>
    </row>
    <row r="5012" spans="1:7" x14ac:dyDescent="0.3">
      <c r="A5012" s="5" t="str">
        <f t="shared" si="548"/>
        <v>Adidas</v>
      </c>
      <c r="B5012" s="5" t="str">
        <f t="shared" si="550"/>
        <v>Stan Smith</v>
      </c>
      <c r="C5012" s="3">
        <f t="shared" si="549"/>
        <v>45992</v>
      </c>
      <c r="D5012" s="4">
        <f t="shared" ca="1" si="551"/>
        <v>129</v>
      </c>
      <c r="E5012" s="2">
        <f t="shared" ca="1" si="552"/>
        <v>7466</v>
      </c>
      <c r="F5012" s="2">
        <f t="shared" ca="1" si="553"/>
        <v>20181</v>
      </c>
      <c r="G5012" s="2">
        <f t="shared" ca="1" si="554"/>
        <v>1003</v>
      </c>
    </row>
    <row r="5013" spans="1:7" x14ac:dyDescent="0.3">
      <c r="A5013" s="5" t="str">
        <f t="shared" si="548"/>
        <v>Puma</v>
      </c>
      <c r="B5013" s="5" t="str">
        <f t="shared" si="550"/>
        <v>Cali Dream</v>
      </c>
      <c r="C5013" s="3">
        <f t="shared" si="549"/>
        <v>45992</v>
      </c>
      <c r="D5013" s="4">
        <f t="shared" ca="1" si="551"/>
        <v>38</v>
      </c>
      <c r="E5013" s="2">
        <f t="shared" ca="1" si="552"/>
        <v>1526</v>
      </c>
      <c r="F5013" s="2">
        <f t="shared" ca="1" si="553"/>
        <v>12031</v>
      </c>
      <c r="G5013" s="2">
        <f t="shared" ca="1" si="554"/>
        <v>710</v>
      </c>
    </row>
    <row r="5014" spans="1:7" x14ac:dyDescent="0.3">
      <c r="A5014" s="5" t="str">
        <f t="shared" si="548"/>
        <v>New Balance</v>
      </c>
      <c r="B5014" s="5" t="str">
        <f t="shared" si="550"/>
        <v>9060</v>
      </c>
      <c r="C5014" s="3">
        <f t="shared" si="549"/>
        <v>45992</v>
      </c>
      <c r="D5014" s="4">
        <f t="shared" ca="1" si="551"/>
        <v>169</v>
      </c>
      <c r="E5014" s="2">
        <f t="shared" ca="1" si="552"/>
        <v>6702</v>
      </c>
      <c r="F5014" s="2">
        <f t="shared" ca="1" si="553"/>
        <v>8966</v>
      </c>
      <c r="G5014" s="2">
        <f t="shared" ca="1" si="554"/>
        <v>632</v>
      </c>
    </row>
    <row r="5015" spans="1:7" x14ac:dyDescent="0.3">
      <c r="A5015" s="5" t="str">
        <f t="shared" si="548"/>
        <v>Reebok</v>
      </c>
      <c r="B5015" s="5" t="str">
        <f t="shared" si="550"/>
        <v>Zig Kinetica</v>
      </c>
      <c r="C5015" s="3">
        <f t="shared" si="549"/>
        <v>45992</v>
      </c>
      <c r="D5015" s="4">
        <f t="shared" ca="1" si="551"/>
        <v>230</v>
      </c>
      <c r="E5015" s="2">
        <f t="shared" ca="1" si="552"/>
        <v>9864</v>
      </c>
      <c r="F5015" s="2">
        <f t="shared" ca="1" si="553"/>
        <v>28126</v>
      </c>
      <c r="G5015" s="2">
        <f t="shared" ca="1" si="554"/>
        <v>1021</v>
      </c>
    </row>
    <row r="5016" spans="1:7" x14ac:dyDescent="0.3">
      <c r="A5016" s="5" t="str">
        <f t="shared" si="548"/>
        <v>Nike</v>
      </c>
      <c r="B5016" s="5" t="str">
        <f t="shared" si="550"/>
        <v>Jordan 1</v>
      </c>
      <c r="C5016" s="3">
        <f t="shared" si="549"/>
        <v>45992</v>
      </c>
      <c r="D5016" s="4">
        <f t="shared" ca="1" si="551"/>
        <v>178</v>
      </c>
      <c r="E5016" s="2">
        <f t="shared" ca="1" si="552"/>
        <v>6508</v>
      </c>
      <c r="F5016" s="2">
        <f t="shared" ca="1" si="553"/>
        <v>30751</v>
      </c>
      <c r="G5016" s="2">
        <f t="shared" ca="1" si="554"/>
        <v>1402</v>
      </c>
    </row>
    <row r="5017" spans="1:7" x14ac:dyDescent="0.3">
      <c r="A5017" s="5" t="str">
        <f t="shared" si="548"/>
        <v>Adidas</v>
      </c>
      <c r="B5017" s="5" t="str">
        <f t="shared" si="550"/>
        <v>Ultraboost 23</v>
      </c>
      <c r="C5017" s="3">
        <f t="shared" si="549"/>
        <v>45992</v>
      </c>
      <c r="D5017" s="4">
        <f t="shared" ca="1" si="551"/>
        <v>112</v>
      </c>
      <c r="E5017" s="2">
        <f t="shared" ca="1" si="552"/>
        <v>7587</v>
      </c>
      <c r="F5017" s="2">
        <f t="shared" ca="1" si="553"/>
        <v>9876</v>
      </c>
      <c r="G5017" s="2">
        <f t="shared" ca="1" si="554"/>
        <v>525</v>
      </c>
    </row>
    <row r="5018" spans="1:7" x14ac:dyDescent="0.3">
      <c r="A5018" s="5" t="str">
        <f t="shared" si="548"/>
        <v>Puma</v>
      </c>
      <c r="B5018" s="5" t="str">
        <f t="shared" si="550"/>
        <v>RS-X</v>
      </c>
      <c r="C5018" s="3">
        <f t="shared" si="549"/>
        <v>45992</v>
      </c>
      <c r="D5018" s="4">
        <f t="shared" ca="1" si="551"/>
        <v>45</v>
      </c>
      <c r="E5018" s="2">
        <f t="shared" ca="1" si="552"/>
        <v>10879</v>
      </c>
      <c r="F5018" s="2">
        <f t="shared" ca="1" si="553"/>
        <v>9423</v>
      </c>
      <c r="G5018" s="2">
        <f t="shared" ca="1" si="554"/>
        <v>356</v>
      </c>
    </row>
    <row r="5019" spans="1:7" x14ac:dyDescent="0.3">
      <c r="A5019" s="5" t="str">
        <f t="shared" si="548"/>
        <v>New Balance</v>
      </c>
      <c r="B5019" s="5" t="str">
        <f t="shared" si="550"/>
        <v>2002R</v>
      </c>
      <c r="C5019" s="3">
        <f t="shared" si="549"/>
        <v>45992</v>
      </c>
      <c r="D5019" s="4">
        <f t="shared" ca="1" si="551"/>
        <v>20</v>
      </c>
      <c r="E5019" s="2">
        <f t="shared" ca="1" si="552"/>
        <v>4925</v>
      </c>
      <c r="F5019" s="2">
        <f t="shared" ca="1" si="553"/>
        <v>34879</v>
      </c>
      <c r="G5019" s="2">
        <f t="shared" ca="1" si="554"/>
        <v>2573</v>
      </c>
    </row>
    <row r="5020" spans="1:7" x14ac:dyDescent="0.3">
      <c r="A5020" s="5" t="str">
        <f t="shared" si="548"/>
        <v>Reebok</v>
      </c>
      <c r="B5020" s="5" t="str">
        <f t="shared" si="550"/>
        <v>Instapump Fury</v>
      </c>
      <c r="C5020" s="3">
        <f t="shared" si="549"/>
        <v>45992</v>
      </c>
      <c r="D5020" s="4">
        <f t="shared" ca="1" si="551"/>
        <v>170</v>
      </c>
      <c r="E5020" s="2">
        <f t="shared" ca="1" si="552"/>
        <v>11010</v>
      </c>
      <c r="F5020" s="2">
        <f t="shared" ca="1" si="553"/>
        <v>10227</v>
      </c>
      <c r="G5020" s="2">
        <f t="shared" ca="1" si="554"/>
        <v>621</v>
      </c>
    </row>
    <row r="5021" spans="1:7" x14ac:dyDescent="0.3">
      <c r="A5021" s="5" t="str">
        <f t="shared" si="548"/>
        <v>Nike</v>
      </c>
      <c r="B5021" s="5" t="str">
        <f t="shared" si="550"/>
        <v>Cortez</v>
      </c>
      <c r="C5021" s="3">
        <f t="shared" si="549"/>
        <v>45992</v>
      </c>
      <c r="D5021" s="4">
        <f t="shared" ca="1" si="551"/>
        <v>164</v>
      </c>
      <c r="E5021" s="2">
        <f t="shared" ca="1" si="552"/>
        <v>7322</v>
      </c>
      <c r="F5021" s="2">
        <f t="shared" ca="1" si="553"/>
        <v>16475</v>
      </c>
      <c r="G5021" s="2">
        <f t="shared" ca="1" si="554"/>
        <v>897</v>
      </c>
    </row>
    <row r="5022" spans="1:7" x14ac:dyDescent="0.3">
      <c r="A5022" s="5" t="str">
        <f t="shared" si="548"/>
        <v>Adidas</v>
      </c>
      <c r="B5022" s="5" t="str">
        <f t="shared" si="550"/>
        <v>NMD S1</v>
      </c>
      <c r="C5022" s="3">
        <f t="shared" si="549"/>
        <v>45992</v>
      </c>
      <c r="D5022" s="4">
        <f t="shared" ca="1" si="551"/>
        <v>226</v>
      </c>
      <c r="E5022" s="2">
        <f t="shared" ca="1" si="552"/>
        <v>7426</v>
      </c>
      <c r="F5022" s="2">
        <f t="shared" ca="1" si="553"/>
        <v>18232</v>
      </c>
      <c r="G5022" s="2">
        <f t="shared" ca="1" si="554"/>
        <v>617</v>
      </c>
    </row>
    <row r="5023" spans="1:7" x14ac:dyDescent="0.3">
      <c r="A5023" s="5" t="str">
        <f t="shared" si="548"/>
        <v>Puma</v>
      </c>
      <c r="B5023" s="5" t="str">
        <f t="shared" si="550"/>
        <v>Suede Classic</v>
      </c>
      <c r="C5023" s="3">
        <f t="shared" si="549"/>
        <v>45992</v>
      </c>
      <c r="D5023" s="4">
        <f t="shared" ca="1" si="551"/>
        <v>81</v>
      </c>
      <c r="E5023" s="2">
        <f t="shared" ca="1" si="552"/>
        <v>5359</v>
      </c>
      <c r="F5023" s="2">
        <f t="shared" ca="1" si="553"/>
        <v>12128</v>
      </c>
      <c r="G5023" s="2">
        <f t="shared" ca="1" si="554"/>
        <v>470</v>
      </c>
    </row>
    <row r="5024" spans="1:7" x14ac:dyDescent="0.3">
      <c r="A5024" s="5" t="str">
        <f t="shared" si="548"/>
        <v>New Balance</v>
      </c>
      <c r="B5024" s="5" t="str">
        <f t="shared" si="550"/>
        <v>990v6</v>
      </c>
      <c r="C5024" s="3">
        <f t="shared" si="549"/>
        <v>45992</v>
      </c>
      <c r="D5024" s="4">
        <f t="shared" ca="1" si="551"/>
        <v>32</v>
      </c>
      <c r="E5024" s="2">
        <f t="shared" ca="1" si="552"/>
        <v>9470</v>
      </c>
      <c r="F5024" s="2">
        <f t="shared" ca="1" si="553"/>
        <v>16381</v>
      </c>
      <c r="G5024" s="2">
        <f t="shared" ca="1" si="554"/>
        <v>702</v>
      </c>
    </row>
    <row r="5025" spans="1:7" x14ac:dyDescent="0.3">
      <c r="A5025" s="5" t="str">
        <f t="shared" si="548"/>
        <v>Reebok</v>
      </c>
      <c r="B5025" s="5" t="str">
        <f t="shared" si="550"/>
        <v>Nano X3</v>
      </c>
      <c r="C5025" s="3">
        <f t="shared" si="549"/>
        <v>45992</v>
      </c>
      <c r="D5025" s="4">
        <f t="shared" ca="1" si="551"/>
        <v>26</v>
      </c>
      <c r="E5025" s="2">
        <f t="shared" ca="1" si="552"/>
        <v>4500</v>
      </c>
      <c r="F5025" s="2">
        <f t="shared" ca="1" si="553"/>
        <v>22788</v>
      </c>
      <c r="G5025" s="2">
        <f t="shared" ca="1" si="554"/>
        <v>974</v>
      </c>
    </row>
    <row r="5026" spans="1:7" x14ac:dyDescent="0.3">
      <c r="A5026" s="5" t="str">
        <f t="shared" si="548"/>
        <v>Nike</v>
      </c>
      <c r="B5026" s="5" t="str">
        <f t="shared" si="550"/>
        <v>Vaporfly 3</v>
      </c>
      <c r="C5026" s="3">
        <f t="shared" si="549"/>
        <v>45992</v>
      </c>
      <c r="D5026" s="4">
        <f t="shared" ca="1" si="551"/>
        <v>121</v>
      </c>
      <c r="E5026" s="2">
        <f t="shared" ca="1" si="552"/>
        <v>8367</v>
      </c>
      <c r="F5026" s="2">
        <f t="shared" ca="1" si="553"/>
        <v>18634</v>
      </c>
      <c r="G5026" s="2">
        <f t="shared" ca="1" si="554"/>
        <v>772</v>
      </c>
    </row>
    <row r="5027" spans="1:7" x14ac:dyDescent="0.3">
      <c r="A5027" s="5" t="str">
        <f t="shared" si="548"/>
        <v>Adidas</v>
      </c>
      <c r="B5027" s="5" t="str">
        <f t="shared" si="550"/>
        <v>Samba</v>
      </c>
      <c r="C5027" s="3">
        <f t="shared" si="549"/>
        <v>45993</v>
      </c>
      <c r="D5027" s="4">
        <f t="shared" ca="1" si="551"/>
        <v>105</v>
      </c>
      <c r="E5027" s="2">
        <f t="shared" ca="1" si="552"/>
        <v>9463</v>
      </c>
      <c r="F5027" s="2">
        <f t="shared" ca="1" si="553"/>
        <v>7018</v>
      </c>
      <c r="G5027" s="2">
        <f t="shared" ca="1" si="554"/>
        <v>289</v>
      </c>
    </row>
    <row r="5028" spans="1:7" x14ac:dyDescent="0.3">
      <c r="A5028" s="5" t="str">
        <f t="shared" si="548"/>
        <v>Puma</v>
      </c>
      <c r="B5028" s="5" t="str">
        <f t="shared" si="550"/>
        <v>Mayze</v>
      </c>
      <c r="C5028" s="3">
        <f t="shared" si="549"/>
        <v>45993</v>
      </c>
      <c r="D5028" s="4">
        <f t="shared" ca="1" si="551"/>
        <v>55</v>
      </c>
      <c r="E5028" s="2">
        <f t="shared" ca="1" si="552"/>
        <v>9754</v>
      </c>
      <c r="F5028" s="2">
        <f t="shared" ca="1" si="553"/>
        <v>33819</v>
      </c>
      <c r="G5028" s="2">
        <f t="shared" ca="1" si="554"/>
        <v>2461</v>
      </c>
    </row>
    <row r="5029" spans="1:7" x14ac:dyDescent="0.3">
      <c r="A5029" s="5" t="str">
        <f t="shared" si="548"/>
        <v>New Balance</v>
      </c>
      <c r="B5029" s="5" t="str">
        <f t="shared" si="550"/>
        <v>574 Core</v>
      </c>
      <c r="C5029" s="3">
        <f t="shared" si="549"/>
        <v>45993</v>
      </c>
      <c r="D5029" s="4">
        <f t="shared" ca="1" si="551"/>
        <v>165</v>
      </c>
      <c r="E5029" s="2">
        <f t="shared" ca="1" si="552"/>
        <v>8889</v>
      </c>
      <c r="F5029" s="2">
        <f t="shared" ca="1" si="553"/>
        <v>29372</v>
      </c>
      <c r="G5029" s="2">
        <f t="shared" ca="1" si="554"/>
        <v>707</v>
      </c>
    </row>
    <row r="5030" spans="1:7" x14ac:dyDescent="0.3">
      <c r="A5030" s="5" t="str">
        <f t="shared" si="548"/>
        <v>Reebok</v>
      </c>
      <c r="B5030" s="5" t="str">
        <f t="shared" si="550"/>
        <v>Club C 85</v>
      </c>
      <c r="C5030" s="3">
        <f t="shared" si="549"/>
        <v>45993</v>
      </c>
      <c r="D5030" s="4">
        <f t="shared" ca="1" si="551"/>
        <v>187</v>
      </c>
      <c r="E5030" s="2">
        <f t="shared" ca="1" si="552"/>
        <v>10912</v>
      </c>
      <c r="F5030" s="2">
        <f t="shared" ca="1" si="553"/>
        <v>33011</v>
      </c>
      <c r="G5030" s="2">
        <f t="shared" ca="1" si="554"/>
        <v>2191</v>
      </c>
    </row>
    <row r="5031" spans="1:7" x14ac:dyDescent="0.3">
      <c r="A5031" s="5" t="str">
        <f t="shared" si="548"/>
        <v>Nike</v>
      </c>
      <c r="B5031" s="5" t="str">
        <f t="shared" si="550"/>
        <v>Pegasus 40</v>
      </c>
      <c r="C5031" s="3">
        <f t="shared" si="549"/>
        <v>45993</v>
      </c>
      <c r="D5031" s="4">
        <f t="shared" ca="1" si="551"/>
        <v>35</v>
      </c>
      <c r="E5031" s="2">
        <f t="shared" ca="1" si="552"/>
        <v>2610</v>
      </c>
      <c r="F5031" s="2">
        <f t="shared" ca="1" si="553"/>
        <v>16066</v>
      </c>
      <c r="G5031" s="2">
        <f t="shared" ca="1" si="554"/>
        <v>907</v>
      </c>
    </row>
    <row r="5032" spans="1:7" x14ac:dyDescent="0.3">
      <c r="A5032" s="5" t="str">
        <f t="shared" si="548"/>
        <v>Adidas</v>
      </c>
      <c r="B5032" s="5" t="str">
        <f t="shared" si="550"/>
        <v>Gazelle</v>
      </c>
      <c r="C5032" s="3">
        <f t="shared" si="549"/>
        <v>45993</v>
      </c>
      <c r="D5032" s="4">
        <f t="shared" ca="1" si="551"/>
        <v>93</v>
      </c>
      <c r="E5032" s="2">
        <f t="shared" ca="1" si="552"/>
        <v>1535</v>
      </c>
      <c r="F5032" s="2">
        <f t="shared" ca="1" si="553"/>
        <v>26504</v>
      </c>
      <c r="G5032" s="2">
        <f t="shared" ca="1" si="554"/>
        <v>1275</v>
      </c>
    </row>
    <row r="5033" spans="1:7" x14ac:dyDescent="0.3">
      <c r="A5033" s="5" t="str">
        <f t="shared" si="548"/>
        <v>Puma</v>
      </c>
      <c r="B5033" s="5" t="str">
        <f t="shared" si="550"/>
        <v>Slipstream</v>
      </c>
      <c r="C5033" s="3">
        <f t="shared" si="549"/>
        <v>45993</v>
      </c>
      <c r="D5033" s="4">
        <f t="shared" ca="1" si="551"/>
        <v>86</v>
      </c>
      <c r="E5033" s="2">
        <f t="shared" ca="1" si="552"/>
        <v>3476</v>
      </c>
      <c r="F5033" s="2">
        <f t="shared" ca="1" si="553"/>
        <v>12263</v>
      </c>
      <c r="G5033" s="2">
        <f t="shared" ca="1" si="554"/>
        <v>367</v>
      </c>
    </row>
    <row r="5034" spans="1:7" x14ac:dyDescent="0.3">
      <c r="A5034" s="5" t="str">
        <f t="shared" si="548"/>
        <v>New Balance</v>
      </c>
      <c r="B5034" s="5" t="str">
        <f t="shared" si="550"/>
        <v>550</v>
      </c>
      <c r="C5034" s="3">
        <f t="shared" si="549"/>
        <v>45993</v>
      </c>
      <c r="D5034" s="4">
        <f t="shared" ca="1" si="551"/>
        <v>198</v>
      </c>
      <c r="E5034" s="2">
        <f t="shared" ca="1" si="552"/>
        <v>10738</v>
      </c>
      <c r="F5034" s="2">
        <f t="shared" ca="1" si="553"/>
        <v>7460</v>
      </c>
      <c r="G5034" s="2">
        <f t="shared" ca="1" si="554"/>
        <v>435</v>
      </c>
    </row>
    <row r="5035" spans="1:7" x14ac:dyDescent="0.3">
      <c r="A5035" s="5" t="str">
        <f t="shared" ref="A5035:A5098" si="555">CHOOSE(MOD(ROW(A5034),5)+1,"Nike","Adidas","Puma","New Balance","Reebok")</f>
        <v>Reebok</v>
      </c>
      <c r="B5035" s="5" t="str">
        <f t="shared" si="550"/>
        <v>Classic Leather</v>
      </c>
      <c r="C5035" s="3">
        <f t="shared" ref="C5035:C5098" si="556">DATE(2025,1,1)+INT((ROW(A5035)-2)/15)</f>
        <v>45993</v>
      </c>
      <c r="D5035" s="4">
        <f t="shared" ca="1" si="551"/>
        <v>211</v>
      </c>
      <c r="E5035" s="2">
        <f t="shared" ca="1" si="552"/>
        <v>10381</v>
      </c>
      <c r="F5035" s="2">
        <f t="shared" ca="1" si="553"/>
        <v>21562</v>
      </c>
      <c r="G5035" s="2">
        <f t="shared" ca="1" si="554"/>
        <v>619</v>
      </c>
    </row>
    <row r="5036" spans="1:7" x14ac:dyDescent="0.3">
      <c r="A5036" s="5" t="str">
        <f t="shared" si="555"/>
        <v>Nike</v>
      </c>
      <c r="B5036" s="5" t="str">
        <f t="shared" si="550"/>
        <v>Air Force 1</v>
      </c>
      <c r="C5036" s="3">
        <f t="shared" si="556"/>
        <v>45993</v>
      </c>
      <c r="D5036" s="4">
        <f t="shared" ca="1" si="551"/>
        <v>186</v>
      </c>
      <c r="E5036" s="2">
        <f t="shared" ca="1" si="552"/>
        <v>9891</v>
      </c>
      <c r="F5036" s="2">
        <f t="shared" ca="1" si="553"/>
        <v>34174</v>
      </c>
      <c r="G5036" s="2">
        <f t="shared" ca="1" si="554"/>
        <v>1032</v>
      </c>
    </row>
    <row r="5037" spans="1:7" x14ac:dyDescent="0.3">
      <c r="A5037" s="5" t="str">
        <f t="shared" si="555"/>
        <v>Adidas</v>
      </c>
      <c r="B5037" s="5" t="str">
        <f t="shared" si="550"/>
        <v>Superstar</v>
      </c>
      <c r="C5037" s="3">
        <f t="shared" si="556"/>
        <v>45993</v>
      </c>
      <c r="D5037" s="4">
        <f t="shared" ca="1" si="551"/>
        <v>95</v>
      </c>
      <c r="E5037" s="2">
        <f t="shared" ca="1" si="552"/>
        <v>9559</v>
      </c>
      <c r="F5037" s="2">
        <f t="shared" ca="1" si="553"/>
        <v>20359</v>
      </c>
      <c r="G5037" s="2">
        <f t="shared" ca="1" si="554"/>
        <v>807</v>
      </c>
    </row>
    <row r="5038" spans="1:7" x14ac:dyDescent="0.3">
      <c r="A5038" s="5" t="str">
        <f t="shared" si="555"/>
        <v>Puma</v>
      </c>
      <c r="B5038" s="5" t="str">
        <f t="shared" si="550"/>
        <v>Rider Vintage</v>
      </c>
      <c r="C5038" s="3">
        <f t="shared" si="556"/>
        <v>45993</v>
      </c>
      <c r="D5038" s="4">
        <f t="shared" ca="1" si="551"/>
        <v>216</v>
      </c>
      <c r="E5038" s="2">
        <f t="shared" ca="1" si="552"/>
        <v>3377</v>
      </c>
      <c r="F5038" s="2">
        <f t="shared" ca="1" si="553"/>
        <v>31594</v>
      </c>
      <c r="G5038" s="2">
        <f t="shared" ca="1" si="554"/>
        <v>2367</v>
      </c>
    </row>
    <row r="5039" spans="1:7" x14ac:dyDescent="0.3">
      <c r="A5039" s="5" t="str">
        <f t="shared" si="555"/>
        <v>New Balance</v>
      </c>
      <c r="B5039" s="5" t="str">
        <f t="shared" si="550"/>
        <v>327</v>
      </c>
      <c r="C5039" s="3">
        <f t="shared" si="556"/>
        <v>45993</v>
      </c>
      <c r="D5039" s="4">
        <f t="shared" ca="1" si="551"/>
        <v>177</v>
      </c>
      <c r="E5039" s="2">
        <f t="shared" ca="1" si="552"/>
        <v>3024</v>
      </c>
      <c r="F5039" s="2">
        <f t="shared" ca="1" si="553"/>
        <v>8804</v>
      </c>
      <c r="G5039" s="2">
        <f t="shared" ca="1" si="554"/>
        <v>219</v>
      </c>
    </row>
    <row r="5040" spans="1:7" x14ac:dyDescent="0.3">
      <c r="A5040" s="5" t="str">
        <f t="shared" si="555"/>
        <v>Reebok</v>
      </c>
      <c r="B5040" s="5" t="str">
        <f t="shared" si="550"/>
        <v>Question Mid</v>
      </c>
      <c r="C5040" s="3">
        <f t="shared" si="556"/>
        <v>45993</v>
      </c>
      <c r="D5040" s="4">
        <f t="shared" ca="1" si="551"/>
        <v>118</v>
      </c>
      <c r="E5040" s="2">
        <f t="shared" ca="1" si="552"/>
        <v>11738</v>
      </c>
      <c r="F5040" s="2">
        <f t="shared" ca="1" si="553"/>
        <v>20582</v>
      </c>
      <c r="G5040" s="2">
        <f t="shared" ca="1" si="554"/>
        <v>1285</v>
      </c>
    </row>
    <row r="5041" spans="1:7" x14ac:dyDescent="0.3">
      <c r="A5041" s="5" t="str">
        <f t="shared" si="555"/>
        <v>Nike</v>
      </c>
      <c r="B5041" s="5" t="str">
        <f t="shared" si="550"/>
        <v>Air Max 270</v>
      </c>
      <c r="C5041" s="3">
        <f t="shared" si="556"/>
        <v>45993</v>
      </c>
      <c r="D5041" s="4">
        <f t="shared" ca="1" si="551"/>
        <v>39</v>
      </c>
      <c r="E5041" s="2">
        <f t="shared" ca="1" si="552"/>
        <v>9066</v>
      </c>
      <c r="F5041" s="2">
        <f t="shared" ca="1" si="553"/>
        <v>6086</v>
      </c>
      <c r="G5041" s="2">
        <f t="shared" ca="1" si="554"/>
        <v>476</v>
      </c>
    </row>
    <row r="5042" spans="1:7" x14ac:dyDescent="0.3">
      <c r="A5042" s="5" t="str">
        <f t="shared" si="555"/>
        <v>Adidas</v>
      </c>
      <c r="B5042" s="5" t="str">
        <f t="shared" si="550"/>
        <v>Stan Smith</v>
      </c>
      <c r="C5042" s="3">
        <f t="shared" si="556"/>
        <v>45994</v>
      </c>
      <c r="D5042" s="4">
        <f t="shared" ca="1" si="551"/>
        <v>146</v>
      </c>
      <c r="E5042" s="2">
        <f t="shared" ca="1" si="552"/>
        <v>4148</v>
      </c>
      <c r="F5042" s="2">
        <f t="shared" ca="1" si="553"/>
        <v>21592</v>
      </c>
      <c r="G5042" s="2">
        <f t="shared" ca="1" si="554"/>
        <v>505</v>
      </c>
    </row>
    <row r="5043" spans="1:7" x14ac:dyDescent="0.3">
      <c r="A5043" s="5" t="str">
        <f t="shared" si="555"/>
        <v>Puma</v>
      </c>
      <c r="B5043" s="5" t="str">
        <f t="shared" si="550"/>
        <v>Cali Dream</v>
      </c>
      <c r="C5043" s="3">
        <f t="shared" si="556"/>
        <v>45994</v>
      </c>
      <c r="D5043" s="4">
        <f t="shared" ca="1" si="551"/>
        <v>156</v>
      </c>
      <c r="E5043" s="2">
        <f t="shared" ca="1" si="552"/>
        <v>7049</v>
      </c>
      <c r="F5043" s="2">
        <f t="shared" ca="1" si="553"/>
        <v>13865</v>
      </c>
      <c r="G5043" s="2">
        <f t="shared" ca="1" si="554"/>
        <v>418</v>
      </c>
    </row>
    <row r="5044" spans="1:7" x14ac:dyDescent="0.3">
      <c r="A5044" s="5" t="str">
        <f t="shared" si="555"/>
        <v>New Balance</v>
      </c>
      <c r="B5044" s="5" t="str">
        <f t="shared" si="550"/>
        <v>9060</v>
      </c>
      <c r="C5044" s="3">
        <f t="shared" si="556"/>
        <v>45994</v>
      </c>
      <c r="D5044" s="4">
        <f t="shared" ca="1" si="551"/>
        <v>52</v>
      </c>
      <c r="E5044" s="2">
        <f t="shared" ca="1" si="552"/>
        <v>2172</v>
      </c>
      <c r="F5044" s="2">
        <f t="shared" ca="1" si="553"/>
        <v>10793</v>
      </c>
      <c r="G5044" s="2">
        <f t="shared" ca="1" si="554"/>
        <v>371</v>
      </c>
    </row>
    <row r="5045" spans="1:7" x14ac:dyDescent="0.3">
      <c r="A5045" s="5" t="str">
        <f t="shared" si="555"/>
        <v>Reebok</v>
      </c>
      <c r="B5045" s="5" t="str">
        <f t="shared" si="550"/>
        <v>Zig Kinetica</v>
      </c>
      <c r="C5045" s="3">
        <f t="shared" si="556"/>
        <v>45994</v>
      </c>
      <c r="D5045" s="4">
        <f t="shared" ca="1" si="551"/>
        <v>40</v>
      </c>
      <c r="E5045" s="2">
        <f t="shared" ca="1" si="552"/>
        <v>5367</v>
      </c>
      <c r="F5045" s="2">
        <f t="shared" ca="1" si="553"/>
        <v>17112</v>
      </c>
      <c r="G5045" s="2">
        <f t="shared" ca="1" si="554"/>
        <v>813</v>
      </c>
    </row>
    <row r="5046" spans="1:7" x14ac:dyDescent="0.3">
      <c r="A5046" s="5" t="str">
        <f t="shared" si="555"/>
        <v>Nike</v>
      </c>
      <c r="B5046" s="5" t="str">
        <f t="shared" si="550"/>
        <v>Jordan 1</v>
      </c>
      <c r="C5046" s="3">
        <f t="shared" si="556"/>
        <v>45994</v>
      </c>
      <c r="D5046" s="4">
        <f t="shared" ca="1" si="551"/>
        <v>133</v>
      </c>
      <c r="E5046" s="2">
        <f t="shared" ca="1" si="552"/>
        <v>4365</v>
      </c>
      <c r="F5046" s="2">
        <f t="shared" ca="1" si="553"/>
        <v>28512</v>
      </c>
      <c r="G5046" s="2">
        <f t="shared" ca="1" si="554"/>
        <v>1731</v>
      </c>
    </row>
    <row r="5047" spans="1:7" x14ac:dyDescent="0.3">
      <c r="A5047" s="5" t="str">
        <f t="shared" si="555"/>
        <v>Adidas</v>
      </c>
      <c r="B5047" s="5" t="str">
        <f t="shared" si="550"/>
        <v>Ultraboost 23</v>
      </c>
      <c r="C5047" s="3">
        <f t="shared" si="556"/>
        <v>45994</v>
      </c>
      <c r="D5047" s="4">
        <f t="shared" ca="1" si="551"/>
        <v>55</v>
      </c>
      <c r="E5047" s="2">
        <f t="shared" ca="1" si="552"/>
        <v>7445</v>
      </c>
      <c r="F5047" s="2">
        <f t="shared" ca="1" si="553"/>
        <v>21452</v>
      </c>
      <c r="G5047" s="2">
        <f t="shared" ca="1" si="554"/>
        <v>1062</v>
      </c>
    </row>
    <row r="5048" spans="1:7" x14ac:dyDescent="0.3">
      <c r="A5048" s="5" t="str">
        <f t="shared" si="555"/>
        <v>Puma</v>
      </c>
      <c r="B5048" s="5" t="str">
        <f t="shared" si="550"/>
        <v>RS-X</v>
      </c>
      <c r="C5048" s="3">
        <f t="shared" si="556"/>
        <v>45994</v>
      </c>
      <c r="D5048" s="4">
        <f t="shared" ca="1" si="551"/>
        <v>114</v>
      </c>
      <c r="E5048" s="2">
        <f t="shared" ca="1" si="552"/>
        <v>4089</v>
      </c>
      <c r="F5048" s="2">
        <f t="shared" ca="1" si="553"/>
        <v>7830</v>
      </c>
      <c r="G5048" s="2">
        <f t="shared" ca="1" si="554"/>
        <v>424</v>
      </c>
    </row>
    <row r="5049" spans="1:7" x14ac:dyDescent="0.3">
      <c r="A5049" s="5" t="str">
        <f t="shared" si="555"/>
        <v>New Balance</v>
      </c>
      <c r="B5049" s="5" t="str">
        <f t="shared" si="550"/>
        <v>2002R</v>
      </c>
      <c r="C5049" s="3">
        <f t="shared" si="556"/>
        <v>45994</v>
      </c>
      <c r="D5049" s="4">
        <f t="shared" ca="1" si="551"/>
        <v>157</v>
      </c>
      <c r="E5049" s="2">
        <f t="shared" ca="1" si="552"/>
        <v>11528</v>
      </c>
      <c r="F5049" s="2">
        <f t="shared" ca="1" si="553"/>
        <v>5327</v>
      </c>
      <c r="G5049" s="2">
        <f t="shared" ca="1" si="554"/>
        <v>125</v>
      </c>
    </row>
    <row r="5050" spans="1:7" x14ac:dyDescent="0.3">
      <c r="A5050" s="5" t="str">
        <f t="shared" si="555"/>
        <v>Reebok</v>
      </c>
      <c r="B5050" s="5" t="str">
        <f t="shared" si="550"/>
        <v>Instapump Fury</v>
      </c>
      <c r="C5050" s="3">
        <f t="shared" si="556"/>
        <v>45994</v>
      </c>
      <c r="D5050" s="4">
        <f t="shared" ca="1" si="551"/>
        <v>113</v>
      </c>
      <c r="E5050" s="2">
        <f t="shared" ca="1" si="552"/>
        <v>4152</v>
      </c>
      <c r="F5050" s="2">
        <f t="shared" ca="1" si="553"/>
        <v>27619</v>
      </c>
      <c r="G5050" s="2">
        <f t="shared" ca="1" si="554"/>
        <v>1175</v>
      </c>
    </row>
    <row r="5051" spans="1:7" x14ac:dyDescent="0.3">
      <c r="A5051" s="5" t="str">
        <f t="shared" si="555"/>
        <v>Nike</v>
      </c>
      <c r="B5051" s="5" t="str">
        <f t="shared" si="550"/>
        <v>Cortez</v>
      </c>
      <c r="C5051" s="3">
        <f t="shared" si="556"/>
        <v>45994</v>
      </c>
      <c r="D5051" s="4">
        <f t="shared" ca="1" si="551"/>
        <v>168</v>
      </c>
      <c r="E5051" s="2">
        <f t="shared" ca="1" si="552"/>
        <v>5932</v>
      </c>
      <c r="F5051" s="2">
        <f t="shared" ca="1" si="553"/>
        <v>22770</v>
      </c>
      <c r="G5051" s="2">
        <f t="shared" ca="1" si="554"/>
        <v>1142</v>
      </c>
    </row>
    <row r="5052" spans="1:7" x14ac:dyDescent="0.3">
      <c r="A5052" s="5" t="str">
        <f t="shared" si="555"/>
        <v>Adidas</v>
      </c>
      <c r="B5052" s="5" t="str">
        <f t="shared" si="550"/>
        <v>NMD S1</v>
      </c>
      <c r="C5052" s="3">
        <f t="shared" si="556"/>
        <v>45994</v>
      </c>
      <c r="D5052" s="4">
        <f t="shared" ca="1" si="551"/>
        <v>108</v>
      </c>
      <c r="E5052" s="2">
        <f t="shared" ca="1" si="552"/>
        <v>2805</v>
      </c>
      <c r="F5052" s="2">
        <f t="shared" ca="1" si="553"/>
        <v>10309</v>
      </c>
      <c r="G5052" s="2">
        <f t="shared" ca="1" si="554"/>
        <v>517</v>
      </c>
    </row>
    <row r="5053" spans="1:7" x14ac:dyDescent="0.3">
      <c r="A5053" s="5" t="str">
        <f t="shared" si="555"/>
        <v>Puma</v>
      </c>
      <c r="B5053" s="5" t="str">
        <f t="shared" si="550"/>
        <v>Suede Classic</v>
      </c>
      <c r="C5053" s="3">
        <f t="shared" si="556"/>
        <v>45994</v>
      </c>
      <c r="D5053" s="4">
        <f t="shared" ca="1" si="551"/>
        <v>74</v>
      </c>
      <c r="E5053" s="2">
        <f t="shared" ca="1" si="552"/>
        <v>5503</v>
      </c>
      <c r="F5053" s="2">
        <f t="shared" ca="1" si="553"/>
        <v>11971</v>
      </c>
      <c r="G5053" s="2">
        <f t="shared" ca="1" si="554"/>
        <v>357</v>
      </c>
    </row>
    <row r="5054" spans="1:7" x14ac:dyDescent="0.3">
      <c r="A5054" s="5" t="str">
        <f t="shared" si="555"/>
        <v>New Balance</v>
      </c>
      <c r="B5054" s="5" t="str">
        <f t="shared" si="550"/>
        <v>990v6</v>
      </c>
      <c r="C5054" s="3">
        <f t="shared" si="556"/>
        <v>45994</v>
      </c>
      <c r="D5054" s="4">
        <f t="shared" ca="1" si="551"/>
        <v>142</v>
      </c>
      <c r="E5054" s="2">
        <f t="shared" ca="1" si="552"/>
        <v>1944</v>
      </c>
      <c r="F5054" s="2">
        <f t="shared" ca="1" si="553"/>
        <v>26932</v>
      </c>
      <c r="G5054" s="2">
        <f t="shared" ca="1" si="554"/>
        <v>1149</v>
      </c>
    </row>
    <row r="5055" spans="1:7" x14ac:dyDescent="0.3">
      <c r="A5055" s="5" t="str">
        <f t="shared" si="555"/>
        <v>Reebok</v>
      </c>
      <c r="B5055" s="5" t="str">
        <f t="shared" si="550"/>
        <v>Nano X3</v>
      </c>
      <c r="C5055" s="3">
        <f t="shared" si="556"/>
        <v>45994</v>
      </c>
      <c r="D5055" s="4">
        <f t="shared" ca="1" si="551"/>
        <v>175</v>
      </c>
      <c r="E5055" s="2">
        <f t="shared" ca="1" si="552"/>
        <v>7305</v>
      </c>
      <c r="F5055" s="2">
        <f t="shared" ca="1" si="553"/>
        <v>11241</v>
      </c>
      <c r="G5055" s="2">
        <f t="shared" ca="1" si="554"/>
        <v>873</v>
      </c>
    </row>
    <row r="5056" spans="1:7" x14ac:dyDescent="0.3">
      <c r="A5056" s="5" t="str">
        <f t="shared" si="555"/>
        <v>Nike</v>
      </c>
      <c r="B5056" s="5" t="str">
        <f t="shared" si="550"/>
        <v>Vaporfly 3</v>
      </c>
      <c r="C5056" s="3">
        <f t="shared" si="556"/>
        <v>45994</v>
      </c>
      <c r="D5056" s="4">
        <f t="shared" ca="1" si="551"/>
        <v>247</v>
      </c>
      <c r="E5056" s="2">
        <f t="shared" ca="1" si="552"/>
        <v>6083</v>
      </c>
      <c r="F5056" s="2">
        <f t="shared" ca="1" si="553"/>
        <v>19713</v>
      </c>
      <c r="G5056" s="2">
        <f t="shared" ca="1" si="554"/>
        <v>636</v>
      </c>
    </row>
    <row r="5057" spans="1:7" x14ac:dyDescent="0.3">
      <c r="A5057" s="5" t="str">
        <f t="shared" si="555"/>
        <v>Adidas</v>
      </c>
      <c r="B5057" s="5" t="str">
        <f t="shared" si="550"/>
        <v>Samba</v>
      </c>
      <c r="C5057" s="3">
        <f t="shared" si="556"/>
        <v>45995</v>
      </c>
      <c r="D5057" s="4">
        <f t="shared" ca="1" si="551"/>
        <v>53</v>
      </c>
      <c r="E5057" s="2">
        <f t="shared" ca="1" si="552"/>
        <v>10942</v>
      </c>
      <c r="F5057" s="2">
        <f t="shared" ca="1" si="553"/>
        <v>10657</v>
      </c>
      <c r="G5057" s="2">
        <f t="shared" ca="1" si="554"/>
        <v>308</v>
      </c>
    </row>
    <row r="5058" spans="1:7" x14ac:dyDescent="0.3">
      <c r="A5058" s="5" t="str">
        <f t="shared" si="555"/>
        <v>Puma</v>
      </c>
      <c r="B5058" s="5" t="str">
        <f t="shared" si="550"/>
        <v>Mayze</v>
      </c>
      <c r="C5058" s="3">
        <f t="shared" si="556"/>
        <v>45995</v>
      </c>
      <c r="D5058" s="4">
        <f t="shared" ca="1" si="551"/>
        <v>186</v>
      </c>
      <c r="E5058" s="2">
        <f t="shared" ca="1" si="552"/>
        <v>3930</v>
      </c>
      <c r="F5058" s="2">
        <f t="shared" ca="1" si="553"/>
        <v>14742</v>
      </c>
      <c r="G5058" s="2">
        <f t="shared" ca="1" si="554"/>
        <v>971</v>
      </c>
    </row>
    <row r="5059" spans="1:7" x14ac:dyDescent="0.3">
      <c r="A5059" s="5" t="str">
        <f t="shared" si="555"/>
        <v>New Balance</v>
      </c>
      <c r="B5059" s="5" t="str">
        <f t="shared" ref="B5059:B5122" si="557">IF(A5059="Nike",CHOOSE(MOD(ROW(A5058),6)+1,"Air Max 270","Air Force 1","Pegasus 40","Vaporfly 3","Cortez","Jordan 1"),
 IF(A5059="Adidas",CHOOSE(MOD(ROW(A5058),6)+1,"Ultraboost 23","Stan Smith","Superstar","Gazelle","Samba","NMD S1"),
 IF(A5059="Puma",CHOOSE(MOD(ROW(A5058),6)+1,"Suede Classic","RS-X","Cali Dream","Rider Vintage","Slipstream","Mayze"),
 IF(A5059="New Balance",CHOOSE(MOD(ROW(A5058),6)+1,"574 Core","990v6","2002R","9060","327","550"),
 IF(A5059="Reebok",CHOOSE(MOD(ROW(A5058),6)+1,"Classic Leather","Club C 85","Nano X3","Instapump Fury","Zig Kinetica","Question Mid"),"")))))</f>
        <v>574 Core</v>
      </c>
      <c r="C5059" s="3">
        <f t="shared" si="556"/>
        <v>45995</v>
      </c>
      <c r="D5059" s="4">
        <f t="shared" ref="D5059:D5122" ca="1" si="558">RANDBETWEEN(20,250)</f>
        <v>132</v>
      </c>
      <c r="E5059" s="2">
        <f t="shared" ref="E5059:E5122" ca="1" si="559">ROUND(RANDBETWEEN(1500,12000)+(RANDBETWEEN(-200,200)),2)</f>
        <v>10138</v>
      </c>
      <c r="F5059" s="2">
        <f t="shared" ref="F5059:F5122" ca="1" si="560">RANDBETWEEN(5000,35000)</f>
        <v>32930</v>
      </c>
      <c r="G5059" s="2">
        <f t="shared" ref="G5059:G5122" ca="1" si="561">RANDBETWEEN(ROUND(F5059*0.02,0),ROUND(F5059*0.08,0))</f>
        <v>1520</v>
      </c>
    </row>
    <row r="5060" spans="1:7" x14ac:dyDescent="0.3">
      <c r="A5060" s="5" t="str">
        <f t="shared" si="555"/>
        <v>Reebok</v>
      </c>
      <c r="B5060" s="5" t="str">
        <f t="shared" si="557"/>
        <v>Club C 85</v>
      </c>
      <c r="C5060" s="3">
        <f t="shared" si="556"/>
        <v>45995</v>
      </c>
      <c r="D5060" s="4">
        <f t="shared" ca="1" si="558"/>
        <v>68</v>
      </c>
      <c r="E5060" s="2">
        <f t="shared" ca="1" si="559"/>
        <v>5905</v>
      </c>
      <c r="F5060" s="2">
        <f t="shared" ca="1" si="560"/>
        <v>12392</v>
      </c>
      <c r="G5060" s="2">
        <f t="shared" ca="1" si="561"/>
        <v>662</v>
      </c>
    </row>
    <row r="5061" spans="1:7" x14ac:dyDescent="0.3">
      <c r="A5061" s="5" t="str">
        <f t="shared" si="555"/>
        <v>Nike</v>
      </c>
      <c r="B5061" s="5" t="str">
        <f t="shared" si="557"/>
        <v>Pegasus 40</v>
      </c>
      <c r="C5061" s="3">
        <f t="shared" si="556"/>
        <v>45995</v>
      </c>
      <c r="D5061" s="4">
        <f t="shared" ca="1" si="558"/>
        <v>40</v>
      </c>
      <c r="E5061" s="2">
        <f t="shared" ca="1" si="559"/>
        <v>3355</v>
      </c>
      <c r="F5061" s="2">
        <f t="shared" ca="1" si="560"/>
        <v>19486</v>
      </c>
      <c r="G5061" s="2">
        <f t="shared" ca="1" si="561"/>
        <v>766</v>
      </c>
    </row>
    <row r="5062" spans="1:7" x14ac:dyDescent="0.3">
      <c r="A5062" s="5" t="str">
        <f t="shared" si="555"/>
        <v>Adidas</v>
      </c>
      <c r="B5062" s="5" t="str">
        <f t="shared" si="557"/>
        <v>Gazelle</v>
      </c>
      <c r="C5062" s="3">
        <f t="shared" si="556"/>
        <v>45995</v>
      </c>
      <c r="D5062" s="4">
        <f t="shared" ca="1" si="558"/>
        <v>156</v>
      </c>
      <c r="E5062" s="2">
        <f t="shared" ca="1" si="559"/>
        <v>6530</v>
      </c>
      <c r="F5062" s="2">
        <f t="shared" ca="1" si="560"/>
        <v>25015</v>
      </c>
      <c r="G5062" s="2">
        <f t="shared" ca="1" si="561"/>
        <v>824</v>
      </c>
    </row>
    <row r="5063" spans="1:7" x14ac:dyDescent="0.3">
      <c r="A5063" s="5" t="str">
        <f t="shared" si="555"/>
        <v>Puma</v>
      </c>
      <c r="B5063" s="5" t="str">
        <f t="shared" si="557"/>
        <v>Slipstream</v>
      </c>
      <c r="C5063" s="3">
        <f t="shared" si="556"/>
        <v>45995</v>
      </c>
      <c r="D5063" s="4">
        <f t="shared" ca="1" si="558"/>
        <v>53</v>
      </c>
      <c r="E5063" s="2">
        <f t="shared" ca="1" si="559"/>
        <v>3042</v>
      </c>
      <c r="F5063" s="2">
        <f t="shared" ca="1" si="560"/>
        <v>33073</v>
      </c>
      <c r="G5063" s="2">
        <f t="shared" ca="1" si="561"/>
        <v>761</v>
      </c>
    </row>
    <row r="5064" spans="1:7" x14ac:dyDescent="0.3">
      <c r="A5064" s="5" t="str">
        <f t="shared" si="555"/>
        <v>New Balance</v>
      </c>
      <c r="B5064" s="5" t="str">
        <f t="shared" si="557"/>
        <v>550</v>
      </c>
      <c r="C5064" s="3">
        <f t="shared" si="556"/>
        <v>45995</v>
      </c>
      <c r="D5064" s="4">
        <f t="shared" ca="1" si="558"/>
        <v>225</v>
      </c>
      <c r="E5064" s="2">
        <f t="shared" ca="1" si="559"/>
        <v>4089</v>
      </c>
      <c r="F5064" s="2">
        <f t="shared" ca="1" si="560"/>
        <v>15916</v>
      </c>
      <c r="G5064" s="2">
        <f t="shared" ca="1" si="561"/>
        <v>470</v>
      </c>
    </row>
    <row r="5065" spans="1:7" x14ac:dyDescent="0.3">
      <c r="A5065" s="5" t="str">
        <f t="shared" si="555"/>
        <v>Reebok</v>
      </c>
      <c r="B5065" s="5" t="str">
        <f t="shared" si="557"/>
        <v>Classic Leather</v>
      </c>
      <c r="C5065" s="3">
        <f t="shared" si="556"/>
        <v>45995</v>
      </c>
      <c r="D5065" s="4">
        <f t="shared" ca="1" si="558"/>
        <v>146</v>
      </c>
      <c r="E5065" s="2">
        <f t="shared" ca="1" si="559"/>
        <v>2465</v>
      </c>
      <c r="F5065" s="2">
        <f t="shared" ca="1" si="560"/>
        <v>23499</v>
      </c>
      <c r="G5065" s="2">
        <f t="shared" ca="1" si="561"/>
        <v>1409</v>
      </c>
    </row>
    <row r="5066" spans="1:7" x14ac:dyDescent="0.3">
      <c r="A5066" s="5" t="str">
        <f t="shared" si="555"/>
        <v>Nike</v>
      </c>
      <c r="B5066" s="5" t="str">
        <f t="shared" si="557"/>
        <v>Air Force 1</v>
      </c>
      <c r="C5066" s="3">
        <f t="shared" si="556"/>
        <v>45995</v>
      </c>
      <c r="D5066" s="4">
        <f t="shared" ca="1" si="558"/>
        <v>87</v>
      </c>
      <c r="E5066" s="2">
        <f t="shared" ca="1" si="559"/>
        <v>4500</v>
      </c>
      <c r="F5066" s="2">
        <f t="shared" ca="1" si="560"/>
        <v>33192</v>
      </c>
      <c r="G5066" s="2">
        <f t="shared" ca="1" si="561"/>
        <v>1838</v>
      </c>
    </row>
    <row r="5067" spans="1:7" x14ac:dyDescent="0.3">
      <c r="A5067" s="5" t="str">
        <f t="shared" si="555"/>
        <v>Adidas</v>
      </c>
      <c r="B5067" s="5" t="str">
        <f t="shared" si="557"/>
        <v>Superstar</v>
      </c>
      <c r="C5067" s="3">
        <f t="shared" si="556"/>
        <v>45995</v>
      </c>
      <c r="D5067" s="4">
        <f t="shared" ca="1" si="558"/>
        <v>109</v>
      </c>
      <c r="E5067" s="2">
        <f t="shared" ca="1" si="559"/>
        <v>6457</v>
      </c>
      <c r="F5067" s="2">
        <f t="shared" ca="1" si="560"/>
        <v>8433</v>
      </c>
      <c r="G5067" s="2">
        <f t="shared" ca="1" si="561"/>
        <v>349</v>
      </c>
    </row>
    <row r="5068" spans="1:7" x14ac:dyDescent="0.3">
      <c r="A5068" s="5" t="str">
        <f t="shared" si="555"/>
        <v>Puma</v>
      </c>
      <c r="B5068" s="5" t="str">
        <f t="shared" si="557"/>
        <v>Rider Vintage</v>
      </c>
      <c r="C5068" s="3">
        <f t="shared" si="556"/>
        <v>45995</v>
      </c>
      <c r="D5068" s="4">
        <f t="shared" ca="1" si="558"/>
        <v>149</v>
      </c>
      <c r="E5068" s="2">
        <f t="shared" ca="1" si="559"/>
        <v>1791</v>
      </c>
      <c r="F5068" s="2">
        <f t="shared" ca="1" si="560"/>
        <v>12027</v>
      </c>
      <c r="G5068" s="2">
        <f t="shared" ca="1" si="561"/>
        <v>404</v>
      </c>
    </row>
    <row r="5069" spans="1:7" x14ac:dyDescent="0.3">
      <c r="A5069" s="5" t="str">
        <f t="shared" si="555"/>
        <v>New Balance</v>
      </c>
      <c r="B5069" s="5" t="str">
        <f t="shared" si="557"/>
        <v>327</v>
      </c>
      <c r="C5069" s="3">
        <f t="shared" si="556"/>
        <v>45995</v>
      </c>
      <c r="D5069" s="4">
        <f t="shared" ca="1" si="558"/>
        <v>219</v>
      </c>
      <c r="E5069" s="2">
        <f t="shared" ca="1" si="559"/>
        <v>4333</v>
      </c>
      <c r="F5069" s="2">
        <f t="shared" ca="1" si="560"/>
        <v>16951</v>
      </c>
      <c r="G5069" s="2">
        <f t="shared" ca="1" si="561"/>
        <v>1228</v>
      </c>
    </row>
    <row r="5070" spans="1:7" x14ac:dyDescent="0.3">
      <c r="A5070" s="5" t="str">
        <f t="shared" si="555"/>
        <v>Reebok</v>
      </c>
      <c r="B5070" s="5" t="str">
        <f t="shared" si="557"/>
        <v>Question Mid</v>
      </c>
      <c r="C5070" s="3">
        <f t="shared" si="556"/>
        <v>45995</v>
      </c>
      <c r="D5070" s="4">
        <f t="shared" ca="1" si="558"/>
        <v>164</v>
      </c>
      <c r="E5070" s="2">
        <f t="shared" ca="1" si="559"/>
        <v>8156</v>
      </c>
      <c r="F5070" s="2">
        <f t="shared" ca="1" si="560"/>
        <v>17795</v>
      </c>
      <c r="G5070" s="2">
        <f t="shared" ca="1" si="561"/>
        <v>1031</v>
      </c>
    </row>
    <row r="5071" spans="1:7" x14ac:dyDescent="0.3">
      <c r="A5071" s="5" t="str">
        <f t="shared" si="555"/>
        <v>Nike</v>
      </c>
      <c r="B5071" s="5" t="str">
        <f t="shared" si="557"/>
        <v>Air Max 270</v>
      </c>
      <c r="C5071" s="3">
        <f t="shared" si="556"/>
        <v>45995</v>
      </c>
      <c r="D5071" s="4">
        <f t="shared" ca="1" si="558"/>
        <v>126</v>
      </c>
      <c r="E5071" s="2">
        <f t="shared" ca="1" si="559"/>
        <v>10864</v>
      </c>
      <c r="F5071" s="2">
        <f t="shared" ca="1" si="560"/>
        <v>18971</v>
      </c>
      <c r="G5071" s="2">
        <f t="shared" ca="1" si="561"/>
        <v>838</v>
      </c>
    </row>
    <row r="5072" spans="1:7" x14ac:dyDescent="0.3">
      <c r="A5072" s="5" t="str">
        <f t="shared" si="555"/>
        <v>Adidas</v>
      </c>
      <c r="B5072" s="5" t="str">
        <f t="shared" si="557"/>
        <v>Stan Smith</v>
      </c>
      <c r="C5072" s="3">
        <f t="shared" si="556"/>
        <v>45996</v>
      </c>
      <c r="D5072" s="4">
        <f t="shared" ca="1" si="558"/>
        <v>152</v>
      </c>
      <c r="E5072" s="2">
        <f t="shared" ca="1" si="559"/>
        <v>8871</v>
      </c>
      <c r="F5072" s="2">
        <f t="shared" ca="1" si="560"/>
        <v>26485</v>
      </c>
      <c r="G5072" s="2">
        <f t="shared" ca="1" si="561"/>
        <v>1886</v>
      </c>
    </row>
    <row r="5073" spans="1:7" x14ac:dyDescent="0.3">
      <c r="A5073" s="5" t="str">
        <f t="shared" si="555"/>
        <v>Puma</v>
      </c>
      <c r="B5073" s="5" t="str">
        <f t="shared" si="557"/>
        <v>Cali Dream</v>
      </c>
      <c r="C5073" s="3">
        <f t="shared" si="556"/>
        <v>45996</v>
      </c>
      <c r="D5073" s="4">
        <f t="shared" ca="1" si="558"/>
        <v>218</v>
      </c>
      <c r="E5073" s="2">
        <f t="shared" ca="1" si="559"/>
        <v>7022</v>
      </c>
      <c r="F5073" s="2">
        <f t="shared" ca="1" si="560"/>
        <v>8516</v>
      </c>
      <c r="G5073" s="2">
        <f t="shared" ca="1" si="561"/>
        <v>473</v>
      </c>
    </row>
    <row r="5074" spans="1:7" x14ac:dyDescent="0.3">
      <c r="A5074" s="5" t="str">
        <f t="shared" si="555"/>
        <v>New Balance</v>
      </c>
      <c r="B5074" s="5" t="str">
        <f t="shared" si="557"/>
        <v>9060</v>
      </c>
      <c r="C5074" s="3">
        <f t="shared" si="556"/>
        <v>45996</v>
      </c>
      <c r="D5074" s="4">
        <f t="shared" ca="1" si="558"/>
        <v>47</v>
      </c>
      <c r="E5074" s="2">
        <f t="shared" ca="1" si="559"/>
        <v>5352</v>
      </c>
      <c r="F5074" s="2">
        <f t="shared" ca="1" si="560"/>
        <v>5982</v>
      </c>
      <c r="G5074" s="2">
        <f t="shared" ca="1" si="561"/>
        <v>395</v>
      </c>
    </row>
    <row r="5075" spans="1:7" x14ac:dyDescent="0.3">
      <c r="A5075" s="5" t="str">
        <f t="shared" si="555"/>
        <v>Reebok</v>
      </c>
      <c r="B5075" s="5" t="str">
        <f t="shared" si="557"/>
        <v>Zig Kinetica</v>
      </c>
      <c r="C5075" s="3">
        <f t="shared" si="556"/>
        <v>45996</v>
      </c>
      <c r="D5075" s="4">
        <f t="shared" ca="1" si="558"/>
        <v>198</v>
      </c>
      <c r="E5075" s="2">
        <f t="shared" ca="1" si="559"/>
        <v>9796</v>
      </c>
      <c r="F5075" s="2">
        <f t="shared" ca="1" si="560"/>
        <v>23496</v>
      </c>
      <c r="G5075" s="2">
        <f t="shared" ca="1" si="561"/>
        <v>795</v>
      </c>
    </row>
    <row r="5076" spans="1:7" x14ac:dyDescent="0.3">
      <c r="A5076" s="5" t="str">
        <f t="shared" si="555"/>
        <v>Nike</v>
      </c>
      <c r="B5076" s="5" t="str">
        <f t="shared" si="557"/>
        <v>Jordan 1</v>
      </c>
      <c r="C5076" s="3">
        <f t="shared" si="556"/>
        <v>45996</v>
      </c>
      <c r="D5076" s="4">
        <f t="shared" ca="1" si="558"/>
        <v>38</v>
      </c>
      <c r="E5076" s="2">
        <f t="shared" ca="1" si="559"/>
        <v>4482</v>
      </c>
      <c r="F5076" s="2">
        <f t="shared" ca="1" si="560"/>
        <v>21348</v>
      </c>
      <c r="G5076" s="2">
        <f t="shared" ca="1" si="561"/>
        <v>1334</v>
      </c>
    </row>
    <row r="5077" spans="1:7" x14ac:dyDescent="0.3">
      <c r="A5077" s="5" t="str">
        <f t="shared" si="555"/>
        <v>Adidas</v>
      </c>
      <c r="B5077" s="5" t="str">
        <f t="shared" si="557"/>
        <v>Ultraboost 23</v>
      </c>
      <c r="C5077" s="3">
        <f t="shared" si="556"/>
        <v>45996</v>
      </c>
      <c r="D5077" s="4">
        <f t="shared" ca="1" si="558"/>
        <v>107</v>
      </c>
      <c r="E5077" s="2">
        <f t="shared" ca="1" si="559"/>
        <v>2276</v>
      </c>
      <c r="F5077" s="2">
        <f t="shared" ca="1" si="560"/>
        <v>27085</v>
      </c>
      <c r="G5077" s="2">
        <f t="shared" ca="1" si="561"/>
        <v>932</v>
      </c>
    </row>
    <row r="5078" spans="1:7" x14ac:dyDescent="0.3">
      <c r="A5078" s="5" t="str">
        <f t="shared" si="555"/>
        <v>Puma</v>
      </c>
      <c r="B5078" s="5" t="str">
        <f t="shared" si="557"/>
        <v>RS-X</v>
      </c>
      <c r="C5078" s="3">
        <f t="shared" si="556"/>
        <v>45996</v>
      </c>
      <c r="D5078" s="4">
        <f t="shared" ca="1" si="558"/>
        <v>54</v>
      </c>
      <c r="E5078" s="2">
        <f t="shared" ca="1" si="559"/>
        <v>11492</v>
      </c>
      <c r="F5078" s="2">
        <f t="shared" ca="1" si="560"/>
        <v>34797</v>
      </c>
      <c r="G5078" s="2">
        <f t="shared" ca="1" si="561"/>
        <v>1504</v>
      </c>
    </row>
    <row r="5079" spans="1:7" x14ac:dyDescent="0.3">
      <c r="A5079" s="5" t="str">
        <f t="shared" si="555"/>
        <v>New Balance</v>
      </c>
      <c r="B5079" s="5" t="str">
        <f t="shared" si="557"/>
        <v>2002R</v>
      </c>
      <c r="C5079" s="3">
        <f t="shared" si="556"/>
        <v>45996</v>
      </c>
      <c r="D5079" s="4">
        <f t="shared" ca="1" si="558"/>
        <v>250</v>
      </c>
      <c r="E5079" s="2">
        <f t="shared" ca="1" si="559"/>
        <v>2222</v>
      </c>
      <c r="F5079" s="2">
        <f t="shared" ca="1" si="560"/>
        <v>13594</v>
      </c>
      <c r="G5079" s="2">
        <f t="shared" ca="1" si="561"/>
        <v>320</v>
      </c>
    </row>
    <row r="5080" spans="1:7" x14ac:dyDescent="0.3">
      <c r="A5080" s="5" t="str">
        <f t="shared" si="555"/>
        <v>Reebok</v>
      </c>
      <c r="B5080" s="5" t="str">
        <f t="shared" si="557"/>
        <v>Instapump Fury</v>
      </c>
      <c r="C5080" s="3">
        <f t="shared" si="556"/>
        <v>45996</v>
      </c>
      <c r="D5080" s="4">
        <f t="shared" ca="1" si="558"/>
        <v>143</v>
      </c>
      <c r="E5080" s="2">
        <f t="shared" ca="1" si="559"/>
        <v>1761</v>
      </c>
      <c r="F5080" s="2">
        <f t="shared" ca="1" si="560"/>
        <v>31606</v>
      </c>
      <c r="G5080" s="2">
        <f t="shared" ca="1" si="561"/>
        <v>978</v>
      </c>
    </row>
    <row r="5081" spans="1:7" x14ac:dyDescent="0.3">
      <c r="A5081" s="5" t="str">
        <f t="shared" si="555"/>
        <v>Nike</v>
      </c>
      <c r="B5081" s="5" t="str">
        <f t="shared" si="557"/>
        <v>Cortez</v>
      </c>
      <c r="C5081" s="3">
        <f t="shared" si="556"/>
        <v>45996</v>
      </c>
      <c r="D5081" s="4">
        <f t="shared" ca="1" si="558"/>
        <v>217</v>
      </c>
      <c r="E5081" s="2">
        <f t="shared" ca="1" si="559"/>
        <v>3204</v>
      </c>
      <c r="F5081" s="2">
        <f t="shared" ca="1" si="560"/>
        <v>5481</v>
      </c>
      <c r="G5081" s="2">
        <f t="shared" ca="1" si="561"/>
        <v>120</v>
      </c>
    </row>
    <row r="5082" spans="1:7" x14ac:dyDescent="0.3">
      <c r="A5082" s="5" t="str">
        <f t="shared" si="555"/>
        <v>Adidas</v>
      </c>
      <c r="B5082" s="5" t="str">
        <f t="shared" si="557"/>
        <v>NMD S1</v>
      </c>
      <c r="C5082" s="3">
        <f t="shared" si="556"/>
        <v>45996</v>
      </c>
      <c r="D5082" s="4">
        <f t="shared" ca="1" si="558"/>
        <v>51</v>
      </c>
      <c r="E5082" s="2">
        <f t="shared" ca="1" si="559"/>
        <v>8622</v>
      </c>
      <c r="F5082" s="2">
        <f t="shared" ca="1" si="560"/>
        <v>28647</v>
      </c>
      <c r="G5082" s="2">
        <f t="shared" ca="1" si="561"/>
        <v>825</v>
      </c>
    </row>
    <row r="5083" spans="1:7" x14ac:dyDescent="0.3">
      <c r="A5083" s="5" t="str">
        <f t="shared" si="555"/>
        <v>Puma</v>
      </c>
      <c r="B5083" s="5" t="str">
        <f t="shared" si="557"/>
        <v>Suede Classic</v>
      </c>
      <c r="C5083" s="3">
        <f t="shared" si="556"/>
        <v>45996</v>
      </c>
      <c r="D5083" s="4">
        <f t="shared" ca="1" si="558"/>
        <v>122</v>
      </c>
      <c r="E5083" s="2">
        <f t="shared" ca="1" si="559"/>
        <v>10616</v>
      </c>
      <c r="F5083" s="2">
        <f t="shared" ca="1" si="560"/>
        <v>7940</v>
      </c>
      <c r="G5083" s="2">
        <f t="shared" ca="1" si="561"/>
        <v>281</v>
      </c>
    </row>
    <row r="5084" spans="1:7" x14ac:dyDescent="0.3">
      <c r="A5084" s="5" t="str">
        <f t="shared" si="555"/>
        <v>New Balance</v>
      </c>
      <c r="B5084" s="5" t="str">
        <f t="shared" si="557"/>
        <v>990v6</v>
      </c>
      <c r="C5084" s="3">
        <f t="shared" si="556"/>
        <v>45996</v>
      </c>
      <c r="D5084" s="4">
        <f t="shared" ca="1" si="558"/>
        <v>234</v>
      </c>
      <c r="E5084" s="2">
        <f t="shared" ca="1" si="559"/>
        <v>4061</v>
      </c>
      <c r="F5084" s="2">
        <f t="shared" ca="1" si="560"/>
        <v>17764</v>
      </c>
      <c r="G5084" s="2">
        <f t="shared" ca="1" si="561"/>
        <v>1333</v>
      </c>
    </row>
    <row r="5085" spans="1:7" x14ac:dyDescent="0.3">
      <c r="A5085" s="5" t="str">
        <f t="shared" si="555"/>
        <v>Reebok</v>
      </c>
      <c r="B5085" s="5" t="str">
        <f t="shared" si="557"/>
        <v>Nano X3</v>
      </c>
      <c r="C5085" s="3">
        <f t="shared" si="556"/>
        <v>45996</v>
      </c>
      <c r="D5085" s="4">
        <f t="shared" ca="1" si="558"/>
        <v>36</v>
      </c>
      <c r="E5085" s="2">
        <f t="shared" ca="1" si="559"/>
        <v>3045</v>
      </c>
      <c r="F5085" s="2">
        <f t="shared" ca="1" si="560"/>
        <v>24590</v>
      </c>
      <c r="G5085" s="2">
        <f t="shared" ca="1" si="561"/>
        <v>1434</v>
      </c>
    </row>
    <row r="5086" spans="1:7" x14ac:dyDescent="0.3">
      <c r="A5086" s="5" t="str">
        <f t="shared" si="555"/>
        <v>Nike</v>
      </c>
      <c r="B5086" s="5" t="str">
        <f t="shared" si="557"/>
        <v>Vaporfly 3</v>
      </c>
      <c r="C5086" s="3">
        <f t="shared" si="556"/>
        <v>45996</v>
      </c>
      <c r="D5086" s="4">
        <f t="shared" ca="1" si="558"/>
        <v>111</v>
      </c>
      <c r="E5086" s="2">
        <f t="shared" ca="1" si="559"/>
        <v>10073</v>
      </c>
      <c r="F5086" s="2">
        <f t="shared" ca="1" si="560"/>
        <v>15566</v>
      </c>
      <c r="G5086" s="2">
        <f t="shared" ca="1" si="561"/>
        <v>774</v>
      </c>
    </row>
    <row r="5087" spans="1:7" x14ac:dyDescent="0.3">
      <c r="A5087" s="5" t="str">
        <f t="shared" si="555"/>
        <v>Adidas</v>
      </c>
      <c r="B5087" s="5" t="str">
        <f t="shared" si="557"/>
        <v>Samba</v>
      </c>
      <c r="C5087" s="3">
        <f t="shared" si="556"/>
        <v>45997</v>
      </c>
      <c r="D5087" s="4">
        <f t="shared" ca="1" si="558"/>
        <v>169</v>
      </c>
      <c r="E5087" s="2">
        <f t="shared" ca="1" si="559"/>
        <v>11845</v>
      </c>
      <c r="F5087" s="2">
        <f t="shared" ca="1" si="560"/>
        <v>10482</v>
      </c>
      <c r="G5087" s="2">
        <f t="shared" ca="1" si="561"/>
        <v>375</v>
      </c>
    </row>
    <row r="5088" spans="1:7" x14ac:dyDescent="0.3">
      <c r="A5088" s="5" t="str">
        <f t="shared" si="555"/>
        <v>Puma</v>
      </c>
      <c r="B5088" s="5" t="str">
        <f t="shared" si="557"/>
        <v>Mayze</v>
      </c>
      <c r="C5088" s="3">
        <f t="shared" si="556"/>
        <v>45997</v>
      </c>
      <c r="D5088" s="4">
        <f t="shared" ca="1" si="558"/>
        <v>123</v>
      </c>
      <c r="E5088" s="2">
        <f t="shared" ca="1" si="559"/>
        <v>5217</v>
      </c>
      <c r="F5088" s="2">
        <f t="shared" ca="1" si="560"/>
        <v>31501</v>
      </c>
      <c r="G5088" s="2">
        <f t="shared" ca="1" si="561"/>
        <v>2341</v>
      </c>
    </row>
    <row r="5089" spans="1:7" x14ac:dyDescent="0.3">
      <c r="A5089" s="5" t="str">
        <f t="shared" si="555"/>
        <v>New Balance</v>
      </c>
      <c r="B5089" s="5" t="str">
        <f t="shared" si="557"/>
        <v>574 Core</v>
      </c>
      <c r="C5089" s="3">
        <f t="shared" si="556"/>
        <v>45997</v>
      </c>
      <c r="D5089" s="4">
        <f t="shared" ca="1" si="558"/>
        <v>179</v>
      </c>
      <c r="E5089" s="2">
        <f t="shared" ca="1" si="559"/>
        <v>11706</v>
      </c>
      <c r="F5089" s="2">
        <f t="shared" ca="1" si="560"/>
        <v>25250</v>
      </c>
      <c r="G5089" s="2">
        <f t="shared" ca="1" si="561"/>
        <v>1798</v>
      </c>
    </row>
    <row r="5090" spans="1:7" x14ac:dyDescent="0.3">
      <c r="A5090" s="5" t="str">
        <f t="shared" si="555"/>
        <v>Reebok</v>
      </c>
      <c r="B5090" s="5" t="str">
        <f t="shared" si="557"/>
        <v>Club C 85</v>
      </c>
      <c r="C5090" s="3">
        <f t="shared" si="556"/>
        <v>45997</v>
      </c>
      <c r="D5090" s="4">
        <f t="shared" ca="1" si="558"/>
        <v>196</v>
      </c>
      <c r="E5090" s="2">
        <f t="shared" ca="1" si="559"/>
        <v>5052</v>
      </c>
      <c r="F5090" s="2">
        <f t="shared" ca="1" si="560"/>
        <v>9561</v>
      </c>
      <c r="G5090" s="2">
        <f t="shared" ca="1" si="561"/>
        <v>320</v>
      </c>
    </row>
    <row r="5091" spans="1:7" x14ac:dyDescent="0.3">
      <c r="A5091" s="5" t="str">
        <f t="shared" si="555"/>
        <v>Nike</v>
      </c>
      <c r="B5091" s="5" t="str">
        <f t="shared" si="557"/>
        <v>Pegasus 40</v>
      </c>
      <c r="C5091" s="3">
        <f t="shared" si="556"/>
        <v>45997</v>
      </c>
      <c r="D5091" s="4">
        <f t="shared" ca="1" si="558"/>
        <v>219</v>
      </c>
      <c r="E5091" s="2">
        <f t="shared" ca="1" si="559"/>
        <v>1637</v>
      </c>
      <c r="F5091" s="2">
        <f t="shared" ca="1" si="560"/>
        <v>7592</v>
      </c>
      <c r="G5091" s="2">
        <f t="shared" ca="1" si="561"/>
        <v>361</v>
      </c>
    </row>
    <row r="5092" spans="1:7" x14ac:dyDescent="0.3">
      <c r="A5092" s="5" t="str">
        <f t="shared" si="555"/>
        <v>Adidas</v>
      </c>
      <c r="B5092" s="5" t="str">
        <f t="shared" si="557"/>
        <v>Gazelle</v>
      </c>
      <c r="C5092" s="3">
        <f t="shared" si="556"/>
        <v>45997</v>
      </c>
      <c r="D5092" s="4">
        <f t="shared" ca="1" si="558"/>
        <v>110</v>
      </c>
      <c r="E5092" s="2">
        <f t="shared" ca="1" si="559"/>
        <v>7590</v>
      </c>
      <c r="F5092" s="2">
        <f t="shared" ca="1" si="560"/>
        <v>26750</v>
      </c>
      <c r="G5092" s="2">
        <f t="shared" ca="1" si="561"/>
        <v>1615</v>
      </c>
    </row>
    <row r="5093" spans="1:7" x14ac:dyDescent="0.3">
      <c r="A5093" s="5" t="str">
        <f t="shared" si="555"/>
        <v>Puma</v>
      </c>
      <c r="B5093" s="5" t="str">
        <f t="shared" si="557"/>
        <v>Slipstream</v>
      </c>
      <c r="C5093" s="3">
        <f t="shared" si="556"/>
        <v>45997</v>
      </c>
      <c r="D5093" s="4">
        <f t="shared" ca="1" si="558"/>
        <v>201</v>
      </c>
      <c r="E5093" s="2">
        <f t="shared" ca="1" si="559"/>
        <v>2466</v>
      </c>
      <c r="F5093" s="2">
        <f t="shared" ca="1" si="560"/>
        <v>17975</v>
      </c>
      <c r="G5093" s="2">
        <f t="shared" ca="1" si="561"/>
        <v>1086</v>
      </c>
    </row>
    <row r="5094" spans="1:7" x14ac:dyDescent="0.3">
      <c r="A5094" s="5" t="str">
        <f t="shared" si="555"/>
        <v>New Balance</v>
      </c>
      <c r="B5094" s="5" t="str">
        <f t="shared" si="557"/>
        <v>550</v>
      </c>
      <c r="C5094" s="3">
        <f t="shared" si="556"/>
        <v>45997</v>
      </c>
      <c r="D5094" s="4">
        <f t="shared" ca="1" si="558"/>
        <v>42</v>
      </c>
      <c r="E5094" s="2">
        <f t="shared" ca="1" si="559"/>
        <v>6644</v>
      </c>
      <c r="F5094" s="2">
        <f t="shared" ca="1" si="560"/>
        <v>33119</v>
      </c>
      <c r="G5094" s="2">
        <f t="shared" ca="1" si="561"/>
        <v>2291</v>
      </c>
    </row>
    <row r="5095" spans="1:7" x14ac:dyDescent="0.3">
      <c r="A5095" s="5" t="str">
        <f t="shared" si="555"/>
        <v>Reebok</v>
      </c>
      <c r="B5095" s="5" t="str">
        <f t="shared" si="557"/>
        <v>Classic Leather</v>
      </c>
      <c r="C5095" s="3">
        <f t="shared" si="556"/>
        <v>45997</v>
      </c>
      <c r="D5095" s="4">
        <f t="shared" ca="1" si="558"/>
        <v>75</v>
      </c>
      <c r="E5095" s="2">
        <f t="shared" ca="1" si="559"/>
        <v>4664</v>
      </c>
      <c r="F5095" s="2">
        <f t="shared" ca="1" si="560"/>
        <v>31450</v>
      </c>
      <c r="G5095" s="2">
        <f t="shared" ca="1" si="561"/>
        <v>1400</v>
      </c>
    </row>
    <row r="5096" spans="1:7" x14ac:dyDescent="0.3">
      <c r="A5096" s="5" t="str">
        <f t="shared" si="555"/>
        <v>Nike</v>
      </c>
      <c r="B5096" s="5" t="str">
        <f t="shared" si="557"/>
        <v>Air Force 1</v>
      </c>
      <c r="C5096" s="3">
        <f t="shared" si="556"/>
        <v>45997</v>
      </c>
      <c r="D5096" s="4">
        <f t="shared" ca="1" si="558"/>
        <v>48</v>
      </c>
      <c r="E5096" s="2">
        <f t="shared" ca="1" si="559"/>
        <v>4321</v>
      </c>
      <c r="F5096" s="2">
        <f t="shared" ca="1" si="560"/>
        <v>29612</v>
      </c>
      <c r="G5096" s="2">
        <f t="shared" ca="1" si="561"/>
        <v>941</v>
      </c>
    </row>
    <row r="5097" spans="1:7" x14ac:dyDescent="0.3">
      <c r="A5097" s="5" t="str">
        <f t="shared" si="555"/>
        <v>Adidas</v>
      </c>
      <c r="B5097" s="5" t="str">
        <f t="shared" si="557"/>
        <v>Superstar</v>
      </c>
      <c r="C5097" s="3">
        <f t="shared" si="556"/>
        <v>45997</v>
      </c>
      <c r="D5097" s="4">
        <f t="shared" ca="1" si="558"/>
        <v>48</v>
      </c>
      <c r="E5097" s="2">
        <f t="shared" ca="1" si="559"/>
        <v>2323</v>
      </c>
      <c r="F5097" s="2">
        <f t="shared" ca="1" si="560"/>
        <v>10704</v>
      </c>
      <c r="G5097" s="2">
        <f t="shared" ca="1" si="561"/>
        <v>386</v>
      </c>
    </row>
    <row r="5098" spans="1:7" x14ac:dyDescent="0.3">
      <c r="A5098" s="5" t="str">
        <f t="shared" si="555"/>
        <v>Puma</v>
      </c>
      <c r="B5098" s="5" t="str">
        <f t="shared" si="557"/>
        <v>Rider Vintage</v>
      </c>
      <c r="C5098" s="3">
        <f t="shared" si="556"/>
        <v>45997</v>
      </c>
      <c r="D5098" s="4">
        <f t="shared" ca="1" si="558"/>
        <v>67</v>
      </c>
      <c r="E5098" s="2">
        <f t="shared" ca="1" si="559"/>
        <v>7339</v>
      </c>
      <c r="F5098" s="2">
        <f t="shared" ca="1" si="560"/>
        <v>18079</v>
      </c>
      <c r="G5098" s="2">
        <f t="shared" ca="1" si="561"/>
        <v>497</v>
      </c>
    </row>
    <row r="5099" spans="1:7" x14ac:dyDescent="0.3">
      <c r="A5099" s="5" t="str">
        <f t="shared" ref="A5099:A5162" si="562">CHOOSE(MOD(ROW(A5098),5)+1,"Nike","Adidas","Puma","New Balance","Reebok")</f>
        <v>New Balance</v>
      </c>
      <c r="B5099" s="5" t="str">
        <f t="shared" si="557"/>
        <v>327</v>
      </c>
      <c r="C5099" s="3">
        <f t="shared" ref="C5099:C5162" si="563">DATE(2025,1,1)+INT((ROW(A5099)-2)/15)</f>
        <v>45997</v>
      </c>
      <c r="D5099" s="4">
        <f t="shared" ca="1" si="558"/>
        <v>137</v>
      </c>
      <c r="E5099" s="2">
        <f t="shared" ca="1" si="559"/>
        <v>6624</v>
      </c>
      <c r="F5099" s="2">
        <f t="shared" ca="1" si="560"/>
        <v>20311</v>
      </c>
      <c r="G5099" s="2">
        <f t="shared" ca="1" si="561"/>
        <v>702</v>
      </c>
    </row>
    <row r="5100" spans="1:7" x14ac:dyDescent="0.3">
      <c r="A5100" s="5" t="str">
        <f t="shared" si="562"/>
        <v>Reebok</v>
      </c>
      <c r="B5100" s="5" t="str">
        <f t="shared" si="557"/>
        <v>Question Mid</v>
      </c>
      <c r="C5100" s="3">
        <f t="shared" si="563"/>
        <v>45997</v>
      </c>
      <c r="D5100" s="4">
        <f t="shared" ca="1" si="558"/>
        <v>109</v>
      </c>
      <c r="E5100" s="2">
        <f t="shared" ca="1" si="559"/>
        <v>3495</v>
      </c>
      <c r="F5100" s="2">
        <f t="shared" ca="1" si="560"/>
        <v>33212</v>
      </c>
      <c r="G5100" s="2">
        <f t="shared" ca="1" si="561"/>
        <v>1028</v>
      </c>
    </row>
    <row r="5101" spans="1:7" x14ac:dyDescent="0.3">
      <c r="A5101" s="5" t="str">
        <f t="shared" si="562"/>
        <v>Nike</v>
      </c>
      <c r="B5101" s="5" t="str">
        <f t="shared" si="557"/>
        <v>Air Max 270</v>
      </c>
      <c r="C5101" s="3">
        <f t="shared" si="563"/>
        <v>45997</v>
      </c>
      <c r="D5101" s="4">
        <f t="shared" ca="1" si="558"/>
        <v>108</v>
      </c>
      <c r="E5101" s="2">
        <f t="shared" ca="1" si="559"/>
        <v>5309</v>
      </c>
      <c r="F5101" s="2">
        <f t="shared" ca="1" si="560"/>
        <v>28214</v>
      </c>
      <c r="G5101" s="2">
        <f t="shared" ca="1" si="561"/>
        <v>1381</v>
      </c>
    </row>
    <row r="5102" spans="1:7" x14ac:dyDescent="0.3">
      <c r="A5102" s="5" t="str">
        <f t="shared" si="562"/>
        <v>Adidas</v>
      </c>
      <c r="B5102" s="5" t="str">
        <f t="shared" si="557"/>
        <v>Stan Smith</v>
      </c>
      <c r="C5102" s="3">
        <f t="shared" si="563"/>
        <v>45998</v>
      </c>
      <c r="D5102" s="4">
        <f t="shared" ca="1" si="558"/>
        <v>212</v>
      </c>
      <c r="E5102" s="2">
        <f t="shared" ca="1" si="559"/>
        <v>9273</v>
      </c>
      <c r="F5102" s="2">
        <f t="shared" ca="1" si="560"/>
        <v>29818</v>
      </c>
      <c r="G5102" s="2">
        <f t="shared" ca="1" si="561"/>
        <v>729</v>
      </c>
    </row>
    <row r="5103" spans="1:7" x14ac:dyDescent="0.3">
      <c r="A5103" s="5" t="str">
        <f t="shared" si="562"/>
        <v>Puma</v>
      </c>
      <c r="B5103" s="5" t="str">
        <f t="shared" si="557"/>
        <v>Cali Dream</v>
      </c>
      <c r="C5103" s="3">
        <f t="shared" si="563"/>
        <v>45998</v>
      </c>
      <c r="D5103" s="4">
        <f t="shared" ca="1" si="558"/>
        <v>152</v>
      </c>
      <c r="E5103" s="2">
        <f t="shared" ca="1" si="559"/>
        <v>11764</v>
      </c>
      <c r="F5103" s="2">
        <f t="shared" ca="1" si="560"/>
        <v>14232</v>
      </c>
      <c r="G5103" s="2">
        <f t="shared" ca="1" si="561"/>
        <v>1059</v>
      </c>
    </row>
    <row r="5104" spans="1:7" x14ac:dyDescent="0.3">
      <c r="A5104" s="5" t="str">
        <f t="shared" si="562"/>
        <v>New Balance</v>
      </c>
      <c r="B5104" s="5" t="str">
        <f t="shared" si="557"/>
        <v>9060</v>
      </c>
      <c r="C5104" s="3">
        <f t="shared" si="563"/>
        <v>45998</v>
      </c>
      <c r="D5104" s="4">
        <f t="shared" ca="1" si="558"/>
        <v>71</v>
      </c>
      <c r="E5104" s="2">
        <f t="shared" ca="1" si="559"/>
        <v>8170</v>
      </c>
      <c r="F5104" s="2">
        <f t="shared" ca="1" si="560"/>
        <v>20668</v>
      </c>
      <c r="G5104" s="2">
        <f t="shared" ca="1" si="561"/>
        <v>550</v>
      </c>
    </row>
    <row r="5105" spans="1:7" x14ac:dyDescent="0.3">
      <c r="A5105" s="5" t="str">
        <f t="shared" si="562"/>
        <v>Reebok</v>
      </c>
      <c r="B5105" s="5" t="str">
        <f t="shared" si="557"/>
        <v>Zig Kinetica</v>
      </c>
      <c r="C5105" s="3">
        <f t="shared" si="563"/>
        <v>45998</v>
      </c>
      <c r="D5105" s="4">
        <f t="shared" ca="1" si="558"/>
        <v>26</v>
      </c>
      <c r="E5105" s="2">
        <f t="shared" ca="1" si="559"/>
        <v>5899</v>
      </c>
      <c r="F5105" s="2">
        <f t="shared" ca="1" si="560"/>
        <v>17371</v>
      </c>
      <c r="G5105" s="2">
        <f t="shared" ca="1" si="561"/>
        <v>538</v>
      </c>
    </row>
    <row r="5106" spans="1:7" x14ac:dyDescent="0.3">
      <c r="A5106" s="5" t="str">
        <f t="shared" si="562"/>
        <v>Nike</v>
      </c>
      <c r="B5106" s="5" t="str">
        <f t="shared" si="557"/>
        <v>Jordan 1</v>
      </c>
      <c r="C5106" s="3">
        <f t="shared" si="563"/>
        <v>45998</v>
      </c>
      <c r="D5106" s="4">
        <f t="shared" ca="1" si="558"/>
        <v>189</v>
      </c>
      <c r="E5106" s="2">
        <f t="shared" ca="1" si="559"/>
        <v>4018</v>
      </c>
      <c r="F5106" s="2">
        <f t="shared" ca="1" si="560"/>
        <v>19473</v>
      </c>
      <c r="G5106" s="2">
        <f t="shared" ca="1" si="561"/>
        <v>544</v>
      </c>
    </row>
    <row r="5107" spans="1:7" x14ac:dyDescent="0.3">
      <c r="A5107" s="5" t="str">
        <f t="shared" si="562"/>
        <v>Adidas</v>
      </c>
      <c r="B5107" s="5" t="str">
        <f t="shared" si="557"/>
        <v>Ultraboost 23</v>
      </c>
      <c r="C5107" s="3">
        <f t="shared" si="563"/>
        <v>45998</v>
      </c>
      <c r="D5107" s="4">
        <f t="shared" ca="1" si="558"/>
        <v>223</v>
      </c>
      <c r="E5107" s="2">
        <f t="shared" ca="1" si="559"/>
        <v>1659</v>
      </c>
      <c r="F5107" s="2">
        <f t="shared" ca="1" si="560"/>
        <v>21671</v>
      </c>
      <c r="G5107" s="2">
        <f t="shared" ca="1" si="561"/>
        <v>1191</v>
      </c>
    </row>
    <row r="5108" spans="1:7" x14ac:dyDescent="0.3">
      <c r="A5108" s="5" t="str">
        <f t="shared" si="562"/>
        <v>Puma</v>
      </c>
      <c r="B5108" s="5" t="str">
        <f t="shared" si="557"/>
        <v>RS-X</v>
      </c>
      <c r="C5108" s="3">
        <f t="shared" si="563"/>
        <v>45998</v>
      </c>
      <c r="D5108" s="4">
        <f t="shared" ca="1" si="558"/>
        <v>167</v>
      </c>
      <c r="E5108" s="2">
        <f t="shared" ca="1" si="559"/>
        <v>9994</v>
      </c>
      <c r="F5108" s="2">
        <f t="shared" ca="1" si="560"/>
        <v>21644</v>
      </c>
      <c r="G5108" s="2">
        <f t="shared" ca="1" si="561"/>
        <v>708</v>
      </c>
    </row>
    <row r="5109" spans="1:7" x14ac:dyDescent="0.3">
      <c r="A5109" s="5" t="str">
        <f t="shared" si="562"/>
        <v>New Balance</v>
      </c>
      <c r="B5109" s="5" t="str">
        <f t="shared" si="557"/>
        <v>2002R</v>
      </c>
      <c r="C5109" s="3">
        <f t="shared" si="563"/>
        <v>45998</v>
      </c>
      <c r="D5109" s="4">
        <f t="shared" ca="1" si="558"/>
        <v>157</v>
      </c>
      <c r="E5109" s="2">
        <f t="shared" ca="1" si="559"/>
        <v>3779</v>
      </c>
      <c r="F5109" s="2">
        <f t="shared" ca="1" si="560"/>
        <v>23621</v>
      </c>
      <c r="G5109" s="2">
        <f t="shared" ca="1" si="561"/>
        <v>830</v>
      </c>
    </row>
    <row r="5110" spans="1:7" x14ac:dyDescent="0.3">
      <c r="A5110" s="5" t="str">
        <f t="shared" si="562"/>
        <v>Reebok</v>
      </c>
      <c r="B5110" s="5" t="str">
        <f t="shared" si="557"/>
        <v>Instapump Fury</v>
      </c>
      <c r="C5110" s="3">
        <f t="shared" si="563"/>
        <v>45998</v>
      </c>
      <c r="D5110" s="4">
        <f t="shared" ca="1" si="558"/>
        <v>86</v>
      </c>
      <c r="E5110" s="2">
        <f t="shared" ca="1" si="559"/>
        <v>11942</v>
      </c>
      <c r="F5110" s="2">
        <f t="shared" ca="1" si="560"/>
        <v>17276</v>
      </c>
      <c r="G5110" s="2">
        <f t="shared" ca="1" si="561"/>
        <v>663</v>
      </c>
    </row>
    <row r="5111" spans="1:7" x14ac:dyDescent="0.3">
      <c r="A5111" s="5" t="str">
        <f t="shared" si="562"/>
        <v>Nike</v>
      </c>
      <c r="B5111" s="5" t="str">
        <f t="shared" si="557"/>
        <v>Cortez</v>
      </c>
      <c r="C5111" s="3">
        <f t="shared" si="563"/>
        <v>45998</v>
      </c>
      <c r="D5111" s="4">
        <f t="shared" ca="1" si="558"/>
        <v>217</v>
      </c>
      <c r="E5111" s="2">
        <f t="shared" ca="1" si="559"/>
        <v>2411</v>
      </c>
      <c r="F5111" s="2">
        <f t="shared" ca="1" si="560"/>
        <v>17908</v>
      </c>
      <c r="G5111" s="2">
        <f t="shared" ca="1" si="561"/>
        <v>1406</v>
      </c>
    </row>
    <row r="5112" spans="1:7" x14ac:dyDescent="0.3">
      <c r="A5112" s="5" t="str">
        <f t="shared" si="562"/>
        <v>Adidas</v>
      </c>
      <c r="B5112" s="5" t="str">
        <f t="shared" si="557"/>
        <v>NMD S1</v>
      </c>
      <c r="C5112" s="3">
        <f t="shared" si="563"/>
        <v>45998</v>
      </c>
      <c r="D5112" s="4">
        <f t="shared" ca="1" si="558"/>
        <v>226</v>
      </c>
      <c r="E5112" s="2">
        <f t="shared" ca="1" si="559"/>
        <v>4615</v>
      </c>
      <c r="F5112" s="2">
        <f t="shared" ca="1" si="560"/>
        <v>14398</v>
      </c>
      <c r="G5112" s="2">
        <f t="shared" ca="1" si="561"/>
        <v>919</v>
      </c>
    </row>
    <row r="5113" spans="1:7" x14ac:dyDescent="0.3">
      <c r="A5113" s="5" t="str">
        <f t="shared" si="562"/>
        <v>Puma</v>
      </c>
      <c r="B5113" s="5" t="str">
        <f t="shared" si="557"/>
        <v>Suede Classic</v>
      </c>
      <c r="C5113" s="3">
        <f t="shared" si="563"/>
        <v>45998</v>
      </c>
      <c r="D5113" s="4">
        <f t="shared" ca="1" si="558"/>
        <v>21</v>
      </c>
      <c r="E5113" s="2">
        <f t="shared" ca="1" si="559"/>
        <v>5622</v>
      </c>
      <c r="F5113" s="2">
        <f t="shared" ca="1" si="560"/>
        <v>26706</v>
      </c>
      <c r="G5113" s="2">
        <f t="shared" ca="1" si="561"/>
        <v>1694</v>
      </c>
    </row>
    <row r="5114" spans="1:7" x14ac:dyDescent="0.3">
      <c r="A5114" s="5" t="str">
        <f t="shared" si="562"/>
        <v>New Balance</v>
      </c>
      <c r="B5114" s="5" t="str">
        <f t="shared" si="557"/>
        <v>990v6</v>
      </c>
      <c r="C5114" s="3">
        <f t="shared" si="563"/>
        <v>45998</v>
      </c>
      <c r="D5114" s="4">
        <f t="shared" ca="1" si="558"/>
        <v>207</v>
      </c>
      <c r="E5114" s="2">
        <f t="shared" ca="1" si="559"/>
        <v>10083</v>
      </c>
      <c r="F5114" s="2">
        <f t="shared" ca="1" si="560"/>
        <v>21123</v>
      </c>
      <c r="G5114" s="2">
        <f t="shared" ca="1" si="561"/>
        <v>904</v>
      </c>
    </row>
    <row r="5115" spans="1:7" x14ac:dyDescent="0.3">
      <c r="A5115" s="5" t="str">
        <f t="shared" si="562"/>
        <v>Reebok</v>
      </c>
      <c r="B5115" s="5" t="str">
        <f t="shared" si="557"/>
        <v>Nano X3</v>
      </c>
      <c r="C5115" s="3">
        <f t="shared" si="563"/>
        <v>45998</v>
      </c>
      <c r="D5115" s="4">
        <f t="shared" ca="1" si="558"/>
        <v>181</v>
      </c>
      <c r="E5115" s="2">
        <f t="shared" ca="1" si="559"/>
        <v>8698</v>
      </c>
      <c r="F5115" s="2">
        <f t="shared" ca="1" si="560"/>
        <v>32020</v>
      </c>
      <c r="G5115" s="2">
        <f t="shared" ca="1" si="561"/>
        <v>2344</v>
      </c>
    </row>
    <row r="5116" spans="1:7" x14ac:dyDescent="0.3">
      <c r="A5116" s="5" t="str">
        <f t="shared" si="562"/>
        <v>Nike</v>
      </c>
      <c r="B5116" s="5" t="str">
        <f t="shared" si="557"/>
        <v>Vaporfly 3</v>
      </c>
      <c r="C5116" s="3">
        <f t="shared" si="563"/>
        <v>45998</v>
      </c>
      <c r="D5116" s="4">
        <f t="shared" ca="1" si="558"/>
        <v>215</v>
      </c>
      <c r="E5116" s="2">
        <f t="shared" ca="1" si="559"/>
        <v>11818</v>
      </c>
      <c r="F5116" s="2">
        <f t="shared" ca="1" si="560"/>
        <v>14951</v>
      </c>
      <c r="G5116" s="2">
        <f t="shared" ca="1" si="561"/>
        <v>716</v>
      </c>
    </row>
    <row r="5117" spans="1:7" x14ac:dyDescent="0.3">
      <c r="A5117" s="5" t="str">
        <f t="shared" si="562"/>
        <v>Adidas</v>
      </c>
      <c r="B5117" s="5" t="str">
        <f t="shared" si="557"/>
        <v>Samba</v>
      </c>
      <c r="C5117" s="3">
        <f t="shared" si="563"/>
        <v>45999</v>
      </c>
      <c r="D5117" s="4">
        <f t="shared" ca="1" si="558"/>
        <v>75</v>
      </c>
      <c r="E5117" s="2">
        <f t="shared" ca="1" si="559"/>
        <v>8804</v>
      </c>
      <c r="F5117" s="2">
        <f t="shared" ca="1" si="560"/>
        <v>18519</v>
      </c>
      <c r="G5117" s="2">
        <f t="shared" ca="1" si="561"/>
        <v>748</v>
      </c>
    </row>
    <row r="5118" spans="1:7" x14ac:dyDescent="0.3">
      <c r="A5118" s="5" t="str">
        <f t="shared" si="562"/>
        <v>Puma</v>
      </c>
      <c r="B5118" s="5" t="str">
        <f t="shared" si="557"/>
        <v>Mayze</v>
      </c>
      <c r="C5118" s="3">
        <f t="shared" si="563"/>
        <v>45999</v>
      </c>
      <c r="D5118" s="4">
        <f t="shared" ca="1" si="558"/>
        <v>155</v>
      </c>
      <c r="E5118" s="2">
        <f t="shared" ca="1" si="559"/>
        <v>11934</v>
      </c>
      <c r="F5118" s="2">
        <f t="shared" ca="1" si="560"/>
        <v>24013</v>
      </c>
      <c r="G5118" s="2">
        <f t="shared" ca="1" si="561"/>
        <v>1615</v>
      </c>
    </row>
    <row r="5119" spans="1:7" x14ac:dyDescent="0.3">
      <c r="A5119" s="5" t="str">
        <f t="shared" si="562"/>
        <v>New Balance</v>
      </c>
      <c r="B5119" s="5" t="str">
        <f t="shared" si="557"/>
        <v>574 Core</v>
      </c>
      <c r="C5119" s="3">
        <f t="shared" si="563"/>
        <v>45999</v>
      </c>
      <c r="D5119" s="4">
        <f t="shared" ca="1" si="558"/>
        <v>85</v>
      </c>
      <c r="E5119" s="2">
        <f t="shared" ca="1" si="559"/>
        <v>9951</v>
      </c>
      <c r="F5119" s="2">
        <f t="shared" ca="1" si="560"/>
        <v>14676</v>
      </c>
      <c r="G5119" s="2">
        <f t="shared" ca="1" si="561"/>
        <v>989</v>
      </c>
    </row>
    <row r="5120" spans="1:7" x14ac:dyDescent="0.3">
      <c r="A5120" s="5" t="str">
        <f t="shared" si="562"/>
        <v>Reebok</v>
      </c>
      <c r="B5120" s="5" t="str">
        <f t="shared" si="557"/>
        <v>Club C 85</v>
      </c>
      <c r="C5120" s="3">
        <f t="shared" si="563"/>
        <v>45999</v>
      </c>
      <c r="D5120" s="4">
        <f t="shared" ca="1" si="558"/>
        <v>36</v>
      </c>
      <c r="E5120" s="2">
        <f t="shared" ca="1" si="559"/>
        <v>11538</v>
      </c>
      <c r="F5120" s="2">
        <f t="shared" ca="1" si="560"/>
        <v>5729</v>
      </c>
      <c r="G5120" s="2">
        <f t="shared" ca="1" si="561"/>
        <v>320</v>
      </c>
    </row>
    <row r="5121" spans="1:7" x14ac:dyDescent="0.3">
      <c r="A5121" s="5" t="str">
        <f t="shared" si="562"/>
        <v>Nike</v>
      </c>
      <c r="B5121" s="5" t="str">
        <f t="shared" si="557"/>
        <v>Pegasus 40</v>
      </c>
      <c r="C5121" s="3">
        <f t="shared" si="563"/>
        <v>45999</v>
      </c>
      <c r="D5121" s="4">
        <f t="shared" ca="1" si="558"/>
        <v>81</v>
      </c>
      <c r="E5121" s="2">
        <f t="shared" ca="1" si="559"/>
        <v>5115</v>
      </c>
      <c r="F5121" s="2">
        <f t="shared" ca="1" si="560"/>
        <v>30659</v>
      </c>
      <c r="G5121" s="2">
        <f t="shared" ca="1" si="561"/>
        <v>1952</v>
      </c>
    </row>
    <row r="5122" spans="1:7" x14ac:dyDescent="0.3">
      <c r="A5122" s="5" t="str">
        <f t="shared" si="562"/>
        <v>Adidas</v>
      </c>
      <c r="B5122" s="5" t="str">
        <f t="shared" si="557"/>
        <v>Gazelle</v>
      </c>
      <c r="C5122" s="3">
        <f t="shared" si="563"/>
        <v>45999</v>
      </c>
      <c r="D5122" s="4">
        <f t="shared" ca="1" si="558"/>
        <v>160</v>
      </c>
      <c r="E5122" s="2">
        <f t="shared" ca="1" si="559"/>
        <v>1946</v>
      </c>
      <c r="F5122" s="2">
        <f t="shared" ca="1" si="560"/>
        <v>8013</v>
      </c>
      <c r="G5122" s="2">
        <f t="shared" ca="1" si="561"/>
        <v>570</v>
      </c>
    </row>
    <row r="5123" spans="1:7" x14ac:dyDescent="0.3">
      <c r="A5123" s="5" t="str">
        <f t="shared" si="562"/>
        <v>Puma</v>
      </c>
      <c r="B5123" s="5" t="str">
        <f t="shared" ref="B5123:B5186" si="564">IF(A5123="Nike",CHOOSE(MOD(ROW(A5122),6)+1,"Air Max 270","Air Force 1","Pegasus 40","Vaporfly 3","Cortez","Jordan 1"),
 IF(A5123="Adidas",CHOOSE(MOD(ROW(A5122),6)+1,"Ultraboost 23","Stan Smith","Superstar","Gazelle","Samba","NMD S1"),
 IF(A5123="Puma",CHOOSE(MOD(ROW(A5122),6)+1,"Suede Classic","RS-X","Cali Dream","Rider Vintage","Slipstream","Mayze"),
 IF(A5123="New Balance",CHOOSE(MOD(ROW(A5122),6)+1,"574 Core","990v6","2002R","9060","327","550"),
 IF(A5123="Reebok",CHOOSE(MOD(ROW(A5122),6)+1,"Classic Leather","Club C 85","Nano X3","Instapump Fury","Zig Kinetica","Question Mid"),"")))))</f>
        <v>Slipstream</v>
      </c>
      <c r="C5123" s="3">
        <f t="shared" si="563"/>
        <v>45999</v>
      </c>
      <c r="D5123" s="4">
        <f t="shared" ref="D5123:D5186" ca="1" si="565">RANDBETWEEN(20,250)</f>
        <v>228</v>
      </c>
      <c r="E5123" s="2">
        <f t="shared" ref="E5123:E5186" ca="1" si="566">ROUND(RANDBETWEEN(1500,12000)+(RANDBETWEEN(-200,200)),2)</f>
        <v>7577</v>
      </c>
      <c r="F5123" s="2">
        <f t="shared" ref="F5123:F5186" ca="1" si="567">RANDBETWEEN(5000,35000)</f>
        <v>30016</v>
      </c>
      <c r="G5123" s="2">
        <f t="shared" ref="G5123:G5186" ca="1" si="568">RANDBETWEEN(ROUND(F5123*0.02,0),ROUND(F5123*0.08,0))</f>
        <v>1166</v>
      </c>
    </row>
    <row r="5124" spans="1:7" x14ac:dyDescent="0.3">
      <c r="A5124" s="5" t="str">
        <f t="shared" si="562"/>
        <v>New Balance</v>
      </c>
      <c r="B5124" s="5" t="str">
        <f t="shared" si="564"/>
        <v>550</v>
      </c>
      <c r="C5124" s="3">
        <f t="shared" si="563"/>
        <v>45999</v>
      </c>
      <c r="D5124" s="4">
        <f t="shared" ca="1" si="565"/>
        <v>133</v>
      </c>
      <c r="E5124" s="2">
        <f t="shared" ca="1" si="566"/>
        <v>5325</v>
      </c>
      <c r="F5124" s="2">
        <f t="shared" ca="1" si="567"/>
        <v>18557</v>
      </c>
      <c r="G5124" s="2">
        <f t="shared" ca="1" si="568"/>
        <v>751</v>
      </c>
    </row>
    <row r="5125" spans="1:7" x14ac:dyDescent="0.3">
      <c r="A5125" s="5" t="str">
        <f t="shared" si="562"/>
        <v>Reebok</v>
      </c>
      <c r="B5125" s="5" t="str">
        <f t="shared" si="564"/>
        <v>Classic Leather</v>
      </c>
      <c r="C5125" s="3">
        <f t="shared" si="563"/>
        <v>45999</v>
      </c>
      <c r="D5125" s="4">
        <f t="shared" ca="1" si="565"/>
        <v>89</v>
      </c>
      <c r="E5125" s="2">
        <f t="shared" ca="1" si="566"/>
        <v>10696</v>
      </c>
      <c r="F5125" s="2">
        <f t="shared" ca="1" si="567"/>
        <v>24008</v>
      </c>
      <c r="G5125" s="2">
        <f t="shared" ca="1" si="568"/>
        <v>503</v>
      </c>
    </row>
    <row r="5126" spans="1:7" x14ac:dyDescent="0.3">
      <c r="A5126" s="5" t="str">
        <f t="shared" si="562"/>
        <v>Nike</v>
      </c>
      <c r="B5126" s="5" t="str">
        <f t="shared" si="564"/>
        <v>Air Force 1</v>
      </c>
      <c r="C5126" s="3">
        <f t="shared" si="563"/>
        <v>45999</v>
      </c>
      <c r="D5126" s="4">
        <f t="shared" ca="1" si="565"/>
        <v>21</v>
      </c>
      <c r="E5126" s="2">
        <f t="shared" ca="1" si="566"/>
        <v>3602</v>
      </c>
      <c r="F5126" s="2">
        <f t="shared" ca="1" si="567"/>
        <v>6782</v>
      </c>
      <c r="G5126" s="2">
        <f t="shared" ca="1" si="568"/>
        <v>370</v>
      </c>
    </row>
    <row r="5127" spans="1:7" x14ac:dyDescent="0.3">
      <c r="A5127" s="5" t="str">
        <f t="shared" si="562"/>
        <v>Adidas</v>
      </c>
      <c r="B5127" s="5" t="str">
        <f t="shared" si="564"/>
        <v>Superstar</v>
      </c>
      <c r="C5127" s="3">
        <f t="shared" si="563"/>
        <v>45999</v>
      </c>
      <c r="D5127" s="4">
        <f t="shared" ca="1" si="565"/>
        <v>228</v>
      </c>
      <c r="E5127" s="2">
        <f t="shared" ca="1" si="566"/>
        <v>2579</v>
      </c>
      <c r="F5127" s="2">
        <f t="shared" ca="1" si="567"/>
        <v>14694</v>
      </c>
      <c r="G5127" s="2">
        <f t="shared" ca="1" si="568"/>
        <v>584</v>
      </c>
    </row>
    <row r="5128" spans="1:7" x14ac:dyDescent="0.3">
      <c r="A5128" s="5" t="str">
        <f t="shared" si="562"/>
        <v>Puma</v>
      </c>
      <c r="B5128" s="5" t="str">
        <f t="shared" si="564"/>
        <v>Rider Vintage</v>
      </c>
      <c r="C5128" s="3">
        <f t="shared" si="563"/>
        <v>45999</v>
      </c>
      <c r="D5128" s="4">
        <f t="shared" ca="1" si="565"/>
        <v>198</v>
      </c>
      <c r="E5128" s="2">
        <f t="shared" ca="1" si="566"/>
        <v>9735</v>
      </c>
      <c r="F5128" s="2">
        <f t="shared" ca="1" si="567"/>
        <v>15875</v>
      </c>
      <c r="G5128" s="2">
        <f t="shared" ca="1" si="568"/>
        <v>810</v>
      </c>
    </row>
    <row r="5129" spans="1:7" x14ac:dyDescent="0.3">
      <c r="A5129" s="5" t="str">
        <f t="shared" si="562"/>
        <v>New Balance</v>
      </c>
      <c r="B5129" s="5" t="str">
        <f t="shared" si="564"/>
        <v>327</v>
      </c>
      <c r="C5129" s="3">
        <f t="shared" si="563"/>
        <v>45999</v>
      </c>
      <c r="D5129" s="4">
        <f t="shared" ca="1" si="565"/>
        <v>171</v>
      </c>
      <c r="E5129" s="2">
        <f t="shared" ca="1" si="566"/>
        <v>4778</v>
      </c>
      <c r="F5129" s="2">
        <f t="shared" ca="1" si="567"/>
        <v>28255</v>
      </c>
      <c r="G5129" s="2">
        <f t="shared" ca="1" si="568"/>
        <v>1582</v>
      </c>
    </row>
    <row r="5130" spans="1:7" x14ac:dyDescent="0.3">
      <c r="A5130" s="5" t="str">
        <f t="shared" si="562"/>
        <v>Reebok</v>
      </c>
      <c r="B5130" s="5" t="str">
        <f t="shared" si="564"/>
        <v>Question Mid</v>
      </c>
      <c r="C5130" s="3">
        <f t="shared" si="563"/>
        <v>45999</v>
      </c>
      <c r="D5130" s="4">
        <f t="shared" ca="1" si="565"/>
        <v>189</v>
      </c>
      <c r="E5130" s="2">
        <f t="shared" ca="1" si="566"/>
        <v>6379</v>
      </c>
      <c r="F5130" s="2">
        <f t="shared" ca="1" si="567"/>
        <v>23880</v>
      </c>
      <c r="G5130" s="2">
        <f t="shared" ca="1" si="568"/>
        <v>1561</v>
      </c>
    </row>
    <row r="5131" spans="1:7" x14ac:dyDescent="0.3">
      <c r="A5131" s="5" t="str">
        <f t="shared" si="562"/>
        <v>Nike</v>
      </c>
      <c r="B5131" s="5" t="str">
        <f t="shared" si="564"/>
        <v>Air Max 270</v>
      </c>
      <c r="C5131" s="3">
        <f t="shared" si="563"/>
        <v>45999</v>
      </c>
      <c r="D5131" s="4">
        <f t="shared" ca="1" si="565"/>
        <v>165</v>
      </c>
      <c r="E5131" s="2">
        <f t="shared" ca="1" si="566"/>
        <v>3867</v>
      </c>
      <c r="F5131" s="2">
        <f t="shared" ca="1" si="567"/>
        <v>34371</v>
      </c>
      <c r="G5131" s="2">
        <f t="shared" ca="1" si="568"/>
        <v>1291</v>
      </c>
    </row>
    <row r="5132" spans="1:7" x14ac:dyDescent="0.3">
      <c r="A5132" s="5" t="str">
        <f t="shared" si="562"/>
        <v>Adidas</v>
      </c>
      <c r="B5132" s="5" t="str">
        <f t="shared" si="564"/>
        <v>Stan Smith</v>
      </c>
      <c r="C5132" s="3">
        <f t="shared" si="563"/>
        <v>46000</v>
      </c>
      <c r="D5132" s="4">
        <f t="shared" ca="1" si="565"/>
        <v>22</v>
      </c>
      <c r="E5132" s="2">
        <f t="shared" ca="1" si="566"/>
        <v>10401</v>
      </c>
      <c r="F5132" s="2">
        <f t="shared" ca="1" si="567"/>
        <v>6554</v>
      </c>
      <c r="G5132" s="2">
        <f t="shared" ca="1" si="568"/>
        <v>314</v>
      </c>
    </row>
    <row r="5133" spans="1:7" x14ac:dyDescent="0.3">
      <c r="A5133" s="5" t="str">
        <f t="shared" si="562"/>
        <v>Puma</v>
      </c>
      <c r="B5133" s="5" t="str">
        <f t="shared" si="564"/>
        <v>Cali Dream</v>
      </c>
      <c r="C5133" s="3">
        <f t="shared" si="563"/>
        <v>46000</v>
      </c>
      <c r="D5133" s="4">
        <f t="shared" ca="1" si="565"/>
        <v>239</v>
      </c>
      <c r="E5133" s="2">
        <f t="shared" ca="1" si="566"/>
        <v>7380</v>
      </c>
      <c r="F5133" s="2">
        <f t="shared" ca="1" si="567"/>
        <v>21896</v>
      </c>
      <c r="G5133" s="2">
        <f t="shared" ca="1" si="568"/>
        <v>701</v>
      </c>
    </row>
    <row r="5134" spans="1:7" x14ac:dyDescent="0.3">
      <c r="A5134" s="5" t="str">
        <f t="shared" si="562"/>
        <v>New Balance</v>
      </c>
      <c r="B5134" s="5" t="str">
        <f t="shared" si="564"/>
        <v>9060</v>
      </c>
      <c r="C5134" s="3">
        <f t="shared" si="563"/>
        <v>46000</v>
      </c>
      <c r="D5134" s="4">
        <f t="shared" ca="1" si="565"/>
        <v>220</v>
      </c>
      <c r="E5134" s="2">
        <f t="shared" ca="1" si="566"/>
        <v>9564</v>
      </c>
      <c r="F5134" s="2">
        <f t="shared" ca="1" si="567"/>
        <v>24591</v>
      </c>
      <c r="G5134" s="2">
        <f t="shared" ca="1" si="568"/>
        <v>1187</v>
      </c>
    </row>
    <row r="5135" spans="1:7" x14ac:dyDescent="0.3">
      <c r="A5135" s="5" t="str">
        <f t="shared" si="562"/>
        <v>Reebok</v>
      </c>
      <c r="B5135" s="5" t="str">
        <f t="shared" si="564"/>
        <v>Zig Kinetica</v>
      </c>
      <c r="C5135" s="3">
        <f t="shared" si="563"/>
        <v>46000</v>
      </c>
      <c r="D5135" s="4">
        <f t="shared" ca="1" si="565"/>
        <v>170</v>
      </c>
      <c r="E5135" s="2">
        <f t="shared" ca="1" si="566"/>
        <v>9049</v>
      </c>
      <c r="F5135" s="2">
        <f t="shared" ca="1" si="567"/>
        <v>24284</v>
      </c>
      <c r="G5135" s="2">
        <f t="shared" ca="1" si="568"/>
        <v>1177</v>
      </c>
    </row>
    <row r="5136" spans="1:7" x14ac:dyDescent="0.3">
      <c r="A5136" s="5" t="str">
        <f t="shared" si="562"/>
        <v>Nike</v>
      </c>
      <c r="B5136" s="5" t="str">
        <f t="shared" si="564"/>
        <v>Jordan 1</v>
      </c>
      <c r="C5136" s="3">
        <f t="shared" si="563"/>
        <v>46000</v>
      </c>
      <c r="D5136" s="4">
        <f t="shared" ca="1" si="565"/>
        <v>150</v>
      </c>
      <c r="E5136" s="2">
        <f t="shared" ca="1" si="566"/>
        <v>6639</v>
      </c>
      <c r="F5136" s="2">
        <f t="shared" ca="1" si="567"/>
        <v>27357</v>
      </c>
      <c r="G5136" s="2">
        <f t="shared" ca="1" si="568"/>
        <v>2056</v>
      </c>
    </row>
    <row r="5137" spans="1:7" x14ac:dyDescent="0.3">
      <c r="A5137" s="5" t="str">
        <f t="shared" si="562"/>
        <v>Adidas</v>
      </c>
      <c r="B5137" s="5" t="str">
        <f t="shared" si="564"/>
        <v>Ultraboost 23</v>
      </c>
      <c r="C5137" s="3">
        <f t="shared" si="563"/>
        <v>46000</v>
      </c>
      <c r="D5137" s="4">
        <f t="shared" ca="1" si="565"/>
        <v>206</v>
      </c>
      <c r="E5137" s="2">
        <f t="shared" ca="1" si="566"/>
        <v>5622</v>
      </c>
      <c r="F5137" s="2">
        <f t="shared" ca="1" si="567"/>
        <v>7882</v>
      </c>
      <c r="G5137" s="2">
        <f t="shared" ca="1" si="568"/>
        <v>312</v>
      </c>
    </row>
    <row r="5138" spans="1:7" x14ac:dyDescent="0.3">
      <c r="A5138" s="5" t="str">
        <f t="shared" si="562"/>
        <v>Puma</v>
      </c>
      <c r="B5138" s="5" t="str">
        <f t="shared" si="564"/>
        <v>RS-X</v>
      </c>
      <c r="C5138" s="3">
        <f t="shared" si="563"/>
        <v>46000</v>
      </c>
      <c r="D5138" s="4">
        <f t="shared" ca="1" si="565"/>
        <v>82</v>
      </c>
      <c r="E5138" s="2">
        <f t="shared" ca="1" si="566"/>
        <v>4903</v>
      </c>
      <c r="F5138" s="2">
        <f t="shared" ca="1" si="567"/>
        <v>27001</v>
      </c>
      <c r="G5138" s="2">
        <f t="shared" ca="1" si="568"/>
        <v>1956</v>
      </c>
    </row>
    <row r="5139" spans="1:7" x14ac:dyDescent="0.3">
      <c r="A5139" s="5" t="str">
        <f t="shared" si="562"/>
        <v>New Balance</v>
      </c>
      <c r="B5139" s="5" t="str">
        <f t="shared" si="564"/>
        <v>2002R</v>
      </c>
      <c r="C5139" s="3">
        <f t="shared" si="563"/>
        <v>46000</v>
      </c>
      <c r="D5139" s="4">
        <f t="shared" ca="1" si="565"/>
        <v>230</v>
      </c>
      <c r="E5139" s="2">
        <f t="shared" ca="1" si="566"/>
        <v>4405</v>
      </c>
      <c r="F5139" s="2">
        <f t="shared" ca="1" si="567"/>
        <v>29603</v>
      </c>
      <c r="G5139" s="2">
        <f t="shared" ca="1" si="568"/>
        <v>1214</v>
      </c>
    </row>
    <row r="5140" spans="1:7" x14ac:dyDescent="0.3">
      <c r="A5140" s="5" t="str">
        <f t="shared" si="562"/>
        <v>Reebok</v>
      </c>
      <c r="B5140" s="5" t="str">
        <f t="shared" si="564"/>
        <v>Instapump Fury</v>
      </c>
      <c r="C5140" s="3">
        <f t="shared" si="563"/>
        <v>46000</v>
      </c>
      <c r="D5140" s="4">
        <f t="shared" ca="1" si="565"/>
        <v>26</v>
      </c>
      <c r="E5140" s="2">
        <f t="shared" ca="1" si="566"/>
        <v>3268</v>
      </c>
      <c r="F5140" s="2">
        <f t="shared" ca="1" si="567"/>
        <v>18624</v>
      </c>
      <c r="G5140" s="2">
        <f t="shared" ca="1" si="568"/>
        <v>1261</v>
      </c>
    </row>
    <row r="5141" spans="1:7" x14ac:dyDescent="0.3">
      <c r="A5141" s="5" t="str">
        <f t="shared" si="562"/>
        <v>Nike</v>
      </c>
      <c r="B5141" s="5" t="str">
        <f t="shared" si="564"/>
        <v>Cortez</v>
      </c>
      <c r="C5141" s="3">
        <f t="shared" si="563"/>
        <v>46000</v>
      </c>
      <c r="D5141" s="4">
        <f t="shared" ca="1" si="565"/>
        <v>161</v>
      </c>
      <c r="E5141" s="2">
        <f t="shared" ca="1" si="566"/>
        <v>9314</v>
      </c>
      <c r="F5141" s="2">
        <f t="shared" ca="1" si="567"/>
        <v>34715</v>
      </c>
      <c r="G5141" s="2">
        <f t="shared" ca="1" si="568"/>
        <v>1416</v>
      </c>
    </row>
    <row r="5142" spans="1:7" x14ac:dyDescent="0.3">
      <c r="A5142" s="5" t="str">
        <f t="shared" si="562"/>
        <v>Adidas</v>
      </c>
      <c r="B5142" s="5" t="str">
        <f t="shared" si="564"/>
        <v>NMD S1</v>
      </c>
      <c r="C5142" s="3">
        <f t="shared" si="563"/>
        <v>46000</v>
      </c>
      <c r="D5142" s="4">
        <f t="shared" ca="1" si="565"/>
        <v>181</v>
      </c>
      <c r="E5142" s="2">
        <f t="shared" ca="1" si="566"/>
        <v>8471</v>
      </c>
      <c r="F5142" s="2">
        <f t="shared" ca="1" si="567"/>
        <v>29743</v>
      </c>
      <c r="G5142" s="2">
        <f t="shared" ca="1" si="568"/>
        <v>1459</v>
      </c>
    </row>
    <row r="5143" spans="1:7" x14ac:dyDescent="0.3">
      <c r="A5143" s="5" t="str">
        <f t="shared" si="562"/>
        <v>Puma</v>
      </c>
      <c r="B5143" s="5" t="str">
        <f t="shared" si="564"/>
        <v>Suede Classic</v>
      </c>
      <c r="C5143" s="3">
        <f t="shared" si="563"/>
        <v>46000</v>
      </c>
      <c r="D5143" s="4">
        <f t="shared" ca="1" si="565"/>
        <v>230</v>
      </c>
      <c r="E5143" s="2">
        <f t="shared" ca="1" si="566"/>
        <v>5828</v>
      </c>
      <c r="F5143" s="2">
        <f t="shared" ca="1" si="567"/>
        <v>5242</v>
      </c>
      <c r="G5143" s="2">
        <f t="shared" ca="1" si="568"/>
        <v>396</v>
      </c>
    </row>
    <row r="5144" spans="1:7" x14ac:dyDescent="0.3">
      <c r="A5144" s="5" t="str">
        <f t="shared" si="562"/>
        <v>New Balance</v>
      </c>
      <c r="B5144" s="5" t="str">
        <f t="shared" si="564"/>
        <v>990v6</v>
      </c>
      <c r="C5144" s="3">
        <f t="shared" si="563"/>
        <v>46000</v>
      </c>
      <c r="D5144" s="4">
        <f t="shared" ca="1" si="565"/>
        <v>208</v>
      </c>
      <c r="E5144" s="2">
        <f t="shared" ca="1" si="566"/>
        <v>5440</v>
      </c>
      <c r="F5144" s="2">
        <f t="shared" ca="1" si="567"/>
        <v>21760</v>
      </c>
      <c r="G5144" s="2">
        <f t="shared" ca="1" si="568"/>
        <v>1171</v>
      </c>
    </row>
    <row r="5145" spans="1:7" x14ac:dyDescent="0.3">
      <c r="A5145" s="5" t="str">
        <f t="shared" si="562"/>
        <v>Reebok</v>
      </c>
      <c r="B5145" s="5" t="str">
        <f t="shared" si="564"/>
        <v>Nano X3</v>
      </c>
      <c r="C5145" s="3">
        <f t="shared" si="563"/>
        <v>46000</v>
      </c>
      <c r="D5145" s="4">
        <f t="shared" ca="1" si="565"/>
        <v>235</v>
      </c>
      <c r="E5145" s="2">
        <f t="shared" ca="1" si="566"/>
        <v>10938</v>
      </c>
      <c r="F5145" s="2">
        <f t="shared" ca="1" si="567"/>
        <v>14252</v>
      </c>
      <c r="G5145" s="2">
        <f t="shared" ca="1" si="568"/>
        <v>422</v>
      </c>
    </row>
    <row r="5146" spans="1:7" x14ac:dyDescent="0.3">
      <c r="A5146" s="5" t="str">
        <f t="shared" si="562"/>
        <v>Nike</v>
      </c>
      <c r="B5146" s="5" t="str">
        <f t="shared" si="564"/>
        <v>Vaporfly 3</v>
      </c>
      <c r="C5146" s="3">
        <f t="shared" si="563"/>
        <v>46000</v>
      </c>
      <c r="D5146" s="4">
        <f t="shared" ca="1" si="565"/>
        <v>52</v>
      </c>
      <c r="E5146" s="2">
        <f t="shared" ca="1" si="566"/>
        <v>3573</v>
      </c>
      <c r="F5146" s="2">
        <f t="shared" ca="1" si="567"/>
        <v>10828</v>
      </c>
      <c r="G5146" s="2">
        <f t="shared" ca="1" si="568"/>
        <v>567</v>
      </c>
    </row>
    <row r="5147" spans="1:7" x14ac:dyDescent="0.3">
      <c r="A5147" s="5" t="str">
        <f t="shared" si="562"/>
        <v>Adidas</v>
      </c>
      <c r="B5147" s="5" t="str">
        <f t="shared" si="564"/>
        <v>Samba</v>
      </c>
      <c r="C5147" s="3">
        <f t="shared" si="563"/>
        <v>46001</v>
      </c>
      <c r="D5147" s="4">
        <f t="shared" ca="1" si="565"/>
        <v>235</v>
      </c>
      <c r="E5147" s="2">
        <f t="shared" ca="1" si="566"/>
        <v>3933</v>
      </c>
      <c r="F5147" s="2">
        <f t="shared" ca="1" si="567"/>
        <v>8466</v>
      </c>
      <c r="G5147" s="2">
        <f t="shared" ca="1" si="568"/>
        <v>577</v>
      </c>
    </row>
    <row r="5148" spans="1:7" x14ac:dyDescent="0.3">
      <c r="A5148" s="5" t="str">
        <f t="shared" si="562"/>
        <v>Puma</v>
      </c>
      <c r="B5148" s="5" t="str">
        <f t="shared" si="564"/>
        <v>Mayze</v>
      </c>
      <c r="C5148" s="3">
        <f t="shared" si="563"/>
        <v>46001</v>
      </c>
      <c r="D5148" s="4">
        <f t="shared" ca="1" si="565"/>
        <v>225</v>
      </c>
      <c r="E5148" s="2">
        <f t="shared" ca="1" si="566"/>
        <v>5053</v>
      </c>
      <c r="F5148" s="2">
        <f t="shared" ca="1" si="567"/>
        <v>18429</v>
      </c>
      <c r="G5148" s="2">
        <f t="shared" ca="1" si="568"/>
        <v>524</v>
      </c>
    </row>
    <row r="5149" spans="1:7" x14ac:dyDescent="0.3">
      <c r="A5149" s="5" t="str">
        <f t="shared" si="562"/>
        <v>New Balance</v>
      </c>
      <c r="B5149" s="5" t="str">
        <f t="shared" si="564"/>
        <v>574 Core</v>
      </c>
      <c r="C5149" s="3">
        <f t="shared" si="563"/>
        <v>46001</v>
      </c>
      <c r="D5149" s="4">
        <f t="shared" ca="1" si="565"/>
        <v>93</v>
      </c>
      <c r="E5149" s="2">
        <f t="shared" ca="1" si="566"/>
        <v>1937</v>
      </c>
      <c r="F5149" s="2">
        <f t="shared" ca="1" si="567"/>
        <v>34942</v>
      </c>
      <c r="G5149" s="2">
        <f t="shared" ca="1" si="568"/>
        <v>1069</v>
      </c>
    </row>
    <row r="5150" spans="1:7" x14ac:dyDescent="0.3">
      <c r="A5150" s="5" t="str">
        <f t="shared" si="562"/>
        <v>Reebok</v>
      </c>
      <c r="B5150" s="5" t="str">
        <f t="shared" si="564"/>
        <v>Club C 85</v>
      </c>
      <c r="C5150" s="3">
        <f t="shared" si="563"/>
        <v>46001</v>
      </c>
      <c r="D5150" s="4">
        <f t="shared" ca="1" si="565"/>
        <v>177</v>
      </c>
      <c r="E5150" s="2">
        <f t="shared" ca="1" si="566"/>
        <v>6254</v>
      </c>
      <c r="F5150" s="2">
        <f t="shared" ca="1" si="567"/>
        <v>21690</v>
      </c>
      <c r="G5150" s="2">
        <f t="shared" ca="1" si="568"/>
        <v>1678</v>
      </c>
    </row>
    <row r="5151" spans="1:7" x14ac:dyDescent="0.3">
      <c r="A5151" s="5" t="str">
        <f t="shared" si="562"/>
        <v>Nike</v>
      </c>
      <c r="B5151" s="5" t="str">
        <f t="shared" si="564"/>
        <v>Pegasus 40</v>
      </c>
      <c r="C5151" s="3">
        <f t="shared" si="563"/>
        <v>46001</v>
      </c>
      <c r="D5151" s="4">
        <f t="shared" ca="1" si="565"/>
        <v>138</v>
      </c>
      <c r="E5151" s="2">
        <f t="shared" ca="1" si="566"/>
        <v>11795</v>
      </c>
      <c r="F5151" s="2">
        <f t="shared" ca="1" si="567"/>
        <v>14253</v>
      </c>
      <c r="G5151" s="2">
        <f t="shared" ca="1" si="568"/>
        <v>1101</v>
      </c>
    </row>
    <row r="5152" spans="1:7" x14ac:dyDescent="0.3">
      <c r="A5152" s="5" t="str">
        <f t="shared" si="562"/>
        <v>Adidas</v>
      </c>
      <c r="B5152" s="5" t="str">
        <f t="shared" si="564"/>
        <v>Gazelle</v>
      </c>
      <c r="C5152" s="3">
        <f t="shared" si="563"/>
        <v>46001</v>
      </c>
      <c r="D5152" s="4">
        <f t="shared" ca="1" si="565"/>
        <v>228</v>
      </c>
      <c r="E5152" s="2">
        <f t="shared" ca="1" si="566"/>
        <v>5180</v>
      </c>
      <c r="F5152" s="2">
        <f t="shared" ca="1" si="567"/>
        <v>31743</v>
      </c>
      <c r="G5152" s="2">
        <f t="shared" ca="1" si="568"/>
        <v>840</v>
      </c>
    </row>
    <row r="5153" spans="1:7" x14ac:dyDescent="0.3">
      <c r="A5153" s="5" t="str">
        <f t="shared" si="562"/>
        <v>Puma</v>
      </c>
      <c r="B5153" s="5" t="str">
        <f t="shared" si="564"/>
        <v>Slipstream</v>
      </c>
      <c r="C5153" s="3">
        <f t="shared" si="563"/>
        <v>46001</v>
      </c>
      <c r="D5153" s="4">
        <f t="shared" ca="1" si="565"/>
        <v>193</v>
      </c>
      <c r="E5153" s="2">
        <f t="shared" ca="1" si="566"/>
        <v>4853</v>
      </c>
      <c r="F5153" s="2">
        <f t="shared" ca="1" si="567"/>
        <v>15259</v>
      </c>
      <c r="G5153" s="2">
        <f t="shared" ca="1" si="568"/>
        <v>554</v>
      </c>
    </row>
    <row r="5154" spans="1:7" x14ac:dyDescent="0.3">
      <c r="A5154" s="5" t="str">
        <f t="shared" si="562"/>
        <v>New Balance</v>
      </c>
      <c r="B5154" s="5" t="str">
        <f t="shared" si="564"/>
        <v>550</v>
      </c>
      <c r="C5154" s="3">
        <f t="shared" si="563"/>
        <v>46001</v>
      </c>
      <c r="D5154" s="4">
        <f t="shared" ca="1" si="565"/>
        <v>118</v>
      </c>
      <c r="E5154" s="2">
        <f t="shared" ca="1" si="566"/>
        <v>11817</v>
      </c>
      <c r="F5154" s="2">
        <f t="shared" ca="1" si="567"/>
        <v>19875</v>
      </c>
      <c r="G5154" s="2">
        <f t="shared" ca="1" si="568"/>
        <v>873</v>
      </c>
    </row>
    <row r="5155" spans="1:7" x14ac:dyDescent="0.3">
      <c r="A5155" s="5" t="str">
        <f t="shared" si="562"/>
        <v>Reebok</v>
      </c>
      <c r="B5155" s="5" t="str">
        <f t="shared" si="564"/>
        <v>Classic Leather</v>
      </c>
      <c r="C5155" s="3">
        <f t="shared" si="563"/>
        <v>46001</v>
      </c>
      <c r="D5155" s="4">
        <f t="shared" ca="1" si="565"/>
        <v>244</v>
      </c>
      <c r="E5155" s="2">
        <f t="shared" ca="1" si="566"/>
        <v>2676</v>
      </c>
      <c r="F5155" s="2">
        <f t="shared" ca="1" si="567"/>
        <v>18418</v>
      </c>
      <c r="G5155" s="2">
        <f t="shared" ca="1" si="568"/>
        <v>1176</v>
      </c>
    </row>
    <row r="5156" spans="1:7" x14ac:dyDescent="0.3">
      <c r="A5156" s="5" t="str">
        <f t="shared" si="562"/>
        <v>Nike</v>
      </c>
      <c r="B5156" s="5" t="str">
        <f t="shared" si="564"/>
        <v>Air Force 1</v>
      </c>
      <c r="C5156" s="3">
        <f t="shared" si="563"/>
        <v>46001</v>
      </c>
      <c r="D5156" s="4">
        <f t="shared" ca="1" si="565"/>
        <v>155</v>
      </c>
      <c r="E5156" s="2">
        <f t="shared" ca="1" si="566"/>
        <v>10422</v>
      </c>
      <c r="F5156" s="2">
        <f t="shared" ca="1" si="567"/>
        <v>34812</v>
      </c>
      <c r="G5156" s="2">
        <f t="shared" ca="1" si="568"/>
        <v>1064</v>
      </c>
    </row>
    <row r="5157" spans="1:7" x14ac:dyDescent="0.3">
      <c r="A5157" s="5" t="str">
        <f t="shared" si="562"/>
        <v>Adidas</v>
      </c>
      <c r="B5157" s="5" t="str">
        <f t="shared" si="564"/>
        <v>Superstar</v>
      </c>
      <c r="C5157" s="3">
        <f t="shared" si="563"/>
        <v>46001</v>
      </c>
      <c r="D5157" s="4">
        <f t="shared" ca="1" si="565"/>
        <v>237</v>
      </c>
      <c r="E5157" s="2">
        <f t="shared" ca="1" si="566"/>
        <v>2144</v>
      </c>
      <c r="F5157" s="2">
        <f t="shared" ca="1" si="567"/>
        <v>23035</v>
      </c>
      <c r="G5157" s="2">
        <f t="shared" ca="1" si="568"/>
        <v>1758</v>
      </c>
    </row>
    <row r="5158" spans="1:7" x14ac:dyDescent="0.3">
      <c r="A5158" s="5" t="str">
        <f t="shared" si="562"/>
        <v>Puma</v>
      </c>
      <c r="B5158" s="5" t="str">
        <f t="shared" si="564"/>
        <v>Rider Vintage</v>
      </c>
      <c r="C5158" s="3">
        <f t="shared" si="563"/>
        <v>46001</v>
      </c>
      <c r="D5158" s="4">
        <f t="shared" ca="1" si="565"/>
        <v>133</v>
      </c>
      <c r="E5158" s="2">
        <f t="shared" ca="1" si="566"/>
        <v>11312</v>
      </c>
      <c r="F5158" s="2">
        <f t="shared" ca="1" si="567"/>
        <v>28822</v>
      </c>
      <c r="G5158" s="2">
        <f t="shared" ca="1" si="568"/>
        <v>1186</v>
      </c>
    </row>
    <row r="5159" spans="1:7" x14ac:dyDescent="0.3">
      <c r="A5159" s="5" t="str">
        <f t="shared" si="562"/>
        <v>New Balance</v>
      </c>
      <c r="B5159" s="5" t="str">
        <f t="shared" si="564"/>
        <v>327</v>
      </c>
      <c r="C5159" s="3">
        <f t="shared" si="563"/>
        <v>46001</v>
      </c>
      <c r="D5159" s="4">
        <f t="shared" ca="1" si="565"/>
        <v>131</v>
      </c>
      <c r="E5159" s="2">
        <f t="shared" ca="1" si="566"/>
        <v>10824</v>
      </c>
      <c r="F5159" s="2">
        <f t="shared" ca="1" si="567"/>
        <v>22277</v>
      </c>
      <c r="G5159" s="2">
        <f t="shared" ca="1" si="568"/>
        <v>1083</v>
      </c>
    </row>
    <row r="5160" spans="1:7" x14ac:dyDescent="0.3">
      <c r="A5160" s="5" t="str">
        <f t="shared" si="562"/>
        <v>Reebok</v>
      </c>
      <c r="B5160" s="5" t="str">
        <f t="shared" si="564"/>
        <v>Question Mid</v>
      </c>
      <c r="C5160" s="3">
        <f t="shared" si="563"/>
        <v>46001</v>
      </c>
      <c r="D5160" s="4">
        <f t="shared" ca="1" si="565"/>
        <v>36</v>
      </c>
      <c r="E5160" s="2">
        <f t="shared" ca="1" si="566"/>
        <v>11183</v>
      </c>
      <c r="F5160" s="2">
        <f t="shared" ca="1" si="567"/>
        <v>27828</v>
      </c>
      <c r="G5160" s="2">
        <f t="shared" ca="1" si="568"/>
        <v>671</v>
      </c>
    </row>
    <row r="5161" spans="1:7" x14ac:dyDescent="0.3">
      <c r="A5161" s="5" t="str">
        <f t="shared" si="562"/>
        <v>Nike</v>
      </c>
      <c r="B5161" s="5" t="str">
        <f t="shared" si="564"/>
        <v>Air Max 270</v>
      </c>
      <c r="C5161" s="3">
        <f t="shared" si="563"/>
        <v>46001</v>
      </c>
      <c r="D5161" s="4">
        <f t="shared" ca="1" si="565"/>
        <v>72</v>
      </c>
      <c r="E5161" s="2">
        <f t="shared" ca="1" si="566"/>
        <v>11147</v>
      </c>
      <c r="F5161" s="2">
        <f t="shared" ca="1" si="567"/>
        <v>26107</v>
      </c>
      <c r="G5161" s="2">
        <f t="shared" ca="1" si="568"/>
        <v>1005</v>
      </c>
    </row>
    <row r="5162" spans="1:7" x14ac:dyDescent="0.3">
      <c r="A5162" s="5" t="str">
        <f t="shared" si="562"/>
        <v>Adidas</v>
      </c>
      <c r="B5162" s="5" t="str">
        <f t="shared" si="564"/>
        <v>Stan Smith</v>
      </c>
      <c r="C5162" s="3">
        <f t="shared" si="563"/>
        <v>46002</v>
      </c>
      <c r="D5162" s="4">
        <f t="shared" ca="1" si="565"/>
        <v>122</v>
      </c>
      <c r="E5162" s="2">
        <f t="shared" ca="1" si="566"/>
        <v>9112</v>
      </c>
      <c r="F5162" s="2">
        <f t="shared" ca="1" si="567"/>
        <v>8631</v>
      </c>
      <c r="G5162" s="2">
        <f t="shared" ca="1" si="568"/>
        <v>682</v>
      </c>
    </row>
    <row r="5163" spans="1:7" x14ac:dyDescent="0.3">
      <c r="A5163" s="5" t="str">
        <f t="shared" ref="A5163:A5226" si="569">CHOOSE(MOD(ROW(A5162),5)+1,"Nike","Adidas","Puma","New Balance","Reebok")</f>
        <v>Puma</v>
      </c>
      <c r="B5163" s="5" t="str">
        <f t="shared" si="564"/>
        <v>Cali Dream</v>
      </c>
      <c r="C5163" s="3">
        <f t="shared" ref="C5163:C5226" si="570">DATE(2025,1,1)+INT((ROW(A5163)-2)/15)</f>
        <v>46002</v>
      </c>
      <c r="D5163" s="4">
        <f t="shared" ca="1" si="565"/>
        <v>185</v>
      </c>
      <c r="E5163" s="2">
        <f t="shared" ca="1" si="566"/>
        <v>5829</v>
      </c>
      <c r="F5163" s="2">
        <f t="shared" ca="1" si="567"/>
        <v>16223</v>
      </c>
      <c r="G5163" s="2">
        <f t="shared" ca="1" si="568"/>
        <v>637</v>
      </c>
    </row>
    <row r="5164" spans="1:7" x14ac:dyDescent="0.3">
      <c r="A5164" s="5" t="str">
        <f t="shared" si="569"/>
        <v>New Balance</v>
      </c>
      <c r="B5164" s="5" t="str">
        <f t="shared" si="564"/>
        <v>9060</v>
      </c>
      <c r="C5164" s="3">
        <f t="shared" si="570"/>
        <v>46002</v>
      </c>
      <c r="D5164" s="4">
        <f t="shared" ca="1" si="565"/>
        <v>118</v>
      </c>
      <c r="E5164" s="2">
        <f t="shared" ca="1" si="566"/>
        <v>2456</v>
      </c>
      <c r="F5164" s="2">
        <f t="shared" ca="1" si="567"/>
        <v>25176</v>
      </c>
      <c r="G5164" s="2">
        <f t="shared" ca="1" si="568"/>
        <v>1387</v>
      </c>
    </row>
    <row r="5165" spans="1:7" x14ac:dyDescent="0.3">
      <c r="A5165" s="5" t="str">
        <f t="shared" si="569"/>
        <v>Reebok</v>
      </c>
      <c r="B5165" s="5" t="str">
        <f t="shared" si="564"/>
        <v>Zig Kinetica</v>
      </c>
      <c r="C5165" s="3">
        <f t="shared" si="570"/>
        <v>46002</v>
      </c>
      <c r="D5165" s="4">
        <f t="shared" ca="1" si="565"/>
        <v>28</v>
      </c>
      <c r="E5165" s="2">
        <f t="shared" ca="1" si="566"/>
        <v>3692</v>
      </c>
      <c r="F5165" s="2">
        <f t="shared" ca="1" si="567"/>
        <v>24922</v>
      </c>
      <c r="G5165" s="2">
        <f t="shared" ca="1" si="568"/>
        <v>1849</v>
      </c>
    </row>
    <row r="5166" spans="1:7" x14ac:dyDescent="0.3">
      <c r="A5166" s="5" t="str">
        <f t="shared" si="569"/>
        <v>Nike</v>
      </c>
      <c r="B5166" s="5" t="str">
        <f t="shared" si="564"/>
        <v>Jordan 1</v>
      </c>
      <c r="C5166" s="3">
        <f t="shared" si="570"/>
        <v>46002</v>
      </c>
      <c r="D5166" s="4">
        <f t="shared" ca="1" si="565"/>
        <v>136</v>
      </c>
      <c r="E5166" s="2">
        <f t="shared" ca="1" si="566"/>
        <v>9245</v>
      </c>
      <c r="F5166" s="2">
        <f t="shared" ca="1" si="567"/>
        <v>30407</v>
      </c>
      <c r="G5166" s="2">
        <f t="shared" ca="1" si="568"/>
        <v>1845</v>
      </c>
    </row>
    <row r="5167" spans="1:7" x14ac:dyDescent="0.3">
      <c r="A5167" s="5" t="str">
        <f t="shared" si="569"/>
        <v>Adidas</v>
      </c>
      <c r="B5167" s="5" t="str">
        <f t="shared" si="564"/>
        <v>Ultraboost 23</v>
      </c>
      <c r="C5167" s="3">
        <f t="shared" si="570"/>
        <v>46002</v>
      </c>
      <c r="D5167" s="4">
        <f t="shared" ca="1" si="565"/>
        <v>28</v>
      </c>
      <c r="E5167" s="2">
        <f t="shared" ca="1" si="566"/>
        <v>4938</v>
      </c>
      <c r="F5167" s="2">
        <f t="shared" ca="1" si="567"/>
        <v>5404</v>
      </c>
      <c r="G5167" s="2">
        <f t="shared" ca="1" si="568"/>
        <v>257</v>
      </c>
    </row>
    <row r="5168" spans="1:7" x14ac:dyDescent="0.3">
      <c r="A5168" s="5" t="str">
        <f t="shared" si="569"/>
        <v>Puma</v>
      </c>
      <c r="B5168" s="5" t="str">
        <f t="shared" si="564"/>
        <v>RS-X</v>
      </c>
      <c r="C5168" s="3">
        <f t="shared" si="570"/>
        <v>46002</v>
      </c>
      <c r="D5168" s="4">
        <f t="shared" ca="1" si="565"/>
        <v>205</v>
      </c>
      <c r="E5168" s="2">
        <f t="shared" ca="1" si="566"/>
        <v>6033</v>
      </c>
      <c r="F5168" s="2">
        <f t="shared" ca="1" si="567"/>
        <v>28759</v>
      </c>
      <c r="G5168" s="2">
        <f t="shared" ca="1" si="568"/>
        <v>1406</v>
      </c>
    </row>
    <row r="5169" spans="1:7" x14ac:dyDescent="0.3">
      <c r="A5169" s="5" t="str">
        <f t="shared" si="569"/>
        <v>New Balance</v>
      </c>
      <c r="B5169" s="5" t="str">
        <f t="shared" si="564"/>
        <v>2002R</v>
      </c>
      <c r="C5169" s="3">
        <f t="shared" si="570"/>
        <v>46002</v>
      </c>
      <c r="D5169" s="4">
        <f t="shared" ca="1" si="565"/>
        <v>151</v>
      </c>
      <c r="E5169" s="2">
        <f t="shared" ca="1" si="566"/>
        <v>1650</v>
      </c>
      <c r="F5169" s="2">
        <f t="shared" ca="1" si="567"/>
        <v>30630</v>
      </c>
      <c r="G5169" s="2">
        <f t="shared" ca="1" si="568"/>
        <v>1061</v>
      </c>
    </row>
    <row r="5170" spans="1:7" x14ac:dyDescent="0.3">
      <c r="A5170" s="5" t="str">
        <f t="shared" si="569"/>
        <v>Reebok</v>
      </c>
      <c r="B5170" s="5" t="str">
        <f t="shared" si="564"/>
        <v>Instapump Fury</v>
      </c>
      <c r="C5170" s="3">
        <f t="shared" si="570"/>
        <v>46002</v>
      </c>
      <c r="D5170" s="4">
        <f t="shared" ca="1" si="565"/>
        <v>43</v>
      </c>
      <c r="E5170" s="2">
        <f t="shared" ca="1" si="566"/>
        <v>9572</v>
      </c>
      <c r="F5170" s="2">
        <f t="shared" ca="1" si="567"/>
        <v>7005</v>
      </c>
      <c r="G5170" s="2">
        <f t="shared" ca="1" si="568"/>
        <v>303</v>
      </c>
    </row>
    <row r="5171" spans="1:7" x14ac:dyDescent="0.3">
      <c r="A5171" s="5" t="str">
        <f t="shared" si="569"/>
        <v>Nike</v>
      </c>
      <c r="B5171" s="5" t="str">
        <f t="shared" si="564"/>
        <v>Cortez</v>
      </c>
      <c r="C5171" s="3">
        <f t="shared" si="570"/>
        <v>46002</v>
      </c>
      <c r="D5171" s="4">
        <f t="shared" ca="1" si="565"/>
        <v>148</v>
      </c>
      <c r="E5171" s="2">
        <f t="shared" ca="1" si="566"/>
        <v>10925</v>
      </c>
      <c r="F5171" s="2">
        <f t="shared" ca="1" si="567"/>
        <v>21432</v>
      </c>
      <c r="G5171" s="2">
        <f t="shared" ca="1" si="568"/>
        <v>1055</v>
      </c>
    </row>
    <row r="5172" spans="1:7" x14ac:dyDescent="0.3">
      <c r="A5172" s="5" t="str">
        <f t="shared" si="569"/>
        <v>Adidas</v>
      </c>
      <c r="B5172" s="5" t="str">
        <f t="shared" si="564"/>
        <v>NMD S1</v>
      </c>
      <c r="C5172" s="3">
        <f t="shared" si="570"/>
        <v>46002</v>
      </c>
      <c r="D5172" s="4">
        <f t="shared" ca="1" si="565"/>
        <v>85</v>
      </c>
      <c r="E5172" s="2">
        <f t="shared" ca="1" si="566"/>
        <v>6690</v>
      </c>
      <c r="F5172" s="2">
        <f t="shared" ca="1" si="567"/>
        <v>17786</v>
      </c>
      <c r="G5172" s="2">
        <f t="shared" ca="1" si="568"/>
        <v>372</v>
      </c>
    </row>
    <row r="5173" spans="1:7" x14ac:dyDescent="0.3">
      <c r="A5173" s="5" t="str">
        <f t="shared" si="569"/>
        <v>Puma</v>
      </c>
      <c r="B5173" s="5" t="str">
        <f t="shared" si="564"/>
        <v>Suede Classic</v>
      </c>
      <c r="C5173" s="3">
        <f t="shared" si="570"/>
        <v>46002</v>
      </c>
      <c r="D5173" s="4">
        <f t="shared" ca="1" si="565"/>
        <v>246</v>
      </c>
      <c r="E5173" s="2">
        <f t="shared" ca="1" si="566"/>
        <v>6901</v>
      </c>
      <c r="F5173" s="2">
        <f t="shared" ca="1" si="567"/>
        <v>29691</v>
      </c>
      <c r="G5173" s="2">
        <f t="shared" ca="1" si="568"/>
        <v>2368</v>
      </c>
    </row>
    <row r="5174" spans="1:7" x14ac:dyDescent="0.3">
      <c r="A5174" s="5" t="str">
        <f t="shared" si="569"/>
        <v>New Balance</v>
      </c>
      <c r="B5174" s="5" t="str">
        <f t="shared" si="564"/>
        <v>990v6</v>
      </c>
      <c r="C5174" s="3">
        <f t="shared" si="570"/>
        <v>46002</v>
      </c>
      <c r="D5174" s="4">
        <f t="shared" ca="1" si="565"/>
        <v>135</v>
      </c>
      <c r="E5174" s="2">
        <f t="shared" ca="1" si="566"/>
        <v>3314</v>
      </c>
      <c r="F5174" s="2">
        <f t="shared" ca="1" si="567"/>
        <v>24093</v>
      </c>
      <c r="G5174" s="2">
        <f t="shared" ca="1" si="568"/>
        <v>931</v>
      </c>
    </row>
    <row r="5175" spans="1:7" x14ac:dyDescent="0.3">
      <c r="A5175" s="5" t="str">
        <f t="shared" si="569"/>
        <v>Reebok</v>
      </c>
      <c r="B5175" s="5" t="str">
        <f t="shared" si="564"/>
        <v>Nano X3</v>
      </c>
      <c r="C5175" s="3">
        <f t="shared" si="570"/>
        <v>46002</v>
      </c>
      <c r="D5175" s="4">
        <f t="shared" ca="1" si="565"/>
        <v>42</v>
      </c>
      <c r="E5175" s="2">
        <f t="shared" ca="1" si="566"/>
        <v>9220</v>
      </c>
      <c r="F5175" s="2">
        <f t="shared" ca="1" si="567"/>
        <v>20234</v>
      </c>
      <c r="G5175" s="2">
        <f t="shared" ca="1" si="568"/>
        <v>1192</v>
      </c>
    </row>
    <row r="5176" spans="1:7" x14ac:dyDescent="0.3">
      <c r="A5176" s="5" t="str">
        <f t="shared" si="569"/>
        <v>Nike</v>
      </c>
      <c r="B5176" s="5" t="str">
        <f t="shared" si="564"/>
        <v>Vaporfly 3</v>
      </c>
      <c r="C5176" s="3">
        <f t="shared" si="570"/>
        <v>46002</v>
      </c>
      <c r="D5176" s="4">
        <f t="shared" ca="1" si="565"/>
        <v>250</v>
      </c>
      <c r="E5176" s="2">
        <f t="shared" ca="1" si="566"/>
        <v>2349</v>
      </c>
      <c r="F5176" s="2">
        <f t="shared" ca="1" si="567"/>
        <v>23486</v>
      </c>
      <c r="G5176" s="2">
        <f t="shared" ca="1" si="568"/>
        <v>810</v>
      </c>
    </row>
    <row r="5177" spans="1:7" x14ac:dyDescent="0.3">
      <c r="A5177" s="5" t="str">
        <f t="shared" si="569"/>
        <v>Adidas</v>
      </c>
      <c r="B5177" s="5" t="str">
        <f t="shared" si="564"/>
        <v>Samba</v>
      </c>
      <c r="C5177" s="3">
        <f t="shared" si="570"/>
        <v>46003</v>
      </c>
      <c r="D5177" s="4">
        <f t="shared" ca="1" si="565"/>
        <v>217</v>
      </c>
      <c r="E5177" s="2">
        <f t="shared" ca="1" si="566"/>
        <v>5935</v>
      </c>
      <c r="F5177" s="2">
        <f t="shared" ca="1" si="567"/>
        <v>34170</v>
      </c>
      <c r="G5177" s="2">
        <f t="shared" ca="1" si="568"/>
        <v>2621</v>
      </c>
    </row>
    <row r="5178" spans="1:7" x14ac:dyDescent="0.3">
      <c r="A5178" s="5" t="str">
        <f t="shared" si="569"/>
        <v>Puma</v>
      </c>
      <c r="B5178" s="5" t="str">
        <f t="shared" si="564"/>
        <v>Mayze</v>
      </c>
      <c r="C5178" s="3">
        <f t="shared" si="570"/>
        <v>46003</v>
      </c>
      <c r="D5178" s="4">
        <f t="shared" ca="1" si="565"/>
        <v>61</v>
      </c>
      <c r="E5178" s="2">
        <f t="shared" ca="1" si="566"/>
        <v>11768</v>
      </c>
      <c r="F5178" s="2">
        <f t="shared" ca="1" si="567"/>
        <v>24124</v>
      </c>
      <c r="G5178" s="2">
        <f t="shared" ca="1" si="568"/>
        <v>1648</v>
      </c>
    </row>
    <row r="5179" spans="1:7" x14ac:dyDescent="0.3">
      <c r="A5179" s="5" t="str">
        <f t="shared" si="569"/>
        <v>New Balance</v>
      </c>
      <c r="B5179" s="5" t="str">
        <f t="shared" si="564"/>
        <v>574 Core</v>
      </c>
      <c r="C5179" s="3">
        <f t="shared" si="570"/>
        <v>46003</v>
      </c>
      <c r="D5179" s="4">
        <f t="shared" ca="1" si="565"/>
        <v>110</v>
      </c>
      <c r="E5179" s="2">
        <f t="shared" ca="1" si="566"/>
        <v>9614</v>
      </c>
      <c r="F5179" s="2">
        <f t="shared" ca="1" si="567"/>
        <v>29433</v>
      </c>
      <c r="G5179" s="2">
        <f t="shared" ca="1" si="568"/>
        <v>2190</v>
      </c>
    </row>
    <row r="5180" spans="1:7" x14ac:dyDescent="0.3">
      <c r="A5180" s="5" t="str">
        <f t="shared" si="569"/>
        <v>Reebok</v>
      </c>
      <c r="B5180" s="5" t="str">
        <f t="shared" si="564"/>
        <v>Club C 85</v>
      </c>
      <c r="C5180" s="3">
        <f t="shared" si="570"/>
        <v>46003</v>
      </c>
      <c r="D5180" s="4">
        <f t="shared" ca="1" si="565"/>
        <v>181</v>
      </c>
      <c r="E5180" s="2">
        <f t="shared" ca="1" si="566"/>
        <v>3698</v>
      </c>
      <c r="F5180" s="2">
        <f t="shared" ca="1" si="567"/>
        <v>23418</v>
      </c>
      <c r="G5180" s="2">
        <f t="shared" ca="1" si="568"/>
        <v>1046</v>
      </c>
    </row>
    <row r="5181" spans="1:7" x14ac:dyDescent="0.3">
      <c r="A5181" s="5" t="str">
        <f t="shared" si="569"/>
        <v>Nike</v>
      </c>
      <c r="B5181" s="5" t="str">
        <f t="shared" si="564"/>
        <v>Pegasus 40</v>
      </c>
      <c r="C5181" s="3">
        <f t="shared" si="570"/>
        <v>46003</v>
      </c>
      <c r="D5181" s="4">
        <f t="shared" ca="1" si="565"/>
        <v>227</v>
      </c>
      <c r="E5181" s="2">
        <f t="shared" ca="1" si="566"/>
        <v>7550</v>
      </c>
      <c r="F5181" s="2">
        <f t="shared" ca="1" si="567"/>
        <v>20539</v>
      </c>
      <c r="G5181" s="2">
        <f t="shared" ca="1" si="568"/>
        <v>1313</v>
      </c>
    </row>
    <row r="5182" spans="1:7" x14ac:dyDescent="0.3">
      <c r="A5182" s="5" t="str">
        <f t="shared" si="569"/>
        <v>Adidas</v>
      </c>
      <c r="B5182" s="5" t="str">
        <f t="shared" si="564"/>
        <v>Gazelle</v>
      </c>
      <c r="C5182" s="3">
        <f t="shared" si="570"/>
        <v>46003</v>
      </c>
      <c r="D5182" s="4">
        <f t="shared" ca="1" si="565"/>
        <v>119</v>
      </c>
      <c r="E5182" s="2">
        <f t="shared" ca="1" si="566"/>
        <v>4813</v>
      </c>
      <c r="F5182" s="2">
        <f t="shared" ca="1" si="567"/>
        <v>27185</v>
      </c>
      <c r="G5182" s="2">
        <f t="shared" ca="1" si="568"/>
        <v>828</v>
      </c>
    </row>
    <row r="5183" spans="1:7" x14ac:dyDescent="0.3">
      <c r="A5183" s="5" t="str">
        <f t="shared" si="569"/>
        <v>Puma</v>
      </c>
      <c r="B5183" s="5" t="str">
        <f t="shared" si="564"/>
        <v>Slipstream</v>
      </c>
      <c r="C5183" s="3">
        <f t="shared" si="570"/>
        <v>46003</v>
      </c>
      <c r="D5183" s="4">
        <f t="shared" ca="1" si="565"/>
        <v>22</v>
      </c>
      <c r="E5183" s="2">
        <f t="shared" ca="1" si="566"/>
        <v>10013</v>
      </c>
      <c r="F5183" s="2">
        <f t="shared" ca="1" si="567"/>
        <v>19447</v>
      </c>
      <c r="G5183" s="2">
        <f t="shared" ca="1" si="568"/>
        <v>1485</v>
      </c>
    </row>
    <row r="5184" spans="1:7" x14ac:dyDescent="0.3">
      <c r="A5184" s="5" t="str">
        <f t="shared" si="569"/>
        <v>New Balance</v>
      </c>
      <c r="B5184" s="5" t="str">
        <f t="shared" si="564"/>
        <v>550</v>
      </c>
      <c r="C5184" s="3">
        <f t="shared" si="570"/>
        <v>46003</v>
      </c>
      <c r="D5184" s="4">
        <f t="shared" ca="1" si="565"/>
        <v>161</v>
      </c>
      <c r="E5184" s="2">
        <f t="shared" ca="1" si="566"/>
        <v>2500</v>
      </c>
      <c r="F5184" s="2">
        <f t="shared" ca="1" si="567"/>
        <v>19230</v>
      </c>
      <c r="G5184" s="2">
        <f t="shared" ca="1" si="568"/>
        <v>1416</v>
      </c>
    </row>
    <row r="5185" spans="1:7" x14ac:dyDescent="0.3">
      <c r="A5185" s="5" t="str">
        <f t="shared" si="569"/>
        <v>Reebok</v>
      </c>
      <c r="B5185" s="5" t="str">
        <f t="shared" si="564"/>
        <v>Classic Leather</v>
      </c>
      <c r="C5185" s="3">
        <f t="shared" si="570"/>
        <v>46003</v>
      </c>
      <c r="D5185" s="4">
        <f t="shared" ca="1" si="565"/>
        <v>96</v>
      </c>
      <c r="E5185" s="2">
        <f t="shared" ca="1" si="566"/>
        <v>3474</v>
      </c>
      <c r="F5185" s="2">
        <f t="shared" ca="1" si="567"/>
        <v>34509</v>
      </c>
      <c r="G5185" s="2">
        <f t="shared" ca="1" si="568"/>
        <v>2039</v>
      </c>
    </row>
    <row r="5186" spans="1:7" x14ac:dyDescent="0.3">
      <c r="A5186" s="5" t="str">
        <f t="shared" si="569"/>
        <v>Nike</v>
      </c>
      <c r="B5186" s="5" t="str">
        <f t="shared" si="564"/>
        <v>Air Force 1</v>
      </c>
      <c r="C5186" s="3">
        <f t="shared" si="570"/>
        <v>46003</v>
      </c>
      <c r="D5186" s="4">
        <f t="shared" ca="1" si="565"/>
        <v>137</v>
      </c>
      <c r="E5186" s="2">
        <f t="shared" ca="1" si="566"/>
        <v>5513</v>
      </c>
      <c r="F5186" s="2">
        <f t="shared" ca="1" si="567"/>
        <v>14745</v>
      </c>
      <c r="G5186" s="2">
        <f t="shared" ca="1" si="568"/>
        <v>1026</v>
      </c>
    </row>
    <row r="5187" spans="1:7" x14ac:dyDescent="0.3">
      <c r="A5187" s="5" t="str">
        <f t="shared" si="569"/>
        <v>Adidas</v>
      </c>
      <c r="B5187" s="5" t="str">
        <f t="shared" ref="B5187:B5250" si="571">IF(A5187="Nike",CHOOSE(MOD(ROW(A5186),6)+1,"Air Max 270","Air Force 1","Pegasus 40","Vaporfly 3","Cortez","Jordan 1"),
 IF(A5187="Adidas",CHOOSE(MOD(ROW(A5186),6)+1,"Ultraboost 23","Stan Smith","Superstar","Gazelle","Samba","NMD S1"),
 IF(A5187="Puma",CHOOSE(MOD(ROW(A5186),6)+1,"Suede Classic","RS-X","Cali Dream","Rider Vintage","Slipstream","Mayze"),
 IF(A5187="New Balance",CHOOSE(MOD(ROW(A5186),6)+1,"574 Core","990v6","2002R","9060","327","550"),
 IF(A5187="Reebok",CHOOSE(MOD(ROW(A5186),6)+1,"Classic Leather","Club C 85","Nano X3","Instapump Fury","Zig Kinetica","Question Mid"),"")))))</f>
        <v>Superstar</v>
      </c>
      <c r="C5187" s="3">
        <f t="shared" si="570"/>
        <v>46003</v>
      </c>
      <c r="D5187" s="4">
        <f t="shared" ref="D5187:D5250" ca="1" si="572">RANDBETWEEN(20,250)</f>
        <v>160</v>
      </c>
      <c r="E5187" s="2">
        <f t="shared" ref="E5187:E5250" ca="1" si="573">ROUND(RANDBETWEEN(1500,12000)+(RANDBETWEEN(-200,200)),2)</f>
        <v>7069</v>
      </c>
      <c r="F5187" s="2">
        <f t="shared" ref="F5187:F5250" ca="1" si="574">RANDBETWEEN(5000,35000)</f>
        <v>30057</v>
      </c>
      <c r="G5187" s="2">
        <f t="shared" ref="G5187:G5250" ca="1" si="575">RANDBETWEEN(ROUND(F5187*0.02,0),ROUND(F5187*0.08,0))</f>
        <v>1189</v>
      </c>
    </row>
    <row r="5188" spans="1:7" x14ac:dyDescent="0.3">
      <c r="A5188" s="5" t="str">
        <f t="shared" si="569"/>
        <v>Puma</v>
      </c>
      <c r="B5188" s="5" t="str">
        <f t="shared" si="571"/>
        <v>Rider Vintage</v>
      </c>
      <c r="C5188" s="3">
        <f t="shared" si="570"/>
        <v>46003</v>
      </c>
      <c r="D5188" s="4">
        <f t="shared" ca="1" si="572"/>
        <v>137</v>
      </c>
      <c r="E5188" s="2">
        <f t="shared" ca="1" si="573"/>
        <v>11838</v>
      </c>
      <c r="F5188" s="2">
        <f t="shared" ca="1" si="574"/>
        <v>11229</v>
      </c>
      <c r="G5188" s="2">
        <f t="shared" ca="1" si="575"/>
        <v>227</v>
      </c>
    </row>
    <row r="5189" spans="1:7" x14ac:dyDescent="0.3">
      <c r="A5189" s="5" t="str">
        <f t="shared" si="569"/>
        <v>New Balance</v>
      </c>
      <c r="B5189" s="5" t="str">
        <f t="shared" si="571"/>
        <v>327</v>
      </c>
      <c r="C5189" s="3">
        <f t="shared" si="570"/>
        <v>46003</v>
      </c>
      <c r="D5189" s="4">
        <f t="shared" ca="1" si="572"/>
        <v>54</v>
      </c>
      <c r="E5189" s="2">
        <f t="shared" ca="1" si="573"/>
        <v>8768</v>
      </c>
      <c r="F5189" s="2">
        <f t="shared" ca="1" si="574"/>
        <v>16593</v>
      </c>
      <c r="G5189" s="2">
        <f t="shared" ca="1" si="575"/>
        <v>932</v>
      </c>
    </row>
    <row r="5190" spans="1:7" x14ac:dyDescent="0.3">
      <c r="A5190" s="5" t="str">
        <f t="shared" si="569"/>
        <v>Reebok</v>
      </c>
      <c r="B5190" s="5" t="str">
        <f t="shared" si="571"/>
        <v>Question Mid</v>
      </c>
      <c r="C5190" s="3">
        <f t="shared" si="570"/>
        <v>46003</v>
      </c>
      <c r="D5190" s="4">
        <f t="shared" ca="1" si="572"/>
        <v>107</v>
      </c>
      <c r="E5190" s="2">
        <f t="shared" ca="1" si="573"/>
        <v>2202</v>
      </c>
      <c r="F5190" s="2">
        <f t="shared" ca="1" si="574"/>
        <v>6711</v>
      </c>
      <c r="G5190" s="2">
        <f t="shared" ca="1" si="575"/>
        <v>272</v>
      </c>
    </row>
    <row r="5191" spans="1:7" x14ac:dyDescent="0.3">
      <c r="A5191" s="5" t="str">
        <f t="shared" si="569"/>
        <v>Nike</v>
      </c>
      <c r="B5191" s="5" t="str">
        <f t="shared" si="571"/>
        <v>Air Max 270</v>
      </c>
      <c r="C5191" s="3">
        <f t="shared" si="570"/>
        <v>46003</v>
      </c>
      <c r="D5191" s="4">
        <f t="shared" ca="1" si="572"/>
        <v>229</v>
      </c>
      <c r="E5191" s="2">
        <f t="shared" ca="1" si="573"/>
        <v>5345</v>
      </c>
      <c r="F5191" s="2">
        <f t="shared" ca="1" si="574"/>
        <v>5797</v>
      </c>
      <c r="G5191" s="2">
        <f t="shared" ca="1" si="575"/>
        <v>241</v>
      </c>
    </row>
    <row r="5192" spans="1:7" x14ac:dyDescent="0.3">
      <c r="A5192" s="5" t="str">
        <f t="shared" si="569"/>
        <v>Adidas</v>
      </c>
      <c r="B5192" s="5" t="str">
        <f t="shared" si="571"/>
        <v>Stan Smith</v>
      </c>
      <c r="C5192" s="3">
        <f t="shared" si="570"/>
        <v>46004</v>
      </c>
      <c r="D5192" s="4">
        <f t="shared" ca="1" si="572"/>
        <v>230</v>
      </c>
      <c r="E5192" s="2">
        <f t="shared" ca="1" si="573"/>
        <v>7403</v>
      </c>
      <c r="F5192" s="2">
        <f t="shared" ca="1" si="574"/>
        <v>24113</v>
      </c>
      <c r="G5192" s="2">
        <f t="shared" ca="1" si="575"/>
        <v>1833</v>
      </c>
    </row>
    <row r="5193" spans="1:7" x14ac:dyDescent="0.3">
      <c r="A5193" s="5" t="str">
        <f t="shared" si="569"/>
        <v>Puma</v>
      </c>
      <c r="B5193" s="5" t="str">
        <f t="shared" si="571"/>
        <v>Cali Dream</v>
      </c>
      <c r="C5193" s="3">
        <f t="shared" si="570"/>
        <v>46004</v>
      </c>
      <c r="D5193" s="4">
        <f t="shared" ca="1" si="572"/>
        <v>49</v>
      </c>
      <c r="E5193" s="2">
        <f t="shared" ca="1" si="573"/>
        <v>7456</v>
      </c>
      <c r="F5193" s="2">
        <f t="shared" ca="1" si="574"/>
        <v>29810</v>
      </c>
      <c r="G5193" s="2">
        <f t="shared" ca="1" si="575"/>
        <v>2213</v>
      </c>
    </row>
    <row r="5194" spans="1:7" x14ac:dyDescent="0.3">
      <c r="A5194" s="5" t="str">
        <f t="shared" si="569"/>
        <v>New Balance</v>
      </c>
      <c r="B5194" s="5" t="str">
        <f t="shared" si="571"/>
        <v>9060</v>
      </c>
      <c r="C5194" s="3">
        <f t="shared" si="570"/>
        <v>46004</v>
      </c>
      <c r="D5194" s="4">
        <f t="shared" ca="1" si="572"/>
        <v>152</v>
      </c>
      <c r="E5194" s="2">
        <f t="shared" ca="1" si="573"/>
        <v>8247</v>
      </c>
      <c r="F5194" s="2">
        <f t="shared" ca="1" si="574"/>
        <v>28492</v>
      </c>
      <c r="G5194" s="2">
        <f t="shared" ca="1" si="575"/>
        <v>2015</v>
      </c>
    </row>
    <row r="5195" spans="1:7" x14ac:dyDescent="0.3">
      <c r="A5195" s="5" t="str">
        <f t="shared" si="569"/>
        <v>Reebok</v>
      </c>
      <c r="B5195" s="5" t="str">
        <f t="shared" si="571"/>
        <v>Zig Kinetica</v>
      </c>
      <c r="C5195" s="3">
        <f t="shared" si="570"/>
        <v>46004</v>
      </c>
      <c r="D5195" s="4">
        <f t="shared" ca="1" si="572"/>
        <v>51</v>
      </c>
      <c r="E5195" s="2">
        <f t="shared" ca="1" si="573"/>
        <v>2663</v>
      </c>
      <c r="F5195" s="2">
        <f t="shared" ca="1" si="574"/>
        <v>32661</v>
      </c>
      <c r="G5195" s="2">
        <f t="shared" ca="1" si="575"/>
        <v>1588</v>
      </c>
    </row>
    <row r="5196" spans="1:7" x14ac:dyDescent="0.3">
      <c r="A5196" s="5" t="str">
        <f t="shared" si="569"/>
        <v>Nike</v>
      </c>
      <c r="B5196" s="5" t="str">
        <f t="shared" si="571"/>
        <v>Jordan 1</v>
      </c>
      <c r="C5196" s="3">
        <f t="shared" si="570"/>
        <v>46004</v>
      </c>
      <c r="D5196" s="4">
        <f t="shared" ca="1" si="572"/>
        <v>159</v>
      </c>
      <c r="E5196" s="2">
        <f t="shared" ca="1" si="573"/>
        <v>6802</v>
      </c>
      <c r="F5196" s="2">
        <f t="shared" ca="1" si="574"/>
        <v>21924</v>
      </c>
      <c r="G5196" s="2">
        <f t="shared" ca="1" si="575"/>
        <v>1049</v>
      </c>
    </row>
    <row r="5197" spans="1:7" x14ac:dyDescent="0.3">
      <c r="A5197" s="5" t="str">
        <f t="shared" si="569"/>
        <v>Adidas</v>
      </c>
      <c r="B5197" s="5" t="str">
        <f t="shared" si="571"/>
        <v>Ultraboost 23</v>
      </c>
      <c r="C5197" s="3">
        <f t="shared" si="570"/>
        <v>46004</v>
      </c>
      <c r="D5197" s="4">
        <f t="shared" ca="1" si="572"/>
        <v>229</v>
      </c>
      <c r="E5197" s="2">
        <f t="shared" ca="1" si="573"/>
        <v>8227</v>
      </c>
      <c r="F5197" s="2">
        <f t="shared" ca="1" si="574"/>
        <v>12612</v>
      </c>
      <c r="G5197" s="2">
        <f t="shared" ca="1" si="575"/>
        <v>506</v>
      </c>
    </row>
    <row r="5198" spans="1:7" x14ac:dyDescent="0.3">
      <c r="A5198" s="5" t="str">
        <f t="shared" si="569"/>
        <v>Puma</v>
      </c>
      <c r="B5198" s="5" t="str">
        <f t="shared" si="571"/>
        <v>RS-X</v>
      </c>
      <c r="C5198" s="3">
        <f t="shared" si="570"/>
        <v>46004</v>
      </c>
      <c r="D5198" s="4">
        <f t="shared" ca="1" si="572"/>
        <v>250</v>
      </c>
      <c r="E5198" s="2">
        <f t="shared" ca="1" si="573"/>
        <v>1592</v>
      </c>
      <c r="F5198" s="2">
        <f t="shared" ca="1" si="574"/>
        <v>22640</v>
      </c>
      <c r="G5198" s="2">
        <f t="shared" ca="1" si="575"/>
        <v>781</v>
      </c>
    </row>
    <row r="5199" spans="1:7" x14ac:dyDescent="0.3">
      <c r="A5199" s="5" t="str">
        <f t="shared" si="569"/>
        <v>New Balance</v>
      </c>
      <c r="B5199" s="5" t="str">
        <f t="shared" si="571"/>
        <v>2002R</v>
      </c>
      <c r="C5199" s="3">
        <f t="shared" si="570"/>
        <v>46004</v>
      </c>
      <c r="D5199" s="4">
        <f t="shared" ca="1" si="572"/>
        <v>71</v>
      </c>
      <c r="E5199" s="2">
        <f t="shared" ca="1" si="573"/>
        <v>10123</v>
      </c>
      <c r="F5199" s="2">
        <f t="shared" ca="1" si="574"/>
        <v>28835</v>
      </c>
      <c r="G5199" s="2">
        <f t="shared" ca="1" si="575"/>
        <v>840</v>
      </c>
    </row>
    <row r="5200" spans="1:7" x14ac:dyDescent="0.3">
      <c r="A5200" s="5" t="str">
        <f t="shared" si="569"/>
        <v>Reebok</v>
      </c>
      <c r="B5200" s="5" t="str">
        <f t="shared" si="571"/>
        <v>Instapump Fury</v>
      </c>
      <c r="C5200" s="3">
        <f t="shared" si="570"/>
        <v>46004</v>
      </c>
      <c r="D5200" s="4">
        <f t="shared" ca="1" si="572"/>
        <v>213</v>
      </c>
      <c r="E5200" s="2">
        <f t="shared" ca="1" si="573"/>
        <v>4470</v>
      </c>
      <c r="F5200" s="2">
        <f t="shared" ca="1" si="574"/>
        <v>33134</v>
      </c>
      <c r="G5200" s="2">
        <f t="shared" ca="1" si="575"/>
        <v>1557</v>
      </c>
    </row>
    <row r="5201" spans="1:7" x14ac:dyDescent="0.3">
      <c r="A5201" s="5" t="str">
        <f t="shared" si="569"/>
        <v>Nike</v>
      </c>
      <c r="B5201" s="5" t="str">
        <f t="shared" si="571"/>
        <v>Cortez</v>
      </c>
      <c r="C5201" s="3">
        <f t="shared" si="570"/>
        <v>46004</v>
      </c>
      <c r="D5201" s="4">
        <f t="shared" ca="1" si="572"/>
        <v>137</v>
      </c>
      <c r="E5201" s="2">
        <f t="shared" ca="1" si="573"/>
        <v>6999</v>
      </c>
      <c r="F5201" s="2">
        <f t="shared" ca="1" si="574"/>
        <v>32079</v>
      </c>
      <c r="G5201" s="2">
        <f t="shared" ca="1" si="575"/>
        <v>2279</v>
      </c>
    </row>
    <row r="5202" spans="1:7" x14ac:dyDescent="0.3">
      <c r="A5202" s="5" t="str">
        <f t="shared" si="569"/>
        <v>Adidas</v>
      </c>
      <c r="B5202" s="5" t="str">
        <f t="shared" si="571"/>
        <v>NMD S1</v>
      </c>
      <c r="C5202" s="3">
        <f t="shared" si="570"/>
        <v>46004</v>
      </c>
      <c r="D5202" s="4">
        <f t="shared" ca="1" si="572"/>
        <v>121</v>
      </c>
      <c r="E5202" s="2">
        <f t="shared" ca="1" si="573"/>
        <v>10829</v>
      </c>
      <c r="F5202" s="2">
        <f t="shared" ca="1" si="574"/>
        <v>17453</v>
      </c>
      <c r="G5202" s="2">
        <f t="shared" ca="1" si="575"/>
        <v>865</v>
      </c>
    </row>
    <row r="5203" spans="1:7" x14ac:dyDescent="0.3">
      <c r="A5203" s="5" t="str">
        <f t="shared" si="569"/>
        <v>Puma</v>
      </c>
      <c r="B5203" s="5" t="str">
        <f t="shared" si="571"/>
        <v>Suede Classic</v>
      </c>
      <c r="C5203" s="3">
        <f t="shared" si="570"/>
        <v>46004</v>
      </c>
      <c r="D5203" s="4">
        <f t="shared" ca="1" si="572"/>
        <v>52</v>
      </c>
      <c r="E5203" s="2">
        <f t="shared" ca="1" si="573"/>
        <v>11999</v>
      </c>
      <c r="F5203" s="2">
        <f t="shared" ca="1" si="574"/>
        <v>17868</v>
      </c>
      <c r="G5203" s="2">
        <f t="shared" ca="1" si="575"/>
        <v>433</v>
      </c>
    </row>
    <row r="5204" spans="1:7" x14ac:dyDescent="0.3">
      <c r="A5204" s="5" t="str">
        <f t="shared" si="569"/>
        <v>New Balance</v>
      </c>
      <c r="B5204" s="5" t="str">
        <f t="shared" si="571"/>
        <v>990v6</v>
      </c>
      <c r="C5204" s="3">
        <f t="shared" si="570"/>
        <v>46004</v>
      </c>
      <c r="D5204" s="4">
        <f t="shared" ca="1" si="572"/>
        <v>231</v>
      </c>
      <c r="E5204" s="2">
        <f t="shared" ca="1" si="573"/>
        <v>5060</v>
      </c>
      <c r="F5204" s="2">
        <f t="shared" ca="1" si="574"/>
        <v>11551</v>
      </c>
      <c r="G5204" s="2">
        <f t="shared" ca="1" si="575"/>
        <v>429</v>
      </c>
    </row>
    <row r="5205" spans="1:7" x14ac:dyDescent="0.3">
      <c r="A5205" s="5" t="str">
        <f t="shared" si="569"/>
        <v>Reebok</v>
      </c>
      <c r="B5205" s="5" t="str">
        <f t="shared" si="571"/>
        <v>Nano X3</v>
      </c>
      <c r="C5205" s="3">
        <f t="shared" si="570"/>
        <v>46004</v>
      </c>
      <c r="D5205" s="4">
        <f t="shared" ca="1" si="572"/>
        <v>228</v>
      </c>
      <c r="E5205" s="2">
        <f t="shared" ca="1" si="573"/>
        <v>2035</v>
      </c>
      <c r="F5205" s="2">
        <f t="shared" ca="1" si="574"/>
        <v>16704</v>
      </c>
      <c r="G5205" s="2">
        <f t="shared" ca="1" si="575"/>
        <v>466</v>
      </c>
    </row>
    <row r="5206" spans="1:7" x14ac:dyDescent="0.3">
      <c r="A5206" s="5" t="str">
        <f t="shared" si="569"/>
        <v>Nike</v>
      </c>
      <c r="B5206" s="5" t="str">
        <f t="shared" si="571"/>
        <v>Vaporfly 3</v>
      </c>
      <c r="C5206" s="3">
        <f t="shared" si="570"/>
        <v>46004</v>
      </c>
      <c r="D5206" s="4">
        <f t="shared" ca="1" si="572"/>
        <v>180</v>
      </c>
      <c r="E5206" s="2">
        <f t="shared" ca="1" si="573"/>
        <v>10973</v>
      </c>
      <c r="F5206" s="2">
        <f t="shared" ca="1" si="574"/>
        <v>31070</v>
      </c>
      <c r="G5206" s="2">
        <f t="shared" ca="1" si="575"/>
        <v>2066</v>
      </c>
    </row>
    <row r="5207" spans="1:7" x14ac:dyDescent="0.3">
      <c r="A5207" s="5" t="str">
        <f t="shared" si="569"/>
        <v>Adidas</v>
      </c>
      <c r="B5207" s="5" t="str">
        <f t="shared" si="571"/>
        <v>Samba</v>
      </c>
      <c r="C5207" s="3">
        <f t="shared" si="570"/>
        <v>46005</v>
      </c>
      <c r="D5207" s="4">
        <f t="shared" ca="1" si="572"/>
        <v>105</v>
      </c>
      <c r="E5207" s="2">
        <f t="shared" ca="1" si="573"/>
        <v>4479</v>
      </c>
      <c r="F5207" s="2">
        <f t="shared" ca="1" si="574"/>
        <v>6395</v>
      </c>
      <c r="G5207" s="2">
        <f t="shared" ca="1" si="575"/>
        <v>512</v>
      </c>
    </row>
    <row r="5208" spans="1:7" x14ac:dyDescent="0.3">
      <c r="A5208" s="5" t="str">
        <f t="shared" si="569"/>
        <v>Puma</v>
      </c>
      <c r="B5208" s="5" t="str">
        <f t="shared" si="571"/>
        <v>Mayze</v>
      </c>
      <c r="C5208" s="3">
        <f t="shared" si="570"/>
        <v>46005</v>
      </c>
      <c r="D5208" s="4">
        <f t="shared" ca="1" si="572"/>
        <v>59</v>
      </c>
      <c r="E5208" s="2">
        <f t="shared" ca="1" si="573"/>
        <v>9124</v>
      </c>
      <c r="F5208" s="2">
        <f t="shared" ca="1" si="574"/>
        <v>23385</v>
      </c>
      <c r="G5208" s="2">
        <f t="shared" ca="1" si="575"/>
        <v>585</v>
      </c>
    </row>
    <row r="5209" spans="1:7" x14ac:dyDescent="0.3">
      <c r="A5209" s="5" t="str">
        <f t="shared" si="569"/>
        <v>New Balance</v>
      </c>
      <c r="B5209" s="5" t="str">
        <f t="shared" si="571"/>
        <v>574 Core</v>
      </c>
      <c r="C5209" s="3">
        <f t="shared" si="570"/>
        <v>46005</v>
      </c>
      <c r="D5209" s="4">
        <f t="shared" ca="1" si="572"/>
        <v>168</v>
      </c>
      <c r="E5209" s="2">
        <f t="shared" ca="1" si="573"/>
        <v>6438</v>
      </c>
      <c r="F5209" s="2">
        <f t="shared" ca="1" si="574"/>
        <v>25963</v>
      </c>
      <c r="G5209" s="2">
        <f t="shared" ca="1" si="575"/>
        <v>1687</v>
      </c>
    </row>
    <row r="5210" spans="1:7" x14ac:dyDescent="0.3">
      <c r="A5210" s="5" t="str">
        <f t="shared" si="569"/>
        <v>Reebok</v>
      </c>
      <c r="B5210" s="5" t="str">
        <f t="shared" si="571"/>
        <v>Club C 85</v>
      </c>
      <c r="C5210" s="3">
        <f t="shared" si="570"/>
        <v>46005</v>
      </c>
      <c r="D5210" s="4">
        <f t="shared" ca="1" si="572"/>
        <v>61</v>
      </c>
      <c r="E5210" s="2">
        <f t="shared" ca="1" si="573"/>
        <v>7280</v>
      </c>
      <c r="F5210" s="2">
        <f t="shared" ca="1" si="574"/>
        <v>10987</v>
      </c>
      <c r="G5210" s="2">
        <f t="shared" ca="1" si="575"/>
        <v>379</v>
      </c>
    </row>
    <row r="5211" spans="1:7" x14ac:dyDescent="0.3">
      <c r="A5211" s="5" t="str">
        <f t="shared" si="569"/>
        <v>Nike</v>
      </c>
      <c r="B5211" s="5" t="str">
        <f t="shared" si="571"/>
        <v>Pegasus 40</v>
      </c>
      <c r="C5211" s="3">
        <f t="shared" si="570"/>
        <v>46005</v>
      </c>
      <c r="D5211" s="4">
        <f t="shared" ca="1" si="572"/>
        <v>55</v>
      </c>
      <c r="E5211" s="2">
        <f t="shared" ca="1" si="573"/>
        <v>3633</v>
      </c>
      <c r="F5211" s="2">
        <f t="shared" ca="1" si="574"/>
        <v>7008</v>
      </c>
      <c r="G5211" s="2">
        <f t="shared" ca="1" si="575"/>
        <v>287</v>
      </c>
    </row>
    <row r="5212" spans="1:7" x14ac:dyDescent="0.3">
      <c r="A5212" s="5" t="str">
        <f t="shared" si="569"/>
        <v>Adidas</v>
      </c>
      <c r="B5212" s="5" t="str">
        <f t="shared" si="571"/>
        <v>Gazelle</v>
      </c>
      <c r="C5212" s="3">
        <f t="shared" si="570"/>
        <v>46005</v>
      </c>
      <c r="D5212" s="4">
        <f t="shared" ca="1" si="572"/>
        <v>22</v>
      </c>
      <c r="E5212" s="2">
        <f t="shared" ca="1" si="573"/>
        <v>2450</v>
      </c>
      <c r="F5212" s="2">
        <f t="shared" ca="1" si="574"/>
        <v>10309</v>
      </c>
      <c r="G5212" s="2">
        <f t="shared" ca="1" si="575"/>
        <v>322</v>
      </c>
    </row>
    <row r="5213" spans="1:7" x14ac:dyDescent="0.3">
      <c r="A5213" s="5" t="str">
        <f t="shared" si="569"/>
        <v>Puma</v>
      </c>
      <c r="B5213" s="5" t="str">
        <f t="shared" si="571"/>
        <v>Slipstream</v>
      </c>
      <c r="C5213" s="3">
        <f t="shared" si="570"/>
        <v>46005</v>
      </c>
      <c r="D5213" s="4">
        <f t="shared" ca="1" si="572"/>
        <v>23</v>
      </c>
      <c r="E5213" s="2">
        <f t="shared" ca="1" si="573"/>
        <v>2690</v>
      </c>
      <c r="F5213" s="2">
        <f t="shared" ca="1" si="574"/>
        <v>19448</v>
      </c>
      <c r="G5213" s="2">
        <f t="shared" ca="1" si="575"/>
        <v>1358</v>
      </c>
    </row>
    <row r="5214" spans="1:7" x14ac:dyDescent="0.3">
      <c r="A5214" s="5" t="str">
        <f t="shared" si="569"/>
        <v>New Balance</v>
      </c>
      <c r="B5214" s="5" t="str">
        <f t="shared" si="571"/>
        <v>550</v>
      </c>
      <c r="C5214" s="3">
        <f t="shared" si="570"/>
        <v>46005</v>
      </c>
      <c r="D5214" s="4">
        <f t="shared" ca="1" si="572"/>
        <v>166</v>
      </c>
      <c r="E5214" s="2">
        <f t="shared" ca="1" si="573"/>
        <v>10960</v>
      </c>
      <c r="F5214" s="2">
        <f t="shared" ca="1" si="574"/>
        <v>21860</v>
      </c>
      <c r="G5214" s="2">
        <f t="shared" ca="1" si="575"/>
        <v>1726</v>
      </c>
    </row>
    <row r="5215" spans="1:7" x14ac:dyDescent="0.3">
      <c r="A5215" s="5" t="str">
        <f t="shared" si="569"/>
        <v>Reebok</v>
      </c>
      <c r="B5215" s="5" t="str">
        <f t="shared" si="571"/>
        <v>Classic Leather</v>
      </c>
      <c r="C5215" s="3">
        <f t="shared" si="570"/>
        <v>46005</v>
      </c>
      <c r="D5215" s="4">
        <f t="shared" ca="1" si="572"/>
        <v>178</v>
      </c>
      <c r="E5215" s="2">
        <f t="shared" ca="1" si="573"/>
        <v>4604</v>
      </c>
      <c r="F5215" s="2">
        <f t="shared" ca="1" si="574"/>
        <v>30647</v>
      </c>
      <c r="G5215" s="2">
        <f t="shared" ca="1" si="575"/>
        <v>1727</v>
      </c>
    </row>
    <row r="5216" spans="1:7" x14ac:dyDescent="0.3">
      <c r="A5216" s="5" t="str">
        <f t="shared" si="569"/>
        <v>Nike</v>
      </c>
      <c r="B5216" s="5" t="str">
        <f t="shared" si="571"/>
        <v>Air Force 1</v>
      </c>
      <c r="C5216" s="3">
        <f t="shared" si="570"/>
        <v>46005</v>
      </c>
      <c r="D5216" s="4">
        <f t="shared" ca="1" si="572"/>
        <v>155</v>
      </c>
      <c r="E5216" s="2">
        <f t="shared" ca="1" si="573"/>
        <v>10813</v>
      </c>
      <c r="F5216" s="2">
        <f t="shared" ca="1" si="574"/>
        <v>29850</v>
      </c>
      <c r="G5216" s="2">
        <f t="shared" ca="1" si="575"/>
        <v>2066</v>
      </c>
    </row>
    <row r="5217" spans="1:7" x14ac:dyDescent="0.3">
      <c r="A5217" s="5" t="str">
        <f t="shared" si="569"/>
        <v>Adidas</v>
      </c>
      <c r="B5217" s="5" t="str">
        <f t="shared" si="571"/>
        <v>Superstar</v>
      </c>
      <c r="C5217" s="3">
        <f t="shared" si="570"/>
        <v>46005</v>
      </c>
      <c r="D5217" s="4">
        <f t="shared" ca="1" si="572"/>
        <v>211</v>
      </c>
      <c r="E5217" s="2">
        <f t="shared" ca="1" si="573"/>
        <v>9554</v>
      </c>
      <c r="F5217" s="2">
        <f t="shared" ca="1" si="574"/>
        <v>20151</v>
      </c>
      <c r="G5217" s="2">
        <f t="shared" ca="1" si="575"/>
        <v>503</v>
      </c>
    </row>
    <row r="5218" spans="1:7" x14ac:dyDescent="0.3">
      <c r="A5218" s="5" t="str">
        <f t="shared" si="569"/>
        <v>Puma</v>
      </c>
      <c r="B5218" s="5" t="str">
        <f t="shared" si="571"/>
        <v>Rider Vintage</v>
      </c>
      <c r="C5218" s="3">
        <f t="shared" si="570"/>
        <v>46005</v>
      </c>
      <c r="D5218" s="4">
        <f t="shared" ca="1" si="572"/>
        <v>38</v>
      </c>
      <c r="E5218" s="2">
        <f t="shared" ca="1" si="573"/>
        <v>10101</v>
      </c>
      <c r="F5218" s="2">
        <f t="shared" ca="1" si="574"/>
        <v>30156</v>
      </c>
      <c r="G5218" s="2">
        <f t="shared" ca="1" si="575"/>
        <v>1238</v>
      </c>
    </row>
    <row r="5219" spans="1:7" x14ac:dyDescent="0.3">
      <c r="A5219" s="5" t="str">
        <f t="shared" si="569"/>
        <v>New Balance</v>
      </c>
      <c r="B5219" s="5" t="str">
        <f t="shared" si="571"/>
        <v>327</v>
      </c>
      <c r="C5219" s="3">
        <f t="shared" si="570"/>
        <v>46005</v>
      </c>
      <c r="D5219" s="4">
        <f t="shared" ca="1" si="572"/>
        <v>78</v>
      </c>
      <c r="E5219" s="2">
        <f t="shared" ca="1" si="573"/>
        <v>8772</v>
      </c>
      <c r="F5219" s="2">
        <f t="shared" ca="1" si="574"/>
        <v>11229</v>
      </c>
      <c r="G5219" s="2">
        <f t="shared" ca="1" si="575"/>
        <v>879</v>
      </c>
    </row>
    <row r="5220" spans="1:7" x14ac:dyDescent="0.3">
      <c r="A5220" s="5" t="str">
        <f t="shared" si="569"/>
        <v>Reebok</v>
      </c>
      <c r="B5220" s="5" t="str">
        <f t="shared" si="571"/>
        <v>Question Mid</v>
      </c>
      <c r="C5220" s="3">
        <f t="shared" si="570"/>
        <v>46005</v>
      </c>
      <c r="D5220" s="4">
        <f t="shared" ca="1" si="572"/>
        <v>116</v>
      </c>
      <c r="E5220" s="2">
        <f t="shared" ca="1" si="573"/>
        <v>4638</v>
      </c>
      <c r="F5220" s="2">
        <f t="shared" ca="1" si="574"/>
        <v>27644</v>
      </c>
      <c r="G5220" s="2">
        <f t="shared" ca="1" si="575"/>
        <v>2058</v>
      </c>
    </row>
    <row r="5221" spans="1:7" x14ac:dyDescent="0.3">
      <c r="A5221" s="5" t="str">
        <f t="shared" si="569"/>
        <v>Nike</v>
      </c>
      <c r="B5221" s="5" t="str">
        <f t="shared" si="571"/>
        <v>Air Max 270</v>
      </c>
      <c r="C5221" s="3">
        <f t="shared" si="570"/>
        <v>46005</v>
      </c>
      <c r="D5221" s="4">
        <f t="shared" ca="1" si="572"/>
        <v>144</v>
      </c>
      <c r="E5221" s="2">
        <f t="shared" ca="1" si="573"/>
        <v>10929</v>
      </c>
      <c r="F5221" s="2">
        <f t="shared" ca="1" si="574"/>
        <v>31907</v>
      </c>
      <c r="G5221" s="2">
        <f t="shared" ca="1" si="575"/>
        <v>2484</v>
      </c>
    </row>
    <row r="5222" spans="1:7" x14ac:dyDescent="0.3">
      <c r="A5222" s="5" t="str">
        <f t="shared" si="569"/>
        <v>Adidas</v>
      </c>
      <c r="B5222" s="5" t="str">
        <f t="shared" si="571"/>
        <v>Stan Smith</v>
      </c>
      <c r="C5222" s="3">
        <f t="shared" si="570"/>
        <v>46006</v>
      </c>
      <c r="D5222" s="4">
        <f t="shared" ca="1" si="572"/>
        <v>118</v>
      </c>
      <c r="E5222" s="2">
        <f t="shared" ca="1" si="573"/>
        <v>2714</v>
      </c>
      <c r="F5222" s="2">
        <f t="shared" ca="1" si="574"/>
        <v>15217</v>
      </c>
      <c r="G5222" s="2">
        <f t="shared" ca="1" si="575"/>
        <v>1182</v>
      </c>
    </row>
    <row r="5223" spans="1:7" x14ac:dyDescent="0.3">
      <c r="A5223" s="5" t="str">
        <f t="shared" si="569"/>
        <v>Puma</v>
      </c>
      <c r="B5223" s="5" t="str">
        <f t="shared" si="571"/>
        <v>Cali Dream</v>
      </c>
      <c r="C5223" s="3">
        <f t="shared" si="570"/>
        <v>46006</v>
      </c>
      <c r="D5223" s="4">
        <f t="shared" ca="1" si="572"/>
        <v>234</v>
      </c>
      <c r="E5223" s="2">
        <f t="shared" ca="1" si="573"/>
        <v>7197</v>
      </c>
      <c r="F5223" s="2">
        <f t="shared" ca="1" si="574"/>
        <v>29834</v>
      </c>
      <c r="G5223" s="2">
        <f t="shared" ca="1" si="575"/>
        <v>1354</v>
      </c>
    </row>
    <row r="5224" spans="1:7" x14ac:dyDescent="0.3">
      <c r="A5224" s="5" t="str">
        <f t="shared" si="569"/>
        <v>New Balance</v>
      </c>
      <c r="B5224" s="5" t="str">
        <f t="shared" si="571"/>
        <v>9060</v>
      </c>
      <c r="C5224" s="3">
        <f t="shared" si="570"/>
        <v>46006</v>
      </c>
      <c r="D5224" s="4">
        <f t="shared" ca="1" si="572"/>
        <v>152</v>
      </c>
      <c r="E5224" s="2">
        <f t="shared" ca="1" si="573"/>
        <v>7168</v>
      </c>
      <c r="F5224" s="2">
        <f t="shared" ca="1" si="574"/>
        <v>27376</v>
      </c>
      <c r="G5224" s="2">
        <f t="shared" ca="1" si="575"/>
        <v>712</v>
      </c>
    </row>
    <row r="5225" spans="1:7" x14ac:dyDescent="0.3">
      <c r="A5225" s="5" t="str">
        <f t="shared" si="569"/>
        <v>Reebok</v>
      </c>
      <c r="B5225" s="5" t="str">
        <f t="shared" si="571"/>
        <v>Zig Kinetica</v>
      </c>
      <c r="C5225" s="3">
        <f t="shared" si="570"/>
        <v>46006</v>
      </c>
      <c r="D5225" s="4">
        <f t="shared" ca="1" si="572"/>
        <v>83</v>
      </c>
      <c r="E5225" s="2">
        <f t="shared" ca="1" si="573"/>
        <v>10786</v>
      </c>
      <c r="F5225" s="2">
        <f t="shared" ca="1" si="574"/>
        <v>24218</v>
      </c>
      <c r="G5225" s="2">
        <f t="shared" ca="1" si="575"/>
        <v>1339</v>
      </c>
    </row>
    <row r="5226" spans="1:7" x14ac:dyDescent="0.3">
      <c r="A5226" s="5" t="str">
        <f t="shared" si="569"/>
        <v>Nike</v>
      </c>
      <c r="B5226" s="5" t="str">
        <f t="shared" si="571"/>
        <v>Jordan 1</v>
      </c>
      <c r="C5226" s="3">
        <f t="shared" si="570"/>
        <v>46006</v>
      </c>
      <c r="D5226" s="4">
        <f t="shared" ca="1" si="572"/>
        <v>33</v>
      </c>
      <c r="E5226" s="2">
        <f t="shared" ca="1" si="573"/>
        <v>1894</v>
      </c>
      <c r="F5226" s="2">
        <f t="shared" ca="1" si="574"/>
        <v>9348</v>
      </c>
      <c r="G5226" s="2">
        <f t="shared" ca="1" si="575"/>
        <v>416</v>
      </c>
    </row>
    <row r="5227" spans="1:7" x14ac:dyDescent="0.3">
      <c r="A5227" s="5" t="str">
        <f t="shared" ref="A5227:A5290" si="576">CHOOSE(MOD(ROW(A5226),5)+1,"Nike","Adidas","Puma","New Balance","Reebok")</f>
        <v>Adidas</v>
      </c>
      <c r="B5227" s="5" t="str">
        <f t="shared" si="571"/>
        <v>Ultraboost 23</v>
      </c>
      <c r="C5227" s="3">
        <f t="shared" ref="C5227:C5290" si="577">DATE(2025,1,1)+INT((ROW(A5227)-2)/15)</f>
        <v>46006</v>
      </c>
      <c r="D5227" s="4">
        <f t="shared" ca="1" si="572"/>
        <v>45</v>
      </c>
      <c r="E5227" s="2">
        <f t="shared" ca="1" si="573"/>
        <v>2364</v>
      </c>
      <c r="F5227" s="2">
        <f t="shared" ca="1" si="574"/>
        <v>11881</v>
      </c>
      <c r="G5227" s="2">
        <f t="shared" ca="1" si="575"/>
        <v>926</v>
      </c>
    </row>
    <row r="5228" spans="1:7" x14ac:dyDescent="0.3">
      <c r="A5228" s="5" t="str">
        <f t="shared" si="576"/>
        <v>Puma</v>
      </c>
      <c r="B5228" s="5" t="str">
        <f t="shared" si="571"/>
        <v>RS-X</v>
      </c>
      <c r="C5228" s="3">
        <f t="shared" si="577"/>
        <v>46006</v>
      </c>
      <c r="D5228" s="4">
        <f t="shared" ca="1" si="572"/>
        <v>189</v>
      </c>
      <c r="E5228" s="2">
        <f t="shared" ca="1" si="573"/>
        <v>8497</v>
      </c>
      <c r="F5228" s="2">
        <f t="shared" ca="1" si="574"/>
        <v>17590</v>
      </c>
      <c r="G5228" s="2">
        <f t="shared" ca="1" si="575"/>
        <v>502</v>
      </c>
    </row>
    <row r="5229" spans="1:7" x14ac:dyDescent="0.3">
      <c r="A5229" s="5" t="str">
        <f t="shared" si="576"/>
        <v>New Balance</v>
      </c>
      <c r="B5229" s="5" t="str">
        <f t="shared" si="571"/>
        <v>2002R</v>
      </c>
      <c r="C5229" s="3">
        <f t="shared" si="577"/>
        <v>46006</v>
      </c>
      <c r="D5229" s="4">
        <f t="shared" ca="1" si="572"/>
        <v>47</v>
      </c>
      <c r="E5229" s="2">
        <f t="shared" ca="1" si="573"/>
        <v>10225</v>
      </c>
      <c r="F5229" s="2">
        <f t="shared" ca="1" si="574"/>
        <v>27983</v>
      </c>
      <c r="G5229" s="2">
        <f t="shared" ca="1" si="575"/>
        <v>1236</v>
      </c>
    </row>
    <row r="5230" spans="1:7" x14ac:dyDescent="0.3">
      <c r="A5230" s="5" t="str">
        <f t="shared" si="576"/>
        <v>Reebok</v>
      </c>
      <c r="B5230" s="5" t="str">
        <f t="shared" si="571"/>
        <v>Instapump Fury</v>
      </c>
      <c r="C5230" s="3">
        <f t="shared" si="577"/>
        <v>46006</v>
      </c>
      <c r="D5230" s="4">
        <f t="shared" ca="1" si="572"/>
        <v>47</v>
      </c>
      <c r="E5230" s="2">
        <f t="shared" ca="1" si="573"/>
        <v>11867</v>
      </c>
      <c r="F5230" s="2">
        <f t="shared" ca="1" si="574"/>
        <v>30423</v>
      </c>
      <c r="G5230" s="2">
        <f t="shared" ca="1" si="575"/>
        <v>831</v>
      </c>
    </row>
    <row r="5231" spans="1:7" x14ac:dyDescent="0.3">
      <c r="A5231" s="5" t="str">
        <f t="shared" si="576"/>
        <v>Nike</v>
      </c>
      <c r="B5231" s="5" t="str">
        <f t="shared" si="571"/>
        <v>Cortez</v>
      </c>
      <c r="C5231" s="3">
        <f t="shared" si="577"/>
        <v>46006</v>
      </c>
      <c r="D5231" s="4">
        <f t="shared" ca="1" si="572"/>
        <v>184</v>
      </c>
      <c r="E5231" s="2">
        <f t="shared" ca="1" si="573"/>
        <v>1926</v>
      </c>
      <c r="F5231" s="2">
        <f t="shared" ca="1" si="574"/>
        <v>26918</v>
      </c>
      <c r="G5231" s="2">
        <f t="shared" ca="1" si="575"/>
        <v>553</v>
      </c>
    </row>
    <row r="5232" spans="1:7" x14ac:dyDescent="0.3">
      <c r="A5232" s="5" t="str">
        <f t="shared" si="576"/>
        <v>Adidas</v>
      </c>
      <c r="B5232" s="5" t="str">
        <f t="shared" si="571"/>
        <v>NMD S1</v>
      </c>
      <c r="C5232" s="3">
        <f t="shared" si="577"/>
        <v>46006</v>
      </c>
      <c r="D5232" s="4">
        <f t="shared" ca="1" si="572"/>
        <v>56</v>
      </c>
      <c r="E5232" s="2">
        <f t="shared" ca="1" si="573"/>
        <v>5842</v>
      </c>
      <c r="F5232" s="2">
        <f t="shared" ca="1" si="574"/>
        <v>19003</v>
      </c>
      <c r="G5232" s="2">
        <f t="shared" ca="1" si="575"/>
        <v>1333</v>
      </c>
    </row>
    <row r="5233" spans="1:7" x14ac:dyDescent="0.3">
      <c r="A5233" s="5" t="str">
        <f t="shared" si="576"/>
        <v>Puma</v>
      </c>
      <c r="B5233" s="5" t="str">
        <f t="shared" si="571"/>
        <v>Suede Classic</v>
      </c>
      <c r="C5233" s="3">
        <f t="shared" si="577"/>
        <v>46006</v>
      </c>
      <c r="D5233" s="4">
        <f t="shared" ca="1" si="572"/>
        <v>146</v>
      </c>
      <c r="E5233" s="2">
        <f t="shared" ca="1" si="573"/>
        <v>10849</v>
      </c>
      <c r="F5233" s="2">
        <f t="shared" ca="1" si="574"/>
        <v>27554</v>
      </c>
      <c r="G5233" s="2">
        <f t="shared" ca="1" si="575"/>
        <v>2046</v>
      </c>
    </row>
    <row r="5234" spans="1:7" x14ac:dyDescent="0.3">
      <c r="A5234" s="5" t="str">
        <f t="shared" si="576"/>
        <v>New Balance</v>
      </c>
      <c r="B5234" s="5" t="str">
        <f t="shared" si="571"/>
        <v>990v6</v>
      </c>
      <c r="C5234" s="3">
        <f t="shared" si="577"/>
        <v>46006</v>
      </c>
      <c r="D5234" s="4">
        <f t="shared" ca="1" si="572"/>
        <v>57</v>
      </c>
      <c r="E5234" s="2">
        <f t="shared" ca="1" si="573"/>
        <v>9781</v>
      </c>
      <c r="F5234" s="2">
        <f t="shared" ca="1" si="574"/>
        <v>7790</v>
      </c>
      <c r="G5234" s="2">
        <f t="shared" ca="1" si="575"/>
        <v>327</v>
      </c>
    </row>
    <row r="5235" spans="1:7" x14ac:dyDescent="0.3">
      <c r="A5235" s="5" t="str">
        <f t="shared" si="576"/>
        <v>Reebok</v>
      </c>
      <c r="B5235" s="5" t="str">
        <f t="shared" si="571"/>
        <v>Nano X3</v>
      </c>
      <c r="C5235" s="3">
        <f t="shared" si="577"/>
        <v>46006</v>
      </c>
      <c r="D5235" s="4">
        <f t="shared" ca="1" si="572"/>
        <v>226</v>
      </c>
      <c r="E5235" s="2">
        <f t="shared" ca="1" si="573"/>
        <v>11978</v>
      </c>
      <c r="F5235" s="2">
        <f t="shared" ca="1" si="574"/>
        <v>17869</v>
      </c>
      <c r="G5235" s="2">
        <f t="shared" ca="1" si="575"/>
        <v>1012</v>
      </c>
    </row>
    <row r="5236" spans="1:7" x14ac:dyDescent="0.3">
      <c r="A5236" s="5" t="str">
        <f t="shared" si="576"/>
        <v>Nike</v>
      </c>
      <c r="B5236" s="5" t="str">
        <f t="shared" si="571"/>
        <v>Vaporfly 3</v>
      </c>
      <c r="C5236" s="3">
        <f t="shared" si="577"/>
        <v>46006</v>
      </c>
      <c r="D5236" s="4">
        <f t="shared" ca="1" si="572"/>
        <v>42</v>
      </c>
      <c r="E5236" s="2">
        <f t="shared" ca="1" si="573"/>
        <v>10596</v>
      </c>
      <c r="F5236" s="2">
        <f t="shared" ca="1" si="574"/>
        <v>29699</v>
      </c>
      <c r="G5236" s="2">
        <f t="shared" ca="1" si="575"/>
        <v>1114</v>
      </c>
    </row>
    <row r="5237" spans="1:7" x14ac:dyDescent="0.3">
      <c r="A5237" s="5" t="str">
        <f t="shared" si="576"/>
        <v>Adidas</v>
      </c>
      <c r="B5237" s="5" t="str">
        <f t="shared" si="571"/>
        <v>Samba</v>
      </c>
      <c r="C5237" s="3">
        <f t="shared" si="577"/>
        <v>46007</v>
      </c>
      <c r="D5237" s="4">
        <f t="shared" ca="1" si="572"/>
        <v>224</v>
      </c>
      <c r="E5237" s="2">
        <f t="shared" ca="1" si="573"/>
        <v>11096</v>
      </c>
      <c r="F5237" s="2">
        <f t="shared" ca="1" si="574"/>
        <v>21981</v>
      </c>
      <c r="G5237" s="2">
        <f t="shared" ca="1" si="575"/>
        <v>1423</v>
      </c>
    </row>
    <row r="5238" spans="1:7" x14ac:dyDescent="0.3">
      <c r="A5238" s="5" t="str">
        <f t="shared" si="576"/>
        <v>Puma</v>
      </c>
      <c r="B5238" s="5" t="str">
        <f t="shared" si="571"/>
        <v>Mayze</v>
      </c>
      <c r="C5238" s="3">
        <f t="shared" si="577"/>
        <v>46007</v>
      </c>
      <c r="D5238" s="4">
        <f t="shared" ca="1" si="572"/>
        <v>210</v>
      </c>
      <c r="E5238" s="2">
        <f t="shared" ca="1" si="573"/>
        <v>8969</v>
      </c>
      <c r="F5238" s="2">
        <f t="shared" ca="1" si="574"/>
        <v>28491</v>
      </c>
      <c r="G5238" s="2">
        <f t="shared" ca="1" si="575"/>
        <v>1999</v>
      </c>
    </row>
    <row r="5239" spans="1:7" x14ac:dyDescent="0.3">
      <c r="A5239" s="5" t="str">
        <f t="shared" si="576"/>
        <v>New Balance</v>
      </c>
      <c r="B5239" s="5" t="str">
        <f t="shared" si="571"/>
        <v>574 Core</v>
      </c>
      <c r="C5239" s="3">
        <f t="shared" si="577"/>
        <v>46007</v>
      </c>
      <c r="D5239" s="4">
        <f t="shared" ca="1" si="572"/>
        <v>176</v>
      </c>
      <c r="E5239" s="2">
        <f t="shared" ca="1" si="573"/>
        <v>2636</v>
      </c>
      <c r="F5239" s="2">
        <f t="shared" ca="1" si="574"/>
        <v>19523</v>
      </c>
      <c r="G5239" s="2">
        <f t="shared" ca="1" si="575"/>
        <v>627</v>
      </c>
    </row>
    <row r="5240" spans="1:7" x14ac:dyDescent="0.3">
      <c r="A5240" s="5" t="str">
        <f t="shared" si="576"/>
        <v>Reebok</v>
      </c>
      <c r="B5240" s="5" t="str">
        <f t="shared" si="571"/>
        <v>Club C 85</v>
      </c>
      <c r="C5240" s="3">
        <f t="shared" si="577"/>
        <v>46007</v>
      </c>
      <c r="D5240" s="4">
        <f t="shared" ca="1" si="572"/>
        <v>196</v>
      </c>
      <c r="E5240" s="2">
        <f t="shared" ca="1" si="573"/>
        <v>11558</v>
      </c>
      <c r="F5240" s="2">
        <f t="shared" ca="1" si="574"/>
        <v>32636</v>
      </c>
      <c r="G5240" s="2">
        <f t="shared" ca="1" si="575"/>
        <v>1918</v>
      </c>
    </row>
    <row r="5241" spans="1:7" x14ac:dyDescent="0.3">
      <c r="A5241" s="5" t="str">
        <f t="shared" si="576"/>
        <v>Nike</v>
      </c>
      <c r="B5241" s="5" t="str">
        <f t="shared" si="571"/>
        <v>Pegasus 40</v>
      </c>
      <c r="C5241" s="3">
        <f t="shared" si="577"/>
        <v>46007</v>
      </c>
      <c r="D5241" s="4">
        <f t="shared" ca="1" si="572"/>
        <v>88</v>
      </c>
      <c r="E5241" s="2">
        <f t="shared" ca="1" si="573"/>
        <v>8645</v>
      </c>
      <c r="F5241" s="2">
        <f t="shared" ca="1" si="574"/>
        <v>23930</v>
      </c>
      <c r="G5241" s="2">
        <f t="shared" ca="1" si="575"/>
        <v>1904</v>
      </c>
    </row>
    <row r="5242" spans="1:7" x14ac:dyDescent="0.3">
      <c r="A5242" s="5" t="str">
        <f t="shared" si="576"/>
        <v>Adidas</v>
      </c>
      <c r="B5242" s="5" t="str">
        <f t="shared" si="571"/>
        <v>Gazelle</v>
      </c>
      <c r="C5242" s="3">
        <f t="shared" si="577"/>
        <v>46007</v>
      </c>
      <c r="D5242" s="4">
        <f t="shared" ca="1" si="572"/>
        <v>74</v>
      </c>
      <c r="E5242" s="2">
        <f t="shared" ca="1" si="573"/>
        <v>3326</v>
      </c>
      <c r="F5242" s="2">
        <f t="shared" ca="1" si="574"/>
        <v>8181</v>
      </c>
      <c r="G5242" s="2">
        <f t="shared" ca="1" si="575"/>
        <v>266</v>
      </c>
    </row>
    <row r="5243" spans="1:7" x14ac:dyDescent="0.3">
      <c r="A5243" s="5" t="str">
        <f t="shared" si="576"/>
        <v>Puma</v>
      </c>
      <c r="B5243" s="5" t="str">
        <f t="shared" si="571"/>
        <v>Slipstream</v>
      </c>
      <c r="C5243" s="3">
        <f t="shared" si="577"/>
        <v>46007</v>
      </c>
      <c r="D5243" s="4">
        <f t="shared" ca="1" si="572"/>
        <v>86</v>
      </c>
      <c r="E5243" s="2">
        <f t="shared" ca="1" si="573"/>
        <v>8563</v>
      </c>
      <c r="F5243" s="2">
        <f t="shared" ca="1" si="574"/>
        <v>28506</v>
      </c>
      <c r="G5243" s="2">
        <f t="shared" ca="1" si="575"/>
        <v>1162</v>
      </c>
    </row>
    <row r="5244" spans="1:7" x14ac:dyDescent="0.3">
      <c r="A5244" s="5" t="str">
        <f t="shared" si="576"/>
        <v>New Balance</v>
      </c>
      <c r="B5244" s="5" t="str">
        <f t="shared" si="571"/>
        <v>550</v>
      </c>
      <c r="C5244" s="3">
        <f t="shared" si="577"/>
        <v>46007</v>
      </c>
      <c r="D5244" s="4">
        <f t="shared" ca="1" si="572"/>
        <v>44</v>
      </c>
      <c r="E5244" s="2">
        <f t="shared" ca="1" si="573"/>
        <v>2384</v>
      </c>
      <c r="F5244" s="2">
        <f t="shared" ca="1" si="574"/>
        <v>20963</v>
      </c>
      <c r="G5244" s="2">
        <f t="shared" ca="1" si="575"/>
        <v>1299</v>
      </c>
    </row>
    <row r="5245" spans="1:7" x14ac:dyDescent="0.3">
      <c r="A5245" s="5" t="str">
        <f t="shared" si="576"/>
        <v>Reebok</v>
      </c>
      <c r="B5245" s="5" t="str">
        <f t="shared" si="571"/>
        <v>Classic Leather</v>
      </c>
      <c r="C5245" s="3">
        <f t="shared" si="577"/>
        <v>46007</v>
      </c>
      <c r="D5245" s="4">
        <f t="shared" ca="1" si="572"/>
        <v>243</v>
      </c>
      <c r="E5245" s="2">
        <f t="shared" ca="1" si="573"/>
        <v>4749</v>
      </c>
      <c r="F5245" s="2">
        <f t="shared" ca="1" si="574"/>
        <v>34460</v>
      </c>
      <c r="G5245" s="2">
        <f t="shared" ca="1" si="575"/>
        <v>1985</v>
      </c>
    </row>
    <row r="5246" spans="1:7" x14ac:dyDescent="0.3">
      <c r="A5246" s="5" t="str">
        <f t="shared" si="576"/>
        <v>Nike</v>
      </c>
      <c r="B5246" s="5" t="str">
        <f t="shared" si="571"/>
        <v>Air Force 1</v>
      </c>
      <c r="C5246" s="3">
        <f t="shared" si="577"/>
        <v>46007</v>
      </c>
      <c r="D5246" s="4">
        <f t="shared" ca="1" si="572"/>
        <v>147</v>
      </c>
      <c r="E5246" s="2">
        <f t="shared" ca="1" si="573"/>
        <v>8533</v>
      </c>
      <c r="F5246" s="2">
        <f t="shared" ca="1" si="574"/>
        <v>10349</v>
      </c>
      <c r="G5246" s="2">
        <f t="shared" ca="1" si="575"/>
        <v>536</v>
      </c>
    </row>
    <row r="5247" spans="1:7" x14ac:dyDescent="0.3">
      <c r="A5247" s="5" t="str">
        <f t="shared" si="576"/>
        <v>Adidas</v>
      </c>
      <c r="B5247" s="5" t="str">
        <f t="shared" si="571"/>
        <v>Superstar</v>
      </c>
      <c r="C5247" s="3">
        <f t="shared" si="577"/>
        <v>46007</v>
      </c>
      <c r="D5247" s="4">
        <f t="shared" ca="1" si="572"/>
        <v>91</v>
      </c>
      <c r="E5247" s="2">
        <f t="shared" ca="1" si="573"/>
        <v>3767</v>
      </c>
      <c r="F5247" s="2">
        <f t="shared" ca="1" si="574"/>
        <v>6887</v>
      </c>
      <c r="G5247" s="2">
        <f t="shared" ca="1" si="575"/>
        <v>300</v>
      </c>
    </row>
    <row r="5248" spans="1:7" x14ac:dyDescent="0.3">
      <c r="A5248" s="5" t="str">
        <f t="shared" si="576"/>
        <v>Puma</v>
      </c>
      <c r="B5248" s="5" t="str">
        <f t="shared" si="571"/>
        <v>Rider Vintage</v>
      </c>
      <c r="C5248" s="3">
        <f t="shared" si="577"/>
        <v>46007</v>
      </c>
      <c r="D5248" s="4">
        <f t="shared" ca="1" si="572"/>
        <v>138</v>
      </c>
      <c r="E5248" s="2">
        <f t="shared" ca="1" si="573"/>
        <v>10548</v>
      </c>
      <c r="F5248" s="2">
        <f t="shared" ca="1" si="574"/>
        <v>14568</v>
      </c>
      <c r="G5248" s="2">
        <f t="shared" ca="1" si="575"/>
        <v>1149</v>
      </c>
    </row>
    <row r="5249" spans="1:7" x14ac:dyDescent="0.3">
      <c r="A5249" s="5" t="str">
        <f t="shared" si="576"/>
        <v>New Balance</v>
      </c>
      <c r="B5249" s="5" t="str">
        <f t="shared" si="571"/>
        <v>327</v>
      </c>
      <c r="C5249" s="3">
        <f t="shared" si="577"/>
        <v>46007</v>
      </c>
      <c r="D5249" s="4">
        <f t="shared" ca="1" si="572"/>
        <v>131</v>
      </c>
      <c r="E5249" s="2">
        <f t="shared" ca="1" si="573"/>
        <v>2741</v>
      </c>
      <c r="F5249" s="2">
        <f t="shared" ca="1" si="574"/>
        <v>5544</v>
      </c>
      <c r="G5249" s="2">
        <f t="shared" ca="1" si="575"/>
        <v>172</v>
      </c>
    </row>
    <row r="5250" spans="1:7" x14ac:dyDescent="0.3">
      <c r="A5250" s="5" t="str">
        <f t="shared" si="576"/>
        <v>Reebok</v>
      </c>
      <c r="B5250" s="5" t="str">
        <f t="shared" si="571"/>
        <v>Question Mid</v>
      </c>
      <c r="C5250" s="3">
        <f t="shared" si="577"/>
        <v>46007</v>
      </c>
      <c r="D5250" s="4">
        <f t="shared" ca="1" si="572"/>
        <v>194</v>
      </c>
      <c r="E5250" s="2">
        <f t="shared" ca="1" si="573"/>
        <v>8950</v>
      </c>
      <c r="F5250" s="2">
        <f t="shared" ca="1" si="574"/>
        <v>15104</v>
      </c>
      <c r="G5250" s="2">
        <f t="shared" ca="1" si="575"/>
        <v>878</v>
      </c>
    </row>
    <row r="5251" spans="1:7" x14ac:dyDescent="0.3">
      <c r="A5251" s="5" t="str">
        <f t="shared" si="576"/>
        <v>Nike</v>
      </c>
      <c r="B5251" s="5" t="str">
        <f t="shared" ref="B5251:B5314" si="578">IF(A5251="Nike",CHOOSE(MOD(ROW(A5250),6)+1,"Air Max 270","Air Force 1","Pegasus 40","Vaporfly 3","Cortez","Jordan 1"),
 IF(A5251="Adidas",CHOOSE(MOD(ROW(A5250),6)+1,"Ultraboost 23","Stan Smith","Superstar","Gazelle","Samba","NMD S1"),
 IF(A5251="Puma",CHOOSE(MOD(ROW(A5250),6)+1,"Suede Classic","RS-X","Cali Dream","Rider Vintage","Slipstream","Mayze"),
 IF(A5251="New Balance",CHOOSE(MOD(ROW(A5250),6)+1,"574 Core","990v6","2002R","9060","327","550"),
 IF(A5251="Reebok",CHOOSE(MOD(ROW(A5250),6)+1,"Classic Leather","Club C 85","Nano X3","Instapump Fury","Zig Kinetica","Question Mid"),"")))))</f>
        <v>Air Max 270</v>
      </c>
      <c r="C5251" s="3">
        <f t="shared" si="577"/>
        <v>46007</v>
      </c>
      <c r="D5251" s="4">
        <f t="shared" ref="D5251:D5314" ca="1" si="579">RANDBETWEEN(20,250)</f>
        <v>135</v>
      </c>
      <c r="E5251" s="2">
        <f t="shared" ref="E5251:E5314" ca="1" si="580">ROUND(RANDBETWEEN(1500,12000)+(RANDBETWEEN(-200,200)),2)</f>
        <v>3104</v>
      </c>
      <c r="F5251" s="2">
        <f t="shared" ref="F5251:F5314" ca="1" si="581">RANDBETWEEN(5000,35000)</f>
        <v>32004</v>
      </c>
      <c r="G5251" s="2">
        <f t="shared" ref="G5251:G5314" ca="1" si="582">RANDBETWEEN(ROUND(F5251*0.02,0),ROUND(F5251*0.08,0))</f>
        <v>1274</v>
      </c>
    </row>
    <row r="5252" spans="1:7" x14ac:dyDescent="0.3">
      <c r="A5252" s="5" t="str">
        <f t="shared" si="576"/>
        <v>Adidas</v>
      </c>
      <c r="B5252" s="5" t="str">
        <f t="shared" si="578"/>
        <v>Stan Smith</v>
      </c>
      <c r="C5252" s="3">
        <f t="shared" si="577"/>
        <v>46008</v>
      </c>
      <c r="D5252" s="4">
        <f t="shared" ca="1" si="579"/>
        <v>167</v>
      </c>
      <c r="E5252" s="2">
        <f t="shared" ca="1" si="580"/>
        <v>2578</v>
      </c>
      <c r="F5252" s="2">
        <f t="shared" ca="1" si="581"/>
        <v>9652</v>
      </c>
      <c r="G5252" s="2">
        <f t="shared" ca="1" si="582"/>
        <v>253</v>
      </c>
    </row>
    <row r="5253" spans="1:7" x14ac:dyDescent="0.3">
      <c r="A5253" s="5" t="str">
        <f t="shared" si="576"/>
        <v>Puma</v>
      </c>
      <c r="B5253" s="5" t="str">
        <f t="shared" si="578"/>
        <v>Cali Dream</v>
      </c>
      <c r="C5253" s="3">
        <f t="shared" si="577"/>
        <v>46008</v>
      </c>
      <c r="D5253" s="4">
        <f t="shared" ca="1" si="579"/>
        <v>117</v>
      </c>
      <c r="E5253" s="2">
        <f t="shared" ca="1" si="580"/>
        <v>10308</v>
      </c>
      <c r="F5253" s="2">
        <f t="shared" ca="1" si="581"/>
        <v>28117</v>
      </c>
      <c r="G5253" s="2">
        <f t="shared" ca="1" si="582"/>
        <v>2117</v>
      </c>
    </row>
    <row r="5254" spans="1:7" x14ac:dyDescent="0.3">
      <c r="A5254" s="5" t="str">
        <f t="shared" si="576"/>
        <v>New Balance</v>
      </c>
      <c r="B5254" s="5" t="str">
        <f t="shared" si="578"/>
        <v>9060</v>
      </c>
      <c r="C5254" s="3">
        <f t="shared" si="577"/>
        <v>46008</v>
      </c>
      <c r="D5254" s="4">
        <f t="shared" ca="1" si="579"/>
        <v>203</v>
      </c>
      <c r="E5254" s="2">
        <f t="shared" ca="1" si="580"/>
        <v>8676</v>
      </c>
      <c r="F5254" s="2">
        <f t="shared" ca="1" si="581"/>
        <v>27919</v>
      </c>
      <c r="G5254" s="2">
        <f t="shared" ca="1" si="582"/>
        <v>679</v>
      </c>
    </row>
    <row r="5255" spans="1:7" x14ac:dyDescent="0.3">
      <c r="A5255" s="5" t="str">
        <f t="shared" si="576"/>
        <v>Reebok</v>
      </c>
      <c r="B5255" s="5" t="str">
        <f t="shared" si="578"/>
        <v>Zig Kinetica</v>
      </c>
      <c r="C5255" s="3">
        <f t="shared" si="577"/>
        <v>46008</v>
      </c>
      <c r="D5255" s="4">
        <f t="shared" ca="1" si="579"/>
        <v>140</v>
      </c>
      <c r="E5255" s="2">
        <f t="shared" ca="1" si="580"/>
        <v>6337</v>
      </c>
      <c r="F5255" s="2">
        <f t="shared" ca="1" si="581"/>
        <v>15935</v>
      </c>
      <c r="G5255" s="2">
        <f t="shared" ca="1" si="582"/>
        <v>657</v>
      </c>
    </row>
    <row r="5256" spans="1:7" x14ac:dyDescent="0.3">
      <c r="A5256" s="5" t="str">
        <f t="shared" si="576"/>
        <v>Nike</v>
      </c>
      <c r="B5256" s="5" t="str">
        <f t="shared" si="578"/>
        <v>Jordan 1</v>
      </c>
      <c r="C5256" s="3">
        <f t="shared" si="577"/>
        <v>46008</v>
      </c>
      <c r="D5256" s="4">
        <f t="shared" ca="1" si="579"/>
        <v>163</v>
      </c>
      <c r="E5256" s="2">
        <f t="shared" ca="1" si="580"/>
        <v>10514</v>
      </c>
      <c r="F5256" s="2">
        <f t="shared" ca="1" si="581"/>
        <v>21411</v>
      </c>
      <c r="G5256" s="2">
        <f t="shared" ca="1" si="582"/>
        <v>939</v>
      </c>
    </row>
    <row r="5257" spans="1:7" x14ac:dyDescent="0.3">
      <c r="A5257" s="5" t="str">
        <f t="shared" si="576"/>
        <v>Adidas</v>
      </c>
      <c r="B5257" s="5" t="str">
        <f t="shared" si="578"/>
        <v>Ultraboost 23</v>
      </c>
      <c r="C5257" s="3">
        <f t="shared" si="577"/>
        <v>46008</v>
      </c>
      <c r="D5257" s="4">
        <f t="shared" ca="1" si="579"/>
        <v>80</v>
      </c>
      <c r="E5257" s="2">
        <f t="shared" ca="1" si="580"/>
        <v>8427</v>
      </c>
      <c r="F5257" s="2">
        <f t="shared" ca="1" si="581"/>
        <v>30054</v>
      </c>
      <c r="G5257" s="2">
        <f t="shared" ca="1" si="582"/>
        <v>1015</v>
      </c>
    </row>
    <row r="5258" spans="1:7" x14ac:dyDescent="0.3">
      <c r="A5258" s="5" t="str">
        <f t="shared" si="576"/>
        <v>Puma</v>
      </c>
      <c r="B5258" s="5" t="str">
        <f t="shared" si="578"/>
        <v>RS-X</v>
      </c>
      <c r="C5258" s="3">
        <f t="shared" si="577"/>
        <v>46008</v>
      </c>
      <c r="D5258" s="4">
        <f t="shared" ca="1" si="579"/>
        <v>179</v>
      </c>
      <c r="E5258" s="2">
        <f t="shared" ca="1" si="580"/>
        <v>4690</v>
      </c>
      <c r="F5258" s="2">
        <f t="shared" ca="1" si="581"/>
        <v>11525</v>
      </c>
      <c r="G5258" s="2">
        <f t="shared" ca="1" si="582"/>
        <v>520</v>
      </c>
    </row>
    <row r="5259" spans="1:7" x14ac:dyDescent="0.3">
      <c r="A5259" s="5" t="str">
        <f t="shared" si="576"/>
        <v>New Balance</v>
      </c>
      <c r="B5259" s="5" t="str">
        <f t="shared" si="578"/>
        <v>2002R</v>
      </c>
      <c r="C5259" s="3">
        <f t="shared" si="577"/>
        <v>46008</v>
      </c>
      <c r="D5259" s="4">
        <f t="shared" ca="1" si="579"/>
        <v>77</v>
      </c>
      <c r="E5259" s="2">
        <f t="shared" ca="1" si="580"/>
        <v>9709</v>
      </c>
      <c r="F5259" s="2">
        <f t="shared" ca="1" si="581"/>
        <v>13209</v>
      </c>
      <c r="G5259" s="2">
        <f t="shared" ca="1" si="582"/>
        <v>901</v>
      </c>
    </row>
    <row r="5260" spans="1:7" x14ac:dyDescent="0.3">
      <c r="A5260" s="5" t="str">
        <f t="shared" si="576"/>
        <v>Reebok</v>
      </c>
      <c r="B5260" s="5" t="str">
        <f t="shared" si="578"/>
        <v>Instapump Fury</v>
      </c>
      <c r="C5260" s="3">
        <f t="shared" si="577"/>
        <v>46008</v>
      </c>
      <c r="D5260" s="4">
        <f t="shared" ca="1" si="579"/>
        <v>153</v>
      </c>
      <c r="E5260" s="2">
        <f t="shared" ca="1" si="580"/>
        <v>9559</v>
      </c>
      <c r="F5260" s="2">
        <f t="shared" ca="1" si="581"/>
        <v>8780</v>
      </c>
      <c r="G5260" s="2">
        <f t="shared" ca="1" si="582"/>
        <v>675</v>
      </c>
    </row>
    <row r="5261" spans="1:7" x14ac:dyDescent="0.3">
      <c r="A5261" s="5" t="str">
        <f t="shared" si="576"/>
        <v>Nike</v>
      </c>
      <c r="B5261" s="5" t="str">
        <f t="shared" si="578"/>
        <v>Cortez</v>
      </c>
      <c r="C5261" s="3">
        <f t="shared" si="577"/>
        <v>46008</v>
      </c>
      <c r="D5261" s="4">
        <f t="shared" ca="1" si="579"/>
        <v>217</v>
      </c>
      <c r="E5261" s="2">
        <f t="shared" ca="1" si="580"/>
        <v>11332</v>
      </c>
      <c r="F5261" s="2">
        <f t="shared" ca="1" si="581"/>
        <v>27141</v>
      </c>
      <c r="G5261" s="2">
        <f t="shared" ca="1" si="582"/>
        <v>1084</v>
      </c>
    </row>
    <row r="5262" spans="1:7" x14ac:dyDescent="0.3">
      <c r="A5262" s="5" t="str">
        <f t="shared" si="576"/>
        <v>Adidas</v>
      </c>
      <c r="B5262" s="5" t="str">
        <f t="shared" si="578"/>
        <v>NMD S1</v>
      </c>
      <c r="C5262" s="3">
        <f t="shared" si="577"/>
        <v>46008</v>
      </c>
      <c r="D5262" s="4">
        <f t="shared" ca="1" si="579"/>
        <v>221</v>
      </c>
      <c r="E5262" s="2">
        <f t="shared" ca="1" si="580"/>
        <v>9305</v>
      </c>
      <c r="F5262" s="2">
        <f t="shared" ca="1" si="581"/>
        <v>33340</v>
      </c>
      <c r="G5262" s="2">
        <f t="shared" ca="1" si="582"/>
        <v>1433</v>
      </c>
    </row>
    <row r="5263" spans="1:7" x14ac:dyDescent="0.3">
      <c r="A5263" s="5" t="str">
        <f t="shared" si="576"/>
        <v>Puma</v>
      </c>
      <c r="B5263" s="5" t="str">
        <f t="shared" si="578"/>
        <v>Suede Classic</v>
      </c>
      <c r="C5263" s="3">
        <f t="shared" si="577"/>
        <v>46008</v>
      </c>
      <c r="D5263" s="4">
        <f t="shared" ca="1" si="579"/>
        <v>126</v>
      </c>
      <c r="E5263" s="2">
        <f t="shared" ca="1" si="580"/>
        <v>8601</v>
      </c>
      <c r="F5263" s="2">
        <f t="shared" ca="1" si="581"/>
        <v>11402</v>
      </c>
      <c r="G5263" s="2">
        <f t="shared" ca="1" si="582"/>
        <v>710</v>
      </c>
    </row>
    <row r="5264" spans="1:7" x14ac:dyDescent="0.3">
      <c r="A5264" s="5" t="str">
        <f t="shared" si="576"/>
        <v>New Balance</v>
      </c>
      <c r="B5264" s="5" t="str">
        <f t="shared" si="578"/>
        <v>990v6</v>
      </c>
      <c r="C5264" s="3">
        <f t="shared" si="577"/>
        <v>46008</v>
      </c>
      <c r="D5264" s="4">
        <f t="shared" ca="1" si="579"/>
        <v>223</v>
      </c>
      <c r="E5264" s="2">
        <f t="shared" ca="1" si="580"/>
        <v>2038</v>
      </c>
      <c r="F5264" s="2">
        <f t="shared" ca="1" si="581"/>
        <v>25952</v>
      </c>
      <c r="G5264" s="2">
        <f t="shared" ca="1" si="582"/>
        <v>833</v>
      </c>
    </row>
    <row r="5265" spans="1:7" x14ac:dyDescent="0.3">
      <c r="A5265" s="5" t="str">
        <f t="shared" si="576"/>
        <v>Reebok</v>
      </c>
      <c r="B5265" s="5" t="str">
        <f t="shared" si="578"/>
        <v>Nano X3</v>
      </c>
      <c r="C5265" s="3">
        <f t="shared" si="577"/>
        <v>46008</v>
      </c>
      <c r="D5265" s="4">
        <f t="shared" ca="1" si="579"/>
        <v>33</v>
      </c>
      <c r="E5265" s="2">
        <f t="shared" ca="1" si="580"/>
        <v>1724</v>
      </c>
      <c r="F5265" s="2">
        <f t="shared" ca="1" si="581"/>
        <v>22589</v>
      </c>
      <c r="G5265" s="2">
        <f t="shared" ca="1" si="582"/>
        <v>599</v>
      </c>
    </row>
    <row r="5266" spans="1:7" x14ac:dyDescent="0.3">
      <c r="A5266" s="5" t="str">
        <f t="shared" si="576"/>
        <v>Nike</v>
      </c>
      <c r="B5266" s="5" t="str">
        <f t="shared" si="578"/>
        <v>Vaporfly 3</v>
      </c>
      <c r="C5266" s="3">
        <f t="shared" si="577"/>
        <v>46008</v>
      </c>
      <c r="D5266" s="4">
        <f t="shared" ca="1" si="579"/>
        <v>30</v>
      </c>
      <c r="E5266" s="2">
        <f t="shared" ca="1" si="580"/>
        <v>2227</v>
      </c>
      <c r="F5266" s="2">
        <f t="shared" ca="1" si="581"/>
        <v>17313</v>
      </c>
      <c r="G5266" s="2">
        <f t="shared" ca="1" si="582"/>
        <v>1071</v>
      </c>
    </row>
    <row r="5267" spans="1:7" x14ac:dyDescent="0.3">
      <c r="A5267" s="5" t="str">
        <f t="shared" si="576"/>
        <v>Adidas</v>
      </c>
      <c r="B5267" s="5" t="str">
        <f t="shared" si="578"/>
        <v>Samba</v>
      </c>
      <c r="C5267" s="3">
        <f t="shared" si="577"/>
        <v>46009</v>
      </c>
      <c r="D5267" s="4">
        <f t="shared" ca="1" si="579"/>
        <v>87</v>
      </c>
      <c r="E5267" s="2">
        <f t="shared" ca="1" si="580"/>
        <v>7672</v>
      </c>
      <c r="F5267" s="2">
        <f t="shared" ca="1" si="581"/>
        <v>11307</v>
      </c>
      <c r="G5267" s="2">
        <f t="shared" ca="1" si="582"/>
        <v>874</v>
      </c>
    </row>
    <row r="5268" spans="1:7" x14ac:dyDescent="0.3">
      <c r="A5268" s="5" t="str">
        <f t="shared" si="576"/>
        <v>Puma</v>
      </c>
      <c r="B5268" s="5" t="str">
        <f t="shared" si="578"/>
        <v>Mayze</v>
      </c>
      <c r="C5268" s="3">
        <f t="shared" si="577"/>
        <v>46009</v>
      </c>
      <c r="D5268" s="4">
        <f t="shared" ca="1" si="579"/>
        <v>20</v>
      </c>
      <c r="E5268" s="2">
        <f t="shared" ca="1" si="580"/>
        <v>8765</v>
      </c>
      <c r="F5268" s="2">
        <f t="shared" ca="1" si="581"/>
        <v>12579</v>
      </c>
      <c r="G5268" s="2">
        <f t="shared" ca="1" si="582"/>
        <v>870</v>
      </c>
    </row>
    <row r="5269" spans="1:7" x14ac:dyDescent="0.3">
      <c r="A5269" s="5" t="str">
        <f t="shared" si="576"/>
        <v>New Balance</v>
      </c>
      <c r="B5269" s="5" t="str">
        <f t="shared" si="578"/>
        <v>574 Core</v>
      </c>
      <c r="C5269" s="3">
        <f t="shared" si="577"/>
        <v>46009</v>
      </c>
      <c r="D5269" s="4">
        <f t="shared" ca="1" si="579"/>
        <v>115</v>
      </c>
      <c r="E5269" s="2">
        <f t="shared" ca="1" si="580"/>
        <v>8339</v>
      </c>
      <c r="F5269" s="2">
        <f t="shared" ca="1" si="581"/>
        <v>9981</v>
      </c>
      <c r="G5269" s="2">
        <f t="shared" ca="1" si="582"/>
        <v>653</v>
      </c>
    </row>
    <row r="5270" spans="1:7" x14ac:dyDescent="0.3">
      <c r="A5270" s="5" t="str">
        <f t="shared" si="576"/>
        <v>Reebok</v>
      </c>
      <c r="B5270" s="5" t="str">
        <f t="shared" si="578"/>
        <v>Club C 85</v>
      </c>
      <c r="C5270" s="3">
        <f t="shared" si="577"/>
        <v>46009</v>
      </c>
      <c r="D5270" s="4">
        <f t="shared" ca="1" si="579"/>
        <v>122</v>
      </c>
      <c r="E5270" s="2">
        <f t="shared" ca="1" si="580"/>
        <v>2113</v>
      </c>
      <c r="F5270" s="2">
        <f t="shared" ca="1" si="581"/>
        <v>10012</v>
      </c>
      <c r="G5270" s="2">
        <f t="shared" ca="1" si="582"/>
        <v>323</v>
      </c>
    </row>
    <row r="5271" spans="1:7" x14ac:dyDescent="0.3">
      <c r="A5271" s="5" t="str">
        <f t="shared" si="576"/>
        <v>Nike</v>
      </c>
      <c r="B5271" s="5" t="str">
        <f t="shared" si="578"/>
        <v>Pegasus 40</v>
      </c>
      <c r="C5271" s="3">
        <f t="shared" si="577"/>
        <v>46009</v>
      </c>
      <c r="D5271" s="4">
        <f t="shared" ca="1" si="579"/>
        <v>225</v>
      </c>
      <c r="E5271" s="2">
        <f t="shared" ca="1" si="580"/>
        <v>8576</v>
      </c>
      <c r="F5271" s="2">
        <f t="shared" ca="1" si="581"/>
        <v>16119</v>
      </c>
      <c r="G5271" s="2">
        <f t="shared" ca="1" si="582"/>
        <v>339</v>
      </c>
    </row>
    <row r="5272" spans="1:7" x14ac:dyDescent="0.3">
      <c r="A5272" s="5" t="str">
        <f t="shared" si="576"/>
        <v>Adidas</v>
      </c>
      <c r="B5272" s="5" t="str">
        <f t="shared" si="578"/>
        <v>Gazelle</v>
      </c>
      <c r="C5272" s="3">
        <f t="shared" si="577"/>
        <v>46009</v>
      </c>
      <c r="D5272" s="4">
        <f t="shared" ca="1" si="579"/>
        <v>137</v>
      </c>
      <c r="E5272" s="2">
        <f t="shared" ca="1" si="580"/>
        <v>4799</v>
      </c>
      <c r="F5272" s="2">
        <f t="shared" ca="1" si="581"/>
        <v>24009</v>
      </c>
      <c r="G5272" s="2">
        <f t="shared" ca="1" si="582"/>
        <v>550</v>
      </c>
    </row>
    <row r="5273" spans="1:7" x14ac:dyDescent="0.3">
      <c r="A5273" s="5" t="str">
        <f t="shared" si="576"/>
        <v>Puma</v>
      </c>
      <c r="B5273" s="5" t="str">
        <f t="shared" si="578"/>
        <v>Slipstream</v>
      </c>
      <c r="C5273" s="3">
        <f t="shared" si="577"/>
        <v>46009</v>
      </c>
      <c r="D5273" s="4">
        <f t="shared" ca="1" si="579"/>
        <v>75</v>
      </c>
      <c r="E5273" s="2">
        <f t="shared" ca="1" si="580"/>
        <v>2861</v>
      </c>
      <c r="F5273" s="2">
        <f t="shared" ca="1" si="581"/>
        <v>33843</v>
      </c>
      <c r="G5273" s="2">
        <f t="shared" ca="1" si="582"/>
        <v>1898</v>
      </c>
    </row>
    <row r="5274" spans="1:7" x14ac:dyDescent="0.3">
      <c r="A5274" s="5" t="str">
        <f t="shared" si="576"/>
        <v>New Balance</v>
      </c>
      <c r="B5274" s="5" t="str">
        <f t="shared" si="578"/>
        <v>550</v>
      </c>
      <c r="C5274" s="3">
        <f t="shared" si="577"/>
        <v>46009</v>
      </c>
      <c r="D5274" s="4">
        <f t="shared" ca="1" si="579"/>
        <v>56</v>
      </c>
      <c r="E5274" s="2">
        <f t="shared" ca="1" si="580"/>
        <v>11876</v>
      </c>
      <c r="F5274" s="2">
        <f t="shared" ca="1" si="581"/>
        <v>15155</v>
      </c>
      <c r="G5274" s="2">
        <f t="shared" ca="1" si="582"/>
        <v>430</v>
      </c>
    </row>
    <row r="5275" spans="1:7" x14ac:dyDescent="0.3">
      <c r="A5275" s="5" t="str">
        <f t="shared" si="576"/>
        <v>Reebok</v>
      </c>
      <c r="B5275" s="5" t="str">
        <f t="shared" si="578"/>
        <v>Classic Leather</v>
      </c>
      <c r="C5275" s="3">
        <f t="shared" si="577"/>
        <v>46009</v>
      </c>
      <c r="D5275" s="4">
        <f t="shared" ca="1" si="579"/>
        <v>126</v>
      </c>
      <c r="E5275" s="2">
        <f t="shared" ca="1" si="580"/>
        <v>3632</v>
      </c>
      <c r="F5275" s="2">
        <f t="shared" ca="1" si="581"/>
        <v>18719</v>
      </c>
      <c r="G5275" s="2">
        <f t="shared" ca="1" si="582"/>
        <v>669</v>
      </c>
    </row>
    <row r="5276" spans="1:7" x14ac:dyDescent="0.3">
      <c r="A5276" s="5" t="str">
        <f t="shared" si="576"/>
        <v>Nike</v>
      </c>
      <c r="B5276" s="5" t="str">
        <f t="shared" si="578"/>
        <v>Air Force 1</v>
      </c>
      <c r="C5276" s="3">
        <f t="shared" si="577"/>
        <v>46009</v>
      </c>
      <c r="D5276" s="4">
        <f t="shared" ca="1" si="579"/>
        <v>174</v>
      </c>
      <c r="E5276" s="2">
        <f t="shared" ca="1" si="580"/>
        <v>8819</v>
      </c>
      <c r="F5276" s="2">
        <f t="shared" ca="1" si="581"/>
        <v>21764</v>
      </c>
      <c r="G5276" s="2">
        <f t="shared" ca="1" si="582"/>
        <v>1362</v>
      </c>
    </row>
    <row r="5277" spans="1:7" x14ac:dyDescent="0.3">
      <c r="A5277" s="5" t="str">
        <f t="shared" si="576"/>
        <v>Adidas</v>
      </c>
      <c r="B5277" s="5" t="str">
        <f t="shared" si="578"/>
        <v>Superstar</v>
      </c>
      <c r="C5277" s="3">
        <f t="shared" si="577"/>
        <v>46009</v>
      </c>
      <c r="D5277" s="4">
        <f t="shared" ca="1" si="579"/>
        <v>50</v>
      </c>
      <c r="E5277" s="2">
        <f t="shared" ca="1" si="580"/>
        <v>6662</v>
      </c>
      <c r="F5277" s="2">
        <f t="shared" ca="1" si="581"/>
        <v>16310</v>
      </c>
      <c r="G5277" s="2">
        <f t="shared" ca="1" si="582"/>
        <v>827</v>
      </c>
    </row>
    <row r="5278" spans="1:7" x14ac:dyDescent="0.3">
      <c r="A5278" s="5" t="str">
        <f t="shared" si="576"/>
        <v>Puma</v>
      </c>
      <c r="B5278" s="5" t="str">
        <f t="shared" si="578"/>
        <v>Rider Vintage</v>
      </c>
      <c r="C5278" s="3">
        <f t="shared" si="577"/>
        <v>46009</v>
      </c>
      <c r="D5278" s="4">
        <f t="shared" ca="1" si="579"/>
        <v>133</v>
      </c>
      <c r="E5278" s="2">
        <f t="shared" ca="1" si="580"/>
        <v>11650</v>
      </c>
      <c r="F5278" s="2">
        <f t="shared" ca="1" si="581"/>
        <v>30075</v>
      </c>
      <c r="G5278" s="2">
        <f t="shared" ca="1" si="582"/>
        <v>2155</v>
      </c>
    </row>
    <row r="5279" spans="1:7" x14ac:dyDescent="0.3">
      <c r="A5279" s="5" t="str">
        <f t="shared" si="576"/>
        <v>New Balance</v>
      </c>
      <c r="B5279" s="5" t="str">
        <f t="shared" si="578"/>
        <v>327</v>
      </c>
      <c r="C5279" s="3">
        <f t="shared" si="577"/>
        <v>46009</v>
      </c>
      <c r="D5279" s="4">
        <f t="shared" ca="1" si="579"/>
        <v>108</v>
      </c>
      <c r="E5279" s="2">
        <f t="shared" ca="1" si="580"/>
        <v>3805</v>
      </c>
      <c r="F5279" s="2">
        <f t="shared" ca="1" si="581"/>
        <v>15270</v>
      </c>
      <c r="G5279" s="2">
        <f t="shared" ca="1" si="582"/>
        <v>480</v>
      </c>
    </row>
    <row r="5280" spans="1:7" x14ac:dyDescent="0.3">
      <c r="A5280" s="5" t="str">
        <f t="shared" si="576"/>
        <v>Reebok</v>
      </c>
      <c r="B5280" s="5" t="str">
        <f t="shared" si="578"/>
        <v>Question Mid</v>
      </c>
      <c r="C5280" s="3">
        <f t="shared" si="577"/>
        <v>46009</v>
      </c>
      <c r="D5280" s="4">
        <f t="shared" ca="1" si="579"/>
        <v>86</v>
      </c>
      <c r="E5280" s="2">
        <f t="shared" ca="1" si="580"/>
        <v>4368</v>
      </c>
      <c r="F5280" s="2">
        <f t="shared" ca="1" si="581"/>
        <v>23566</v>
      </c>
      <c r="G5280" s="2">
        <f t="shared" ca="1" si="582"/>
        <v>996</v>
      </c>
    </row>
    <row r="5281" spans="1:7" x14ac:dyDescent="0.3">
      <c r="A5281" s="5" t="str">
        <f t="shared" si="576"/>
        <v>Nike</v>
      </c>
      <c r="B5281" s="5" t="str">
        <f t="shared" si="578"/>
        <v>Air Max 270</v>
      </c>
      <c r="C5281" s="3">
        <f t="shared" si="577"/>
        <v>46009</v>
      </c>
      <c r="D5281" s="4">
        <f t="shared" ca="1" si="579"/>
        <v>59</v>
      </c>
      <c r="E5281" s="2">
        <f t="shared" ca="1" si="580"/>
        <v>2741</v>
      </c>
      <c r="F5281" s="2">
        <f t="shared" ca="1" si="581"/>
        <v>7248</v>
      </c>
      <c r="G5281" s="2">
        <f t="shared" ca="1" si="582"/>
        <v>504</v>
      </c>
    </row>
    <row r="5282" spans="1:7" x14ac:dyDescent="0.3">
      <c r="A5282" s="5" t="str">
        <f t="shared" si="576"/>
        <v>Adidas</v>
      </c>
      <c r="B5282" s="5" t="str">
        <f t="shared" si="578"/>
        <v>Stan Smith</v>
      </c>
      <c r="C5282" s="3">
        <f t="shared" si="577"/>
        <v>46010</v>
      </c>
      <c r="D5282" s="4">
        <f t="shared" ca="1" si="579"/>
        <v>34</v>
      </c>
      <c r="E5282" s="2">
        <f t="shared" ca="1" si="580"/>
        <v>9134</v>
      </c>
      <c r="F5282" s="2">
        <f t="shared" ca="1" si="581"/>
        <v>14039</v>
      </c>
      <c r="G5282" s="2">
        <f t="shared" ca="1" si="582"/>
        <v>970</v>
      </c>
    </row>
    <row r="5283" spans="1:7" x14ac:dyDescent="0.3">
      <c r="A5283" s="5" t="str">
        <f t="shared" si="576"/>
        <v>Puma</v>
      </c>
      <c r="B5283" s="5" t="str">
        <f t="shared" si="578"/>
        <v>Cali Dream</v>
      </c>
      <c r="C5283" s="3">
        <f t="shared" si="577"/>
        <v>46010</v>
      </c>
      <c r="D5283" s="4">
        <f t="shared" ca="1" si="579"/>
        <v>194</v>
      </c>
      <c r="E5283" s="2">
        <f t="shared" ca="1" si="580"/>
        <v>5550</v>
      </c>
      <c r="F5283" s="2">
        <f t="shared" ca="1" si="581"/>
        <v>16871</v>
      </c>
      <c r="G5283" s="2">
        <f t="shared" ca="1" si="582"/>
        <v>1349</v>
      </c>
    </row>
    <row r="5284" spans="1:7" x14ac:dyDescent="0.3">
      <c r="A5284" s="5" t="str">
        <f t="shared" si="576"/>
        <v>New Balance</v>
      </c>
      <c r="B5284" s="5" t="str">
        <f t="shared" si="578"/>
        <v>9060</v>
      </c>
      <c r="C5284" s="3">
        <f t="shared" si="577"/>
        <v>46010</v>
      </c>
      <c r="D5284" s="4">
        <f t="shared" ca="1" si="579"/>
        <v>72</v>
      </c>
      <c r="E5284" s="2">
        <f t="shared" ca="1" si="580"/>
        <v>5640</v>
      </c>
      <c r="F5284" s="2">
        <f t="shared" ca="1" si="581"/>
        <v>30141</v>
      </c>
      <c r="G5284" s="2">
        <f t="shared" ca="1" si="582"/>
        <v>1048</v>
      </c>
    </row>
    <row r="5285" spans="1:7" x14ac:dyDescent="0.3">
      <c r="A5285" s="5" t="str">
        <f t="shared" si="576"/>
        <v>Reebok</v>
      </c>
      <c r="B5285" s="5" t="str">
        <f t="shared" si="578"/>
        <v>Zig Kinetica</v>
      </c>
      <c r="C5285" s="3">
        <f t="shared" si="577"/>
        <v>46010</v>
      </c>
      <c r="D5285" s="4">
        <f t="shared" ca="1" si="579"/>
        <v>190</v>
      </c>
      <c r="E5285" s="2">
        <f t="shared" ca="1" si="580"/>
        <v>3884</v>
      </c>
      <c r="F5285" s="2">
        <f t="shared" ca="1" si="581"/>
        <v>32664</v>
      </c>
      <c r="G5285" s="2">
        <f t="shared" ca="1" si="582"/>
        <v>834</v>
      </c>
    </row>
    <row r="5286" spans="1:7" x14ac:dyDescent="0.3">
      <c r="A5286" s="5" t="str">
        <f t="shared" si="576"/>
        <v>Nike</v>
      </c>
      <c r="B5286" s="5" t="str">
        <f t="shared" si="578"/>
        <v>Jordan 1</v>
      </c>
      <c r="C5286" s="3">
        <f t="shared" si="577"/>
        <v>46010</v>
      </c>
      <c r="D5286" s="4">
        <f t="shared" ca="1" si="579"/>
        <v>80</v>
      </c>
      <c r="E5286" s="2">
        <f t="shared" ca="1" si="580"/>
        <v>3366</v>
      </c>
      <c r="F5286" s="2">
        <f t="shared" ca="1" si="581"/>
        <v>12424</v>
      </c>
      <c r="G5286" s="2">
        <f t="shared" ca="1" si="582"/>
        <v>460</v>
      </c>
    </row>
    <row r="5287" spans="1:7" x14ac:dyDescent="0.3">
      <c r="A5287" s="5" t="str">
        <f t="shared" si="576"/>
        <v>Adidas</v>
      </c>
      <c r="B5287" s="5" t="str">
        <f t="shared" si="578"/>
        <v>Ultraboost 23</v>
      </c>
      <c r="C5287" s="3">
        <f t="shared" si="577"/>
        <v>46010</v>
      </c>
      <c r="D5287" s="4">
        <f t="shared" ca="1" si="579"/>
        <v>41</v>
      </c>
      <c r="E5287" s="2">
        <f t="shared" ca="1" si="580"/>
        <v>10890</v>
      </c>
      <c r="F5287" s="2">
        <f t="shared" ca="1" si="581"/>
        <v>7691</v>
      </c>
      <c r="G5287" s="2">
        <f t="shared" ca="1" si="582"/>
        <v>532</v>
      </c>
    </row>
    <row r="5288" spans="1:7" x14ac:dyDescent="0.3">
      <c r="A5288" s="5" t="str">
        <f t="shared" si="576"/>
        <v>Puma</v>
      </c>
      <c r="B5288" s="5" t="str">
        <f t="shared" si="578"/>
        <v>RS-X</v>
      </c>
      <c r="C5288" s="3">
        <f t="shared" si="577"/>
        <v>46010</v>
      </c>
      <c r="D5288" s="4">
        <f t="shared" ca="1" si="579"/>
        <v>82</v>
      </c>
      <c r="E5288" s="2">
        <f t="shared" ca="1" si="580"/>
        <v>11696</v>
      </c>
      <c r="F5288" s="2">
        <f t="shared" ca="1" si="581"/>
        <v>23710</v>
      </c>
      <c r="G5288" s="2">
        <f t="shared" ca="1" si="582"/>
        <v>593</v>
      </c>
    </row>
    <row r="5289" spans="1:7" x14ac:dyDescent="0.3">
      <c r="A5289" s="5" t="str">
        <f t="shared" si="576"/>
        <v>New Balance</v>
      </c>
      <c r="B5289" s="5" t="str">
        <f t="shared" si="578"/>
        <v>2002R</v>
      </c>
      <c r="C5289" s="3">
        <f t="shared" si="577"/>
        <v>46010</v>
      </c>
      <c r="D5289" s="4">
        <f t="shared" ca="1" si="579"/>
        <v>53</v>
      </c>
      <c r="E5289" s="2">
        <f t="shared" ca="1" si="580"/>
        <v>11292</v>
      </c>
      <c r="F5289" s="2">
        <f t="shared" ca="1" si="581"/>
        <v>13790</v>
      </c>
      <c r="G5289" s="2">
        <f t="shared" ca="1" si="582"/>
        <v>364</v>
      </c>
    </row>
    <row r="5290" spans="1:7" x14ac:dyDescent="0.3">
      <c r="A5290" s="5" t="str">
        <f t="shared" si="576"/>
        <v>Reebok</v>
      </c>
      <c r="B5290" s="5" t="str">
        <f t="shared" si="578"/>
        <v>Instapump Fury</v>
      </c>
      <c r="C5290" s="3">
        <f t="shared" si="577"/>
        <v>46010</v>
      </c>
      <c r="D5290" s="4">
        <f t="shared" ca="1" si="579"/>
        <v>50</v>
      </c>
      <c r="E5290" s="2">
        <f t="shared" ca="1" si="580"/>
        <v>3194</v>
      </c>
      <c r="F5290" s="2">
        <f t="shared" ca="1" si="581"/>
        <v>26937</v>
      </c>
      <c r="G5290" s="2">
        <f t="shared" ca="1" si="582"/>
        <v>1613</v>
      </c>
    </row>
    <row r="5291" spans="1:7" x14ac:dyDescent="0.3">
      <c r="A5291" s="5" t="str">
        <f t="shared" ref="A5291:A5354" si="583">CHOOSE(MOD(ROW(A5290),5)+1,"Nike","Adidas","Puma","New Balance","Reebok")</f>
        <v>Nike</v>
      </c>
      <c r="B5291" s="5" t="str">
        <f t="shared" si="578"/>
        <v>Cortez</v>
      </c>
      <c r="C5291" s="3">
        <f t="shared" ref="C5291:C5354" si="584">DATE(2025,1,1)+INT((ROW(A5291)-2)/15)</f>
        <v>46010</v>
      </c>
      <c r="D5291" s="4">
        <f t="shared" ca="1" si="579"/>
        <v>154</v>
      </c>
      <c r="E5291" s="2">
        <f t="shared" ca="1" si="580"/>
        <v>10418</v>
      </c>
      <c r="F5291" s="2">
        <f t="shared" ca="1" si="581"/>
        <v>13909</v>
      </c>
      <c r="G5291" s="2">
        <f t="shared" ca="1" si="582"/>
        <v>948</v>
      </c>
    </row>
    <row r="5292" spans="1:7" x14ac:dyDescent="0.3">
      <c r="A5292" s="5" t="str">
        <f t="shared" si="583"/>
        <v>Adidas</v>
      </c>
      <c r="B5292" s="5" t="str">
        <f t="shared" si="578"/>
        <v>NMD S1</v>
      </c>
      <c r="C5292" s="3">
        <f t="shared" si="584"/>
        <v>46010</v>
      </c>
      <c r="D5292" s="4">
        <f t="shared" ca="1" si="579"/>
        <v>147</v>
      </c>
      <c r="E5292" s="2">
        <f t="shared" ca="1" si="580"/>
        <v>7861</v>
      </c>
      <c r="F5292" s="2">
        <f t="shared" ca="1" si="581"/>
        <v>31299</v>
      </c>
      <c r="G5292" s="2">
        <f t="shared" ca="1" si="582"/>
        <v>2028</v>
      </c>
    </row>
    <row r="5293" spans="1:7" x14ac:dyDescent="0.3">
      <c r="A5293" s="5" t="str">
        <f t="shared" si="583"/>
        <v>Puma</v>
      </c>
      <c r="B5293" s="5" t="str">
        <f t="shared" si="578"/>
        <v>Suede Classic</v>
      </c>
      <c r="C5293" s="3">
        <f t="shared" si="584"/>
        <v>46010</v>
      </c>
      <c r="D5293" s="4">
        <f t="shared" ca="1" si="579"/>
        <v>20</v>
      </c>
      <c r="E5293" s="2">
        <f t="shared" ca="1" si="580"/>
        <v>4742</v>
      </c>
      <c r="F5293" s="2">
        <f t="shared" ca="1" si="581"/>
        <v>27764</v>
      </c>
      <c r="G5293" s="2">
        <f t="shared" ca="1" si="582"/>
        <v>758</v>
      </c>
    </row>
    <row r="5294" spans="1:7" x14ac:dyDescent="0.3">
      <c r="A5294" s="5" t="str">
        <f t="shared" si="583"/>
        <v>New Balance</v>
      </c>
      <c r="B5294" s="5" t="str">
        <f t="shared" si="578"/>
        <v>990v6</v>
      </c>
      <c r="C5294" s="3">
        <f t="shared" si="584"/>
        <v>46010</v>
      </c>
      <c r="D5294" s="4">
        <f t="shared" ca="1" si="579"/>
        <v>241</v>
      </c>
      <c r="E5294" s="2">
        <f t="shared" ca="1" si="580"/>
        <v>5057</v>
      </c>
      <c r="F5294" s="2">
        <f t="shared" ca="1" si="581"/>
        <v>29107</v>
      </c>
      <c r="G5294" s="2">
        <f t="shared" ca="1" si="582"/>
        <v>2015</v>
      </c>
    </row>
    <row r="5295" spans="1:7" x14ac:dyDescent="0.3">
      <c r="A5295" s="5" t="str">
        <f t="shared" si="583"/>
        <v>Reebok</v>
      </c>
      <c r="B5295" s="5" t="str">
        <f t="shared" si="578"/>
        <v>Nano X3</v>
      </c>
      <c r="C5295" s="3">
        <f t="shared" si="584"/>
        <v>46010</v>
      </c>
      <c r="D5295" s="4">
        <f t="shared" ca="1" si="579"/>
        <v>119</v>
      </c>
      <c r="E5295" s="2">
        <f t="shared" ca="1" si="580"/>
        <v>6502</v>
      </c>
      <c r="F5295" s="2">
        <f t="shared" ca="1" si="581"/>
        <v>19739</v>
      </c>
      <c r="G5295" s="2">
        <f t="shared" ca="1" si="582"/>
        <v>1362</v>
      </c>
    </row>
    <row r="5296" spans="1:7" x14ac:dyDescent="0.3">
      <c r="A5296" s="5" t="str">
        <f t="shared" si="583"/>
        <v>Nike</v>
      </c>
      <c r="B5296" s="5" t="str">
        <f t="shared" si="578"/>
        <v>Vaporfly 3</v>
      </c>
      <c r="C5296" s="3">
        <f t="shared" si="584"/>
        <v>46010</v>
      </c>
      <c r="D5296" s="4">
        <f t="shared" ca="1" si="579"/>
        <v>206</v>
      </c>
      <c r="E5296" s="2">
        <f t="shared" ca="1" si="580"/>
        <v>4735</v>
      </c>
      <c r="F5296" s="2">
        <f t="shared" ca="1" si="581"/>
        <v>31668</v>
      </c>
      <c r="G5296" s="2">
        <f t="shared" ca="1" si="582"/>
        <v>1692</v>
      </c>
    </row>
    <row r="5297" spans="1:7" x14ac:dyDescent="0.3">
      <c r="A5297" s="5" t="str">
        <f t="shared" si="583"/>
        <v>Adidas</v>
      </c>
      <c r="B5297" s="5" t="str">
        <f t="shared" si="578"/>
        <v>Samba</v>
      </c>
      <c r="C5297" s="3">
        <f t="shared" si="584"/>
        <v>46011</v>
      </c>
      <c r="D5297" s="4">
        <f t="shared" ca="1" si="579"/>
        <v>221</v>
      </c>
      <c r="E5297" s="2">
        <f t="shared" ca="1" si="580"/>
        <v>5083</v>
      </c>
      <c r="F5297" s="2">
        <f t="shared" ca="1" si="581"/>
        <v>11415</v>
      </c>
      <c r="G5297" s="2">
        <f t="shared" ca="1" si="582"/>
        <v>750</v>
      </c>
    </row>
    <row r="5298" spans="1:7" x14ac:dyDescent="0.3">
      <c r="A5298" s="5" t="str">
        <f t="shared" si="583"/>
        <v>Puma</v>
      </c>
      <c r="B5298" s="5" t="str">
        <f t="shared" si="578"/>
        <v>Mayze</v>
      </c>
      <c r="C5298" s="3">
        <f t="shared" si="584"/>
        <v>46011</v>
      </c>
      <c r="D5298" s="4">
        <f t="shared" ca="1" si="579"/>
        <v>156</v>
      </c>
      <c r="E5298" s="2">
        <f t="shared" ca="1" si="580"/>
        <v>9717</v>
      </c>
      <c r="F5298" s="2">
        <f t="shared" ca="1" si="581"/>
        <v>7595</v>
      </c>
      <c r="G5298" s="2">
        <f t="shared" ca="1" si="582"/>
        <v>446</v>
      </c>
    </row>
    <row r="5299" spans="1:7" x14ac:dyDescent="0.3">
      <c r="A5299" s="5" t="str">
        <f t="shared" si="583"/>
        <v>New Balance</v>
      </c>
      <c r="B5299" s="5" t="str">
        <f t="shared" si="578"/>
        <v>574 Core</v>
      </c>
      <c r="C5299" s="3">
        <f t="shared" si="584"/>
        <v>46011</v>
      </c>
      <c r="D5299" s="4">
        <f t="shared" ca="1" si="579"/>
        <v>151</v>
      </c>
      <c r="E5299" s="2">
        <f t="shared" ca="1" si="580"/>
        <v>6075</v>
      </c>
      <c r="F5299" s="2">
        <f t="shared" ca="1" si="581"/>
        <v>17309</v>
      </c>
      <c r="G5299" s="2">
        <f t="shared" ca="1" si="582"/>
        <v>899</v>
      </c>
    </row>
    <row r="5300" spans="1:7" x14ac:dyDescent="0.3">
      <c r="A5300" s="5" t="str">
        <f t="shared" si="583"/>
        <v>Reebok</v>
      </c>
      <c r="B5300" s="5" t="str">
        <f t="shared" si="578"/>
        <v>Club C 85</v>
      </c>
      <c r="C5300" s="3">
        <f t="shared" si="584"/>
        <v>46011</v>
      </c>
      <c r="D5300" s="4">
        <f t="shared" ca="1" si="579"/>
        <v>130</v>
      </c>
      <c r="E5300" s="2">
        <f t="shared" ca="1" si="580"/>
        <v>8551</v>
      </c>
      <c r="F5300" s="2">
        <f t="shared" ca="1" si="581"/>
        <v>30083</v>
      </c>
      <c r="G5300" s="2">
        <f t="shared" ca="1" si="582"/>
        <v>1167</v>
      </c>
    </row>
    <row r="5301" spans="1:7" x14ac:dyDescent="0.3">
      <c r="A5301" s="5" t="str">
        <f t="shared" si="583"/>
        <v>Nike</v>
      </c>
      <c r="B5301" s="5" t="str">
        <f t="shared" si="578"/>
        <v>Pegasus 40</v>
      </c>
      <c r="C5301" s="3">
        <f t="shared" si="584"/>
        <v>46011</v>
      </c>
      <c r="D5301" s="4">
        <f t="shared" ca="1" si="579"/>
        <v>98</v>
      </c>
      <c r="E5301" s="2">
        <f t="shared" ca="1" si="580"/>
        <v>6836</v>
      </c>
      <c r="F5301" s="2">
        <f t="shared" ca="1" si="581"/>
        <v>28087</v>
      </c>
      <c r="G5301" s="2">
        <f t="shared" ca="1" si="582"/>
        <v>2027</v>
      </c>
    </row>
    <row r="5302" spans="1:7" x14ac:dyDescent="0.3">
      <c r="A5302" s="5" t="str">
        <f t="shared" si="583"/>
        <v>Adidas</v>
      </c>
      <c r="B5302" s="5" t="str">
        <f t="shared" si="578"/>
        <v>Gazelle</v>
      </c>
      <c r="C5302" s="3">
        <f t="shared" si="584"/>
        <v>46011</v>
      </c>
      <c r="D5302" s="4">
        <f t="shared" ca="1" si="579"/>
        <v>108</v>
      </c>
      <c r="E5302" s="2">
        <f t="shared" ca="1" si="580"/>
        <v>10840</v>
      </c>
      <c r="F5302" s="2">
        <f t="shared" ca="1" si="581"/>
        <v>11850</v>
      </c>
      <c r="G5302" s="2">
        <f t="shared" ca="1" si="582"/>
        <v>640</v>
      </c>
    </row>
    <row r="5303" spans="1:7" x14ac:dyDescent="0.3">
      <c r="A5303" s="5" t="str">
        <f t="shared" si="583"/>
        <v>Puma</v>
      </c>
      <c r="B5303" s="5" t="str">
        <f t="shared" si="578"/>
        <v>Slipstream</v>
      </c>
      <c r="C5303" s="3">
        <f t="shared" si="584"/>
        <v>46011</v>
      </c>
      <c r="D5303" s="4">
        <f t="shared" ca="1" si="579"/>
        <v>237</v>
      </c>
      <c r="E5303" s="2">
        <f t="shared" ca="1" si="580"/>
        <v>10087</v>
      </c>
      <c r="F5303" s="2">
        <f t="shared" ca="1" si="581"/>
        <v>33652</v>
      </c>
      <c r="G5303" s="2">
        <f t="shared" ca="1" si="582"/>
        <v>1867</v>
      </c>
    </row>
    <row r="5304" spans="1:7" x14ac:dyDescent="0.3">
      <c r="A5304" s="5" t="str">
        <f t="shared" si="583"/>
        <v>New Balance</v>
      </c>
      <c r="B5304" s="5" t="str">
        <f t="shared" si="578"/>
        <v>550</v>
      </c>
      <c r="C5304" s="3">
        <f t="shared" si="584"/>
        <v>46011</v>
      </c>
      <c r="D5304" s="4">
        <f t="shared" ca="1" si="579"/>
        <v>92</v>
      </c>
      <c r="E5304" s="2">
        <f t="shared" ca="1" si="580"/>
        <v>10461</v>
      </c>
      <c r="F5304" s="2">
        <f t="shared" ca="1" si="581"/>
        <v>24377</v>
      </c>
      <c r="G5304" s="2">
        <f t="shared" ca="1" si="582"/>
        <v>541</v>
      </c>
    </row>
    <row r="5305" spans="1:7" x14ac:dyDescent="0.3">
      <c r="A5305" s="5" t="str">
        <f t="shared" si="583"/>
        <v>Reebok</v>
      </c>
      <c r="B5305" s="5" t="str">
        <f t="shared" si="578"/>
        <v>Classic Leather</v>
      </c>
      <c r="C5305" s="3">
        <f t="shared" si="584"/>
        <v>46011</v>
      </c>
      <c r="D5305" s="4">
        <f t="shared" ca="1" si="579"/>
        <v>87</v>
      </c>
      <c r="E5305" s="2">
        <f t="shared" ca="1" si="580"/>
        <v>9808</v>
      </c>
      <c r="F5305" s="2">
        <f t="shared" ca="1" si="581"/>
        <v>33545</v>
      </c>
      <c r="G5305" s="2">
        <f t="shared" ca="1" si="582"/>
        <v>2573</v>
      </c>
    </row>
    <row r="5306" spans="1:7" x14ac:dyDescent="0.3">
      <c r="A5306" s="5" t="str">
        <f t="shared" si="583"/>
        <v>Nike</v>
      </c>
      <c r="B5306" s="5" t="str">
        <f t="shared" si="578"/>
        <v>Air Force 1</v>
      </c>
      <c r="C5306" s="3">
        <f t="shared" si="584"/>
        <v>46011</v>
      </c>
      <c r="D5306" s="4">
        <f t="shared" ca="1" si="579"/>
        <v>227</v>
      </c>
      <c r="E5306" s="2">
        <f t="shared" ca="1" si="580"/>
        <v>3779</v>
      </c>
      <c r="F5306" s="2">
        <f t="shared" ca="1" si="581"/>
        <v>18810</v>
      </c>
      <c r="G5306" s="2">
        <f t="shared" ca="1" si="582"/>
        <v>1106</v>
      </c>
    </row>
    <row r="5307" spans="1:7" x14ac:dyDescent="0.3">
      <c r="A5307" s="5" t="str">
        <f t="shared" si="583"/>
        <v>Adidas</v>
      </c>
      <c r="B5307" s="5" t="str">
        <f t="shared" si="578"/>
        <v>Superstar</v>
      </c>
      <c r="C5307" s="3">
        <f t="shared" si="584"/>
        <v>46011</v>
      </c>
      <c r="D5307" s="4">
        <f t="shared" ca="1" si="579"/>
        <v>53</v>
      </c>
      <c r="E5307" s="2">
        <f t="shared" ca="1" si="580"/>
        <v>9758</v>
      </c>
      <c r="F5307" s="2">
        <f t="shared" ca="1" si="581"/>
        <v>27355</v>
      </c>
      <c r="G5307" s="2">
        <f t="shared" ca="1" si="582"/>
        <v>1160</v>
      </c>
    </row>
    <row r="5308" spans="1:7" x14ac:dyDescent="0.3">
      <c r="A5308" s="5" t="str">
        <f t="shared" si="583"/>
        <v>Puma</v>
      </c>
      <c r="B5308" s="5" t="str">
        <f t="shared" si="578"/>
        <v>Rider Vintage</v>
      </c>
      <c r="C5308" s="3">
        <f t="shared" si="584"/>
        <v>46011</v>
      </c>
      <c r="D5308" s="4">
        <f t="shared" ca="1" si="579"/>
        <v>182</v>
      </c>
      <c r="E5308" s="2">
        <f t="shared" ca="1" si="580"/>
        <v>7983</v>
      </c>
      <c r="F5308" s="2">
        <f t="shared" ca="1" si="581"/>
        <v>20469</v>
      </c>
      <c r="G5308" s="2">
        <f t="shared" ca="1" si="582"/>
        <v>785</v>
      </c>
    </row>
    <row r="5309" spans="1:7" x14ac:dyDescent="0.3">
      <c r="A5309" s="5" t="str">
        <f t="shared" si="583"/>
        <v>New Balance</v>
      </c>
      <c r="B5309" s="5" t="str">
        <f t="shared" si="578"/>
        <v>327</v>
      </c>
      <c r="C5309" s="3">
        <f t="shared" si="584"/>
        <v>46011</v>
      </c>
      <c r="D5309" s="4">
        <f t="shared" ca="1" si="579"/>
        <v>20</v>
      </c>
      <c r="E5309" s="2">
        <f t="shared" ca="1" si="580"/>
        <v>11651</v>
      </c>
      <c r="F5309" s="2">
        <f t="shared" ca="1" si="581"/>
        <v>7969</v>
      </c>
      <c r="G5309" s="2">
        <f t="shared" ca="1" si="582"/>
        <v>230</v>
      </c>
    </row>
    <row r="5310" spans="1:7" x14ac:dyDescent="0.3">
      <c r="A5310" s="5" t="str">
        <f t="shared" si="583"/>
        <v>Reebok</v>
      </c>
      <c r="B5310" s="5" t="str">
        <f t="shared" si="578"/>
        <v>Question Mid</v>
      </c>
      <c r="C5310" s="3">
        <f t="shared" si="584"/>
        <v>46011</v>
      </c>
      <c r="D5310" s="4">
        <f t="shared" ca="1" si="579"/>
        <v>191</v>
      </c>
      <c r="E5310" s="2">
        <f t="shared" ca="1" si="580"/>
        <v>3543</v>
      </c>
      <c r="F5310" s="2">
        <f t="shared" ca="1" si="581"/>
        <v>26135</v>
      </c>
      <c r="G5310" s="2">
        <f t="shared" ca="1" si="582"/>
        <v>1067</v>
      </c>
    </row>
    <row r="5311" spans="1:7" x14ac:dyDescent="0.3">
      <c r="A5311" s="5" t="str">
        <f t="shared" si="583"/>
        <v>Nike</v>
      </c>
      <c r="B5311" s="5" t="str">
        <f t="shared" si="578"/>
        <v>Air Max 270</v>
      </c>
      <c r="C5311" s="3">
        <f t="shared" si="584"/>
        <v>46011</v>
      </c>
      <c r="D5311" s="4">
        <f t="shared" ca="1" si="579"/>
        <v>68</v>
      </c>
      <c r="E5311" s="2">
        <f t="shared" ca="1" si="580"/>
        <v>6591</v>
      </c>
      <c r="F5311" s="2">
        <f t="shared" ca="1" si="581"/>
        <v>28041</v>
      </c>
      <c r="G5311" s="2">
        <f t="shared" ca="1" si="582"/>
        <v>1155</v>
      </c>
    </row>
    <row r="5312" spans="1:7" x14ac:dyDescent="0.3">
      <c r="A5312" s="5" t="str">
        <f t="shared" si="583"/>
        <v>Adidas</v>
      </c>
      <c r="B5312" s="5" t="str">
        <f t="shared" si="578"/>
        <v>Stan Smith</v>
      </c>
      <c r="C5312" s="3">
        <f t="shared" si="584"/>
        <v>46012</v>
      </c>
      <c r="D5312" s="4">
        <f t="shared" ca="1" si="579"/>
        <v>90</v>
      </c>
      <c r="E5312" s="2">
        <f t="shared" ca="1" si="580"/>
        <v>5095</v>
      </c>
      <c r="F5312" s="2">
        <f t="shared" ca="1" si="581"/>
        <v>11274</v>
      </c>
      <c r="G5312" s="2">
        <f t="shared" ca="1" si="582"/>
        <v>574</v>
      </c>
    </row>
    <row r="5313" spans="1:7" x14ac:dyDescent="0.3">
      <c r="A5313" s="5" t="str">
        <f t="shared" si="583"/>
        <v>Puma</v>
      </c>
      <c r="B5313" s="5" t="str">
        <f t="shared" si="578"/>
        <v>Cali Dream</v>
      </c>
      <c r="C5313" s="3">
        <f t="shared" si="584"/>
        <v>46012</v>
      </c>
      <c r="D5313" s="4">
        <f t="shared" ca="1" si="579"/>
        <v>146</v>
      </c>
      <c r="E5313" s="2">
        <f t="shared" ca="1" si="580"/>
        <v>9538</v>
      </c>
      <c r="F5313" s="2">
        <f t="shared" ca="1" si="581"/>
        <v>34815</v>
      </c>
      <c r="G5313" s="2">
        <f t="shared" ca="1" si="582"/>
        <v>2279</v>
      </c>
    </row>
    <row r="5314" spans="1:7" x14ac:dyDescent="0.3">
      <c r="A5314" s="5" t="str">
        <f t="shared" si="583"/>
        <v>New Balance</v>
      </c>
      <c r="B5314" s="5" t="str">
        <f t="shared" si="578"/>
        <v>9060</v>
      </c>
      <c r="C5314" s="3">
        <f t="shared" si="584"/>
        <v>46012</v>
      </c>
      <c r="D5314" s="4">
        <f t="shared" ca="1" si="579"/>
        <v>34</v>
      </c>
      <c r="E5314" s="2">
        <f t="shared" ca="1" si="580"/>
        <v>7400</v>
      </c>
      <c r="F5314" s="2">
        <f t="shared" ca="1" si="581"/>
        <v>5923</v>
      </c>
      <c r="G5314" s="2">
        <f t="shared" ca="1" si="582"/>
        <v>234</v>
      </c>
    </row>
    <row r="5315" spans="1:7" x14ac:dyDescent="0.3">
      <c r="A5315" s="5" t="str">
        <f t="shared" si="583"/>
        <v>Reebok</v>
      </c>
      <c r="B5315" s="5" t="str">
        <f t="shared" ref="B5315:B5378" si="585">IF(A5315="Nike",CHOOSE(MOD(ROW(A5314),6)+1,"Air Max 270","Air Force 1","Pegasus 40","Vaporfly 3","Cortez","Jordan 1"),
 IF(A5315="Adidas",CHOOSE(MOD(ROW(A5314),6)+1,"Ultraboost 23","Stan Smith","Superstar","Gazelle","Samba","NMD S1"),
 IF(A5315="Puma",CHOOSE(MOD(ROW(A5314),6)+1,"Suede Classic","RS-X","Cali Dream","Rider Vintage","Slipstream","Mayze"),
 IF(A5315="New Balance",CHOOSE(MOD(ROW(A5314),6)+1,"574 Core","990v6","2002R","9060","327","550"),
 IF(A5315="Reebok",CHOOSE(MOD(ROW(A5314),6)+1,"Classic Leather","Club C 85","Nano X3","Instapump Fury","Zig Kinetica","Question Mid"),"")))))</f>
        <v>Zig Kinetica</v>
      </c>
      <c r="C5315" s="3">
        <f t="shared" si="584"/>
        <v>46012</v>
      </c>
      <c r="D5315" s="4">
        <f t="shared" ref="D5315:D5378" ca="1" si="586">RANDBETWEEN(20,250)</f>
        <v>109</v>
      </c>
      <c r="E5315" s="2">
        <f t="shared" ref="E5315:E5378" ca="1" si="587">ROUND(RANDBETWEEN(1500,12000)+(RANDBETWEEN(-200,200)),2)</f>
        <v>7494</v>
      </c>
      <c r="F5315" s="2">
        <f t="shared" ref="F5315:F5378" ca="1" si="588">RANDBETWEEN(5000,35000)</f>
        <v>5136</v>
      </c>
      <c r="G5315" s="2">
        <f t="shared" ref="G5315:G5378" ca="1" si="589">RANDBETWEEN(ROUND(F5315*0.02,0),ROUND(F5315*0.08,0))</f>
        <v>393</v>
      </c>
    </row>
    <row r="5316" spans="1:7" x14ac:dyDescent="0.3">
      <c r="A5316" s="5" t="str">
        <f t="shared" si="583"/>
        <v>Nike</v>
      </c>
      <c r="B5316" s="5" t="str">
        <f t="shared" si="585"/>
        <v>Jordan 1</v>
      </c>
      <c r="C5316" s="3">
        <f t="shared" si="584"/>
        <v>46012</v>
      </c>
      <c r="D5316" s="4">
        <f t="shared" ca="1" si="586"/>
        <v>196</v>
      </c>
      <c r="E5316" s="2">
        <f t="shared" ca="1" si="587"/>
        <v>2323</v>
      </c>
      <c r="F5316" s="2">
        <f t="shared" ca="1" si="588"/>
        <v>26598</v>
      </c>
      <c r="G5316" s="2">
        <f t="shared" ca="1" si="589"/>
        <v>1955</v>
      </c>
    </row>
    <row r="5317" spans="1:7" x14ac:dyDescent="0.3">
      <c r="A5317" s="5" t="str">
        <f t="shared" si="583"/>
        <v>Adidas</v>
      </c>
      <c r="B5317" s="5" t="str">
        <f t="shared" si="585"/>
        <v>Ultraboost 23</v>
      </c>
      <c r="C5317" s="3">
        <f t="shared" si="584"/>
        <v>46012</v>
      </c>
      <c r="D5317" s="4">
        <f t="shared" ca="1" si="586"/>
        <v>131</v>
      </c>
      <c r="E5317" s="2">
        <f t="shared" ca="1" si="587"/>
        <v>4504</v>
      </c>
      <c r="F5317" s="2">
        <f t="shared" ca="1" si="588"/>
        <v>18499</v>
      </c>
      <c r="G5317" s="2">
        <f t="shared" ca="1" si="589"/>
        <v>1105</v>
      </c>
    </row>
    <row r="5318" spans="1:7" x14ac:dyDescent="0.3">
      <c r="A5318" s="5" t="str">
        <f t="shared" si="583"/>
        <v>Puma</v>
      </c>
      <c r="B5318" s="5" t="str">
        <f t="shared" si="585"/>
        <v>RS-X</v>
      </c>
      <c r="C5318" s="3">
        <f t="shared" si="584"/>
        <v>46012</v>
      </c>
      <c r="D5318" s="4">
        <f t="shared" ca="1" si="586"/>
        <v>92</v>
      </c>
      <c r="E5318" s="2">
        <f t="shared" ca="1" si="587"/>
        <v>1839</v>
      </c>
      <c r="F5318" s="2">
        <f t="shared" ca="1" si="588"/>
        <v>28088</v>
      </c>
      <c r="G5318" s="2">
        <f t="shared" ca="1" si="589"/>
        <v>939</v>
      </c>
    </row>
    <row r="5319" spans="1:7" x14ac:dyDescent="0.3">
      <c r="A5319" s="5" t="str">
        <f t="shared" si="583"/>
        <v>New Balance</v>
      </c>
      <c r="B5319" s="5" t="str">
        <f t="shared" si="585"/>
        <v>2002R</v>
      </c>
      <c r="C5319" s="3">
        <f t="shared" si="584"/>
        <v>46012</v>
      </c>
      <c r="D5319" s="4">
        <f t="shared" ca="1" si="586"/>
        <v>84</v>
      </c>
      <c r="E5319" s="2">
        <f t="shared" ca="1" si="587"/>
        <v>6387</v>
      </c>
      <c r="F5319" s="2">
        <f t="shared" ca="1" si="588"/>
        <v>32030</v>
      </c>
      <c r="G5319" s="2">
        <f t="shared" ca="1" si="589"/>
        <v>2165</v>
      </c>
    </row>
    <row r="5320" spans="1:7" x14ac:dyDescent="0.3">
      <c r="A5320" s="5" t="str">
        <f t="shared" si="583"/>
        <v>Reebok</v>
      </c>
      <c r="B5320" s="5" t="str">
        <f t="shared" si="585"/>
        <v>Instapump Fury</v>
      </c>
      <c r="C5320" s="3">
        <f t="shared" si="584"/>
        <v>46012</v>
      </c>
      <c r="D5320" s="4">
        <f t="shared" ca="1" si="586"/>
        <v>125</v>
      </c>
      <c r="E5320" s="2">
        <f t="shared" ca="1" si="587"/>
        <v>10864</v>
      </c>
      <c r="F5320" s="2">
        <f t="shared" ca="1" si="588"/>
        <v>28434</v>
      </c>
      <c r="G5320" s="2">
        <f t="shared" ca="1" si="589"/>
        <v>1676</v>
      </c>
    </row>
    <row r="5321" spans="1:7" x14ac:dyDescent="0.3">
      <c r="A5321" s="5" t="str">
        <f t="shared" si="583"/>
        <v>Nike</v>
      </c>
      <c r="B5321" s="5" t="str">
        <f t="shared" si="585"/>
        <v>Cortez</v>
      </c>
      <c r="C5321" s="3">
        <f t="shared" si="584"/>
        <v>46012</v>
      </c>
      <c r="D5321" s="4">
        <f t="shared" ca="1" si="586"/>
        <v>217</v>
      </c>
      <c r="E5321" s="2">
        <f t="shared" ca="1" si="587"/>
        <v>4945</v>
      </c>
      <c r="F5321" s="2">
        <f t="shared" ca="1" si="588"/>
        <v>12795</v>
      </c>
      <c r="G5321" s="2">
        <f t="shared" ca="1" si="589"/>
        <v>443</v>
      </c>
    </row>
    <row r="5322" spans="1:7" x14ac:dyDescent="0.3">
      <c r="A5322" s="5" t="str">
        <f t="shared" si="583"/>
        <v>Adidas</v>
      </c>
      <c r="B5322" s="5" t="str">
        <f t="shared" si="585"/>
        <v>NMD S1</v>
      </c>
      <c r="C5322" s="3">
        <f t="shared" si="584"/>
        <v>46012</v>
      </c>
      <c r="D5322" s="4">
        <f t="shared" ca="1" si="586"/>
        <v>182</v>
      </c>
      <c r="E5322" s="2">
        <f t="shared" ca="1" si="587"/>
        <v>5197</v>
      </c>
      <c r="F5322" s="2">
        <f t="shared" ca="1" si="588"/>
        <v>11595</v>
      </c>
      <c r="G5322" s="2">
        <f t="shared" ca="1" si="589"/>
        <v>316</v>
      </c>
    </row>
    <row r="5323" spans="1:7" x14ac:dyDescent="0.3">
      <c r="A5323" s="5" t="str">
        <f t="shared" si="583"/>
        <v>Puma</v>
      </c>
      <c r="B5323" s="5" t="str">
        <f t="shared" si="585"/>
        <v>Suede Classic</v>
      </c>
      <c r="C5323" s="3">
        <f t="shared" si="584"/>
        <v>46012</v>
      </c>
      <c r="D5323" s="4">
        <f t="shared" ca="1" si="586"/>
        <v>141</v>
      </c>
      <c r="E5323" s="2">
        <f t="shared" ca="1" si="587"/>
        <v>3470</v>
      </c>
      <c r="F5323" s="2">
        <f t="shared" ca="1" si="588"/>
        <v>15941</v>
      </c>
      <c r="G5323" s="2">
        <f t="shared" ca="1" si="589"/>
        <v>500</v>
      </c>
    </row>
    <row r="5324" spans="1:7" x14ac:dyDescent="0.3">
      <c r="A5324" s="5" t="str">
        <f t="shared" si="583"/>
        <v>New Balance</v>
      </c>
      <c r="B5324" s="5" t="str">
        <f t="shared" si="585"/>
        <v>990v6</v>
      </c>
      <c r="C5324" s="3">
        <f t="shared" si="584"/>
        <v>46012</v>
      </c>
      <c r="D5324" s="4">
        <f t="shared" ca="1" si="586"/>
        <v>89</v>
      </c>
      <c r="E5324" s="2">
        <f t="shared" ca="1" si="587"/>
        <v>11505</v>
      </c>
      <c r="F5324" s="2">
        <f t="shared" ca="1" si="588"/>
        <v>29446</v>
      </c>
      <c r="G5324" s="2">
        <f t="shared" ca="1" si="589"/>
        <v>898</v>
      </c>
    </row>
    <row r="5325" spans="1:7" x14ac:dyDescent="0.3">
      <c r="A5325" s="5" t="str">
        <f t="shared" si="583"/>
        <v>Reebok</v>
      </c>
      <c r="B5325" s="5" t="str">
        <f t="shared" si="585"/>
        <v>Nano X3</v>
      </c>
      <c r="C5325" s="3">
        <f t="shared" si="584"/>
        <v>46012</v>
      </c>
      <c r="D5325" s="4">
        <f t="shared" ca="1" si="586"/>
        <v>45</v>
      </c>
      <c r="E5325" s="2">
        <f t="shared" ca="1" si="587"/>
        <v>11883</v>
      </c>
      <c r="F5325" s="2">
        <f t="shared" ca="1" si="588"/>
        <v>16822</v>
      </c>
      <c r="G5325" s="2">
        <f t="shared" ca="1" si="589"/>
        <v>365</v>
      </c>
    </row>
    <row r="5326" spans="1:7" x14ac:dyDescent="0.3">
      <c r="A5326" s="5" t="str">
        <f t="shared" si="583"/>
        <v>Nike</v>
      </c>
      <c r="B5326" s="5" t="str">
        <f t="shared" si="585"/>
        <v>Vaporfly 3</v>
      </c>
      <c r="C5326" s="3">
        <f t="shared" si="584"/>
        <v>46012</v>
      </c>
      <c r="D5326" s="4">
        <f t="shared" ca="1" si="586"/>
        <v>30</v>
      </c>
      <c r="E5326" s="2">
        <f t="shared" ca="1" si="587"/>
        <v>4493</v>
      </c>
      <c r="F5326" s="2">
        <f t="shared" ca="1" si="588"/>
        <v>29823</v>
      </c>
      <c r="G5326" s="2">
        <f t="shared" ca="1" si="589"/>
        <v>1005</v>
      </c>
    </row>
    <row r="5327" spans="1:7" x14ac:dyDescent="0.3">
      <c r="A5327" s="5" t="str">
        <f t="shared" si="583"/>
        <v>Adidas</v>
      </c>
      <c r="B5327" s="5" t="str">
        <f t="shared" si="585"/>
        <v>Samba</v>
      </c>
      <c r="C5327" s="3">
        <f t="shared" si="584"/>
        <v>46013</v>
      </c>
      <c r="D5327" s="4">
        <f t="shared" ca="1" si="586"/>
        <v>216</v>
      </c>
      <c r="E5327" s="2">
        <f t="shared" ca="1" si="587"/>
        <v>7452</v>
      </c>
      <c r="F5327" s="2">
        <f t="shared" ca="1" si="588"/>
        <v>20867</v>
      </c>
      <c r="G5327" s="2">
        <f t="shared" ca="1" si="589"/>
        <v>1502</v>
      </c>
    </row>
    <row r="5328" spans="1:7" x14ac:dyDescent="0.3">
      <c r="A5328" s="5" t="str">
        <f t="shared" si="583"/>
        <v>Puma</v>
      </c>
      <c r="B5328" s="5" t="str">
        <f t="shared" si="585"/>
        <v>Mayze</v>
      </c>
      <c r="C5328" s="3">
        <f t="shared" si="584"/>
        <v>46013</v>
      </c>
      <c r="D5328" s="4">
        <f t="shared" ca="1" si="586"/>
        <v>43</v>
      </c>
      <c r="E5328" s="2">
        <f t="shared" ca="1" si="587"/>
        <v>1514</v>
      </c>
      <c r="F5328" s="2">
        <f t="shared" ca="1" si="588"/>
        <v>9139</v>
      </c>
      <c r="G5328" s="2">
        <f t="shared" ca="1" si="589"/>
        <v>334</v>
      </c>
    </row>
    <row r="5329" spans="1:7" x14ac:dyDescent="0.3">
      <c r="A5329" s="5" t="str">
        <f t="shared" si="583"/>
        <v>New Balance</v>
      </c>
      <c r="B5329" s="5" t="str">
        <f t="shared" si="585"/>
        <v>574 Core</v>
      </c>
      <c r="C5329" s="3">
        <f t="shared" si="584"/>
        <v>46013</v>
      </c>
      <c r="D5329" s="4">
        <f t="shared" ca="1" si="586"/>
        <v>27</v>
      </c>
      <c r="E5329" s="2">
        <f t="shared" ca="1" si="587"/>
        <v>9812</v>
      </c>
      <c r="F5329" s="2">
        <f t="shared" ca="1" si="588"/>
        <v>19195</v>
      </c>
      <c r="G5329" s="2">
        <f t="shared" ca="1" si="589"/>
        <v>1067</v>
      </c>
    </row>
    <row r="5330" spans="1:7" x14ac:dyDescent="0.3">
      <c r="A5330" s="5" t="str">
        <f t="shared" si="583"/>
        <v>Reebok</v>
      </c>
      <c r="B5330" s="5" t="str">
        <f t="shared" si="585"/>
        <v>Club C 85</v>
      </c>
      <c r="C5330" s="3">
        <f t="shared" si="584"/>
        <v>46013</v>
      </c>
      <c r="D5330" s="4">
        <f t="shared" ca="1" si="586"/>
        <v>206</v>
      </c>
      <c r="E5330" s="2">
        <f t="shared" ca="1" si="587"/>
        <v>2071</v>
      </c>
      <c r="F5330" s="2">
        <f t="shared" ca="1" si="588"/>
        <v>15310</v>
      </c>
      <c r="G5330" s="2">
        <f t="shared" ca="1" si="589"/>
        <v>946</v>
      </c>
    </row>
    <row r="5331" spans="1:7" x14ac:dyDescent="0.3">
      <c r="A5331" s="5" t="str">
        <f t="shared" si="583"/>
        <v>Nike</v>
      </c>
      <c r="B5331" s="5" t="str">
        <f t="shared" si="585"/>
        <v>Pegasus 40</v>
      </c>
      <c r="C5331" s="3">
        <f t="shared" si="584"/>
        <v>46013</v>
      </c>
      <c r="D5331" s="4">
        <f t="shared" ca="1" si="586"/>
        <v>131</v>
      </c>
      <c r="E5331" s="2">
        <f t="shared" ca="1" si="587"/>
        <v>6107</v>
      </c>
      <c r="F5331" s="2">
        <f t="shared" ca="1" si="588"/>
        <v>16131</v>
      </c>
      <c r="G5331" s="2">
        <f t="shared" ca="1" si="589"/>
        <v>489</v>
      </c>
    </row>
    <row r="5332" spans="1:7" x14ac:dyDescent="0.3">
      <c r="A5332" s="5" t="str">
        <f t="shared" si="583"/>
        <v>Adidas</v>
      </c>
      <c r="B5332" s="5" t="str">
        <f t="shared" si="585"/>
        <v>Gazelle</v>
      </c>
      <c r="C5332" s="3">
        <f t="shared" si="584"/>
        <v>46013</v>
      </c>
      <c r="D5332" s="4">
        <f t="shared" ca="1" si="586"/>
        <v>63</v>
      </c>
      <c r="E5332" s="2">
        <f t="shared" ca="1" si="587"/>
        <v>5119</v>
      </c>
      <c r="F5332" s="2">
        <f t="shared" ca="1" si="588"/>
        <v>34142</v>
      </c>
      <c r="G5332" s="2">
        <f t="shared" ca="1" si="589"/>
        <v>2591</v>
      </c>
    </row>
    <row r="5333" spans="1:7" x14ac:dyDescent="0.3">
      <c r="A5333" s="5" t="str">
        <f t="shared" si="583"/>
        <v>Puma</v>
      </c>
      <c r="B5333" s="5" t="str">
        <f t="shared" si="585"/>
        <v>Slipstream</v>
      </c>
      <c r="C5333" s="3">
        <f t="shared" si="584"/>
        <v>46013</v>
      </c>
      <c r="D5333" s="4">
        <f t="shared" ca="1" si="586"/>
        <v>23</v>
      </c>
      <c r="E5333" s="2">
        <f t="shared" ca="1" si="587"/>
        <v>10479</v>
      </c>
      <c r="F5333" s="2">
        <f t="shared" ca="1" si="588"/>
        <v>11137</v>
      </c>
      <c r="G5333" s="2">
        <f t="shared" ca="1" si="589"/>
        <v>774</v>
      </c>
    </row>
    <row r="5334" spans="1:7" x14ac:dyDescent="0.3">
      <c r="A5334" s="5" t="str">
        <f t="shared" si="583"/>
        <v>New Balance</v>
      </c>
      <c r="B5334" s="5" t="str">
        <f t="shared" si="585"/>
        <v>550</v>
      </c>
      <c r="C5334" s="3">
        <f t="shared" si="584"/>
        <v>46013</v>
      </c>
      <c r="D5334" s="4">
        <f t="shared" ca="1" si="586"/>
        <v>189</v>
      </c>
      <c r="E5334" s="2">
        <f t="shared" ca="1" si="587"/>
        <v>2579</v>
      </c>
      <c r="F5334" s="2">
        <f t="shared" ca="1" si="588"/>
        <v>15726</v>
      </c>
      <c r="G5334" s="2">
        <f t="shared" ca="1" si="589"/>
        <v>787</v>
      </c>
    </row>
    <row r="5335" spans="1:7" x14ac:dyDescent="0.3">
      <c r="A5335" s="5" t="str">
        <f t="shared" si="583"/>
        <v>Reebok</v>
      </c>
      <c r="B5335" s="5" t="str">
        <f t="shared" si="585"/>
        <v>Classic Leather</v>
      </c>
      <c r="C5335" s="3">
        <f t="shared" si="584"/>
        <v>46013</v>
      </c>
      <c r="D5335" s="4">
        <f t="shared" ca="1" si="586"/>
        <v>153</v>
      </c>
      <c r="E5335" s="2">
        <f t="shared" ca="1" si="587"/>
        <v>10980</v>
      </c>
      <c r="F5335" s="2">
        <f t="shared" ca="1" si="588"/>
        <v>33732</v>
      </c>
      <c r="G5335" s="2">
        <f t="shared" ca="1" si="589"/>
        <v>1639</v>
      </c>
    </row>
    <row r="5336" spans="1:7" x14ac:dyDescent="0.3">
      <c r="A5336" s="5" t="str">
        <f t="shared" si="583"/>
        <v>Nike</v>
      </c>
      <c r="B5336" s="5" t="str">
        <f t="shared" si="585"/>
        <v>Air Force 1</v>
      </c>
      <c r="C5336" s="3">
        <f t="shared" si="584"/>
        <v>46013</v>
      </c>
      <c r="D5336" s="4">
        <f t="shared" ca="1" si="586"/>
        <v>179</v>
      </c>
      <c r="E5336" s="2">
        <f t="shared" ca="1" si="587"/>
        <v>11490</v>
      </c>
      <c r="F5336" s="2">
        <f t="shared" ca="1" si="588"/>
        <v>17490</v>
      </c>
      <c r="G5336" s="2">
        <f t="shared" ca="1" si="589"/>
        <v>1293</v>
      </c>
    </row>
    <row r="5337" spans="1:7" x14ac:dyDescent="0.3">
      <c r="A5337" s="5" t="str">
        <f t="shared" si="583"/>
        <v>Adidas</v>
      </c>
      <c r="B5337" s="5" t="str">
        <f t="shared" si="585"/>
        <v>Superstar</v>
      </c>
      <c r="C5337" s="3">
        <f t="shared" si="584"/>
        <v>46013</v>
      </c>
      <c r="D5337" s="4">
        <f t="shared" ca="1" si="586"/>
        <v>140</v>
      </c>
      <c r="E5337" s="2">
        <f t="shared" ca="1" si="587"/>
        <v>11619</v>
      </c>
      <c r="F5337" s="2">
        <f t="shared" ca="1" si="588"/>
        <v>18598</v>
      </c>
      <c r="G5337" s="2">
        <f t="shared" ca="1" si="589"/>
        <v>546</v>
      </c>
    </row>
    <row r="5338" spans="1:7" x14ac:dyDescent="0.3">
      <c r="A5338" s="5" t="str">
        <f t="shared" si="583"/>
        <v>Puma</v>
      </c>
      <c r="B5338" s="5" t="str">
        <f t="shared" si="585"/>
        <v>Rider Vintage</v>
      </c>
      <c r="C5338" s="3">
        <f t="shared" si="584"/>
        <v>46013</v>
      </c>
      <c r="D5338" s="4">
        <f t="shared" ca="1" si="586"/>
        <v>235</v>
      </c>
      <c r="E5338" s="2">
        <f t="shared" ca="1" si="587"/>
        <v>8830</v>
      </c>
      <c r="F5338" s="2">
        <f t="shared" ca="1" si="588"/>
        <v>19392</v>
      </c>
      <c r="G5338" s="2">
        <f t="shared" ca="1" si="589"/>
        <v>530</v>
      </c>
    </row>
    <row r="5339" spans="1:7" x14ac:dyDescent="0.3">
      <c r="A5339" s="5" t="str">
        <f t="shared" si="583"/>
        <v>New Balance</v>
      </c>
      <c r="B5339" s="5" t="str">
        <f t="shared" si="585"/>
        <v>327</v>
      </c>
      <c r="C5339" s="3">
        <f t="shared" si="584"/>
        <v>46013</v>
      </c>
      <c r="D5339" s="4">
        <f t="shared" ca="1" si="586"/>
        <v>183</v>
      </c>
      <c r="E5339" s="2">
        <f t="shared" ca="1" si="587"/>
        <v>7272</v>
      </c>
      <c r="F5339" s="2">
        <f t="shared" ca="1" si="588"/>
        <v>6845</v>
      </c>
      <c r="G5339" s="2">
        <f t="shared" ca="1" si="589"/>
        <v>378</v>
      </c>
    </row>
    <row r="5340" spans="1:7" x14ac:dyDescent="0.3">
      <c r="A5340" s="5" t="str">
        <f t="shared" si="583"/>
        <v>Reebok</v>
      </c>
      <c r="B5340" s="5" t="str">
        <f t="shared" si="585"/>
        <v>Question Mid</v>
      </c>
      <c r="C5340" s="3">
        <f t="shared" si="584"/>
        <v>46013</v>
      </c>
      <c r="D5340" s="4">
        <f t="shared" ca="1" si="586"/>
        <v>56</v>
      </c>
      <c r="E5340" s="2">
        <f t="shared" ca="1" si="587"/>
        <v>5573</v>
      </c>
      <c r="F5340" s="2">
        <f t="shared" ca="1" si="588"/>
        <v>27511</v>
      </c>
      <c r="G5340" s="2">
        <f t="shared" ca="1" si="589"/>
        <v>1759</v>
      </c>
    </row>
    <row r="5341" spans="1:7" x14ac:dyDescent="0.3">
      <c r="A5341" s="5" t="str">
        <f t="shared" si="583"/>
        <v>Nike</v>
      </c>
      <c r="B5341" s="5" t="str">
        <f t="shared" si="585"/>
        <v>Air Max 270</v>
      </c>
      <c r="C5341" s="3">
        <f t="shared" si="584"/>
        <v>46013</v>
      </c>
      <c r="D5341" s="4">
        <f t="shared" ca="1" si="586"/>
        <v>38</v>
      </c>
      <c r="E5341" s="2">
        <f t="shared" ca="1" si="587"/>
        <v>3293</v>
      </c>
      <c r="F5341" s="2">
        <f t="shared" ca="1" si="588"/>
        <v>14180</v>
      </c>
      <c r="G5341" s="2">
        <f t="shared" ca="1" si="589"/>
        <v>713</v>
      </c>
    </row>
    <row r="5342" spans="1:7" x14ac:dyDescent="0.3">
      <c r="A5342" s="5" t="str">
        <f t="shared" si="583"/>
        <v>Adidas</v>
      </c>
      <c r="B5342" s="5" t="str">
        <f t="shared" si="585"/>
        <v>Stan Smith</v>
      </c>
      <c r="C5342" s="3">
        <f t="shared" si="584"/>
        <v>46014</v>
      </c>
      <c r="D5342" s="4">
        <f t="shared" ca="1" si="586"/>
        <v>89</v>
      </c>
      <c r="E5342" s="2">
        <f t="shared" ca="1" si="587"/>
        <v>7559</v>
      </c>
      <c r="F5342" s="2">
        <f t="shared" ca="1" si="588"/>
        <v>20094</v>
      </c>
      <c r="G5342" s="2">
        <f t="shared" ca="1" si="589"/>
        <v>1530</v>
      </c>
    </row>
    <row r="5343" spans="1:7" x14ac:dyDescent="0.3">
      <c r="A5343" s="5" t="str">
        <f t="shared" si="583"/>
        <v>Puma</v>
      </c>
      <c r="B5343" s="5" t="str">
        <f t="shared" si="585"/>
        <v>Cali Dream</v>
      </c>
      <c r="C5343" s="3">
        <f t="shared" si="584"/>
        <v>46014</v>
      </c>
      <c r="D5343" s="4">
        <f t="shared" ca="1" si="586"/>
        <v>235</v>
      </c>
      <c r="E5343" s="2">
        <f t="shared" ca="1" si="587"/>
        <v>2481</v>
      </c>
      <c r="F5343" s="2">
        <f t="shared" ca="1" si="588"/>
        <v>29311</v>
      </c>
      <c r="G5343" s="2">
        <f t="shared" ca="1" si="589"/>
        <v>2042</v>
      </c>
    </row>
    <row r="5344" spans="1:7" x14ac:dyDescent="0.3">
      <c r="A5344" s="5" t="str">
        <f t="shared" si="583"/>
        <v>New Balance</v>
      </c>
      <c r="B5344" s="5" t="str">
        <f t="shared" si="585"/>
        <v>9060</v>
      </c>
      <c r="C5344" s="3">
        <f t="shared" si="584"/>
        <v>46014</v>
      </c>
      <c r="D5344" s="4">
        <f t="shared" ca="1" si="586"/>
        <v>125</v>
      </c>
      <c r="E5344" s="2">
        <f t="shared" ca="1" si="587"/>
        <v>9449</v>
      </c>
      <c r="F5344" s="2">
        <f t="shared" ca="1" si="588"/>
        <v>5475</v>
      </c>
      <c r="G5344" s="2">
        <f t="shared" ca="1" si="589"/>
        <v>213</v>
      </c>
    </row>
    <row r="5345" spans="1:7" x14ac:dyDescent="0.3">
      <c r="A5345" s="5" t="str">
        <f t="shared" si="583"/>
        <v>Reebok</v>
      </c>
      <c r="B5345" s="5" t="str">
        <f t="shared" si="585"/>
        <v>Zig Kinetica</v>
      </c>
      <c r="C5345" s="3">
        <f t="shared" si="584"/>
        <v>46014</v>
      </c>
      <c r="D5345" s="4">
        <f t="shared" ca="1" si="586"/>
        <v>98</v>
      </c>
      <c r="E5345" s="2">
        <f t="shared" ca="1" si="587"/>
        <v>11622</v>
      </c>
      <c r="F5345" s="2">
        <f t="shared" ca="1" si="588"/>
        <v>10917</v>
      </c>
      <c r="G5345" s="2">
        <f t="shared" ca="1" si="589"/>
        <v>517</v>
      </c>
    </row>
    <row r="5346" spans="1:7" x14ac:dyDescent="0.3">
      <c r="A5346" s="5" t="str">
        <f t="shared" si="583"/>
        <v>Nike</v>
      </c>
      <c r="B5346" s="5" t="str">
        <f t="shared" si="585"/>
        <v>Jordan 1</v>
      </c>
      <c r="C5346" s="3">
        <f t="shared" si="584"/>
        <v>46014</v>
      </c>
      <c r="D5346" s="4">
        <f t="shared" ca="1" si="586"/>
        <v>90</v>
      </c>
      <c r="E5346" s="2">
        <f t="shared" ca="1" si="587"/>
        <v>10199</v>
      </c>
      <c r="F5346" s="2">
        <f t="shared" ca="1" si="588"/>
        <v>32785</v>
      </c>
      <c r="G5346" s="2">
        <f t="shared" ca="1" si="589"/>
        <v>837</v>
      </c>
    </row>
    <row r="5347" spans="1:7" x14ac:dyDescent="0.3">
      <c r="A5347" s="5" t="str">
        <f t="shared" si="583"/>
        <v>Adidas</v>
      </c>
      <c r="B5347" s="5" t="str">
        <f t="shared" si="585"/>
        <v>Ultraboost 23</v>
      </c>
      <c r="C5347" s="3">
        <f t="shared" si="584"/>
        <v>46014</v>
      </c>
      <c r="D5347" s="4">
        <f t="shared" ca="1" si="586"/>
        <v>217</v>
      </c>
      <c r="E5347" s="2">
        <f t="shared" ca="1" si="587"/>
        <v>3327</v>
      </c>
      <c r="F5347" s="2">
        <f t="shared" ca="1" si="588"/>
        <v>31360</v>
      </c>
      <c r="G5347" s="2">
        <f t="shared" ca="1" si="589"/>
        <v>2498</v>
      </c>
    </row>
    <row r="5348" spans="1:7" x14ac:dyDescent="0.3">
      <c r="A5348" s="5" t="str">
        <f t="shared" si="583"/>
        <v>Puma</v>
      </c>
      <c r="B5348" s="5" t="str">
        <f t="shared" si="585"/>
        <v>RS-X</v>
      </c>
      <c r="C5348" s="3">
        <f t="shared" si="584"/>
        <v>46014</v>
      </c>
      <c r="D5348" s="4">
        <f t="shared" ca="1" si="586"/>
        <v>188</v>
      </c>
      <c r="E5348" s="2">
        <f t="shared" ca="1" si="587"/>
        <v>2934</v>
      </c>
      <c r="F5348" s="2">
        <f t="shared" ca="1" si="588"/>
        <v>23163</v>
      </c>
      <c r="G5348" s="2">
        <f t="shared" ca="1" si="589"/>
        <v>572</v>
      </c>
    </row>
    <row r="5349" spans="1:7" x14ac:dyDescent="0.3">
      <c r="A5349" s="5" t="str">
        <f t="shared" si="583"/>
        <v>New Balance</v>
      </c>
      <c r="B5349" s="5" t="str">
        <f t="shared" si="585"/>
        <v>2002R</v>
      </c>
      <c r="C5349" s="3">
        <f t="shared" si="584"/>
        <v>46014</v>
      </c>
      <c r="D5349" s="4">
        <f t="shared" ca="1" si="586"/>
        <v>206</v>
      </c>
      <c r="E5349" s="2">
        <f t="shared" ca="1" si="587"/>
        <v>10064</v>
      </c>
      <c r="F5349" s="2">
        <f t="shared" ca="1" si="588"/>
        <v>15421</v>
      </c>
      <c r="G5349" s="2">
        <f t="shared" ca="1" si="589"/>
        <v>861</v>
      </c>
    </row>
    <row r="5350" spans="1:7" x14ac:dyDescent="0.3">
      <c r="A5350" s="5" t="str">
        <f t="shared" si="583"/>
        <v>Reebok</v>
      </c>
      <c r="B5350" s="5" t="str">
        <f t="shared" si="585"/>
        <v>Instapump Fury</v>
      </c>
      <c r="C5350" s="3">
        <f t="shared" si="584"/>
        <v>46014</v>
      </c>
      <c r="D5350" s="4">
        <f t="shared" ca="1" si="586"/>
        <v>244</v>
      </c>
      <c r="E5350" s="2">
        <f t="shared" ca="1" si="587"/>
        <v>10118</v>
      </c>
      <c r="F5350" s="2">
        <f t="shared" ca="1" si="588"/>
        <v>28821</v>
      </c>
      <c r="G5350" s="2">
        <f t="shared" ca="1" si="589"/>
        <v>1259</v>
      </c>
    </row>
    <row r="5351" spans="1:7" x14ac:dyDescent="0.3">
      <c r="A5351" s="5" t="str">
        <f t="shared" si="583"/>
        <v>Nike</v>
      </c>
      <c r="B5351" s="5" t="str">
        <f t="shared" si="585"/>
        <v>Cortez</v>
      </c>
      <c r="C5351" s="3">
        <f t="shared" si="584"/>
        <v>46014</v>
      </c>
      <c r="D5351" s="4">
        <f t="shared" ca="1" si="586"/>
        <v>43</v>
      </c>
      <c r="E5351" s="2">
        <f t="shared" ca="1" si="587"/>
        <v>10764</v>
      </c>
      <c r="F5351" s="2">
        <f t="shared" ca="1" si="588"/>
        <v>21712</v>
      </c>
      <c r="G5351" s="2">
        <f t="shared" ca="1" si="589"/>
        <v>1700</v>
      </c>
    </row>
    <row r="5352" spans="1:7" x14ac:dyDescent="0.3">
      <c r="A5352" s="5" t="str">
        <f t="shared" si="583"/>
        <v>Adidas</v>
      </c>
      <c r="B5352" s="5" t="str">
        <f t="shared" si="585"/>
        <v>NMD S1</v>
      </c>
      <c r="C5352" s="3">
        <f t="shared" si="584"/>
        <v>46014</v>
      </c>
      <c r="D5352" s="4">
        <f t="shared" ca="1" si="586"/>
        <v>55</v>
      </c>
      <c r="E5352" s="2">
        <f t="shared" ca="1" si="587"/>
        <v>8436</v>
      </c>
      <c r="F5352" s="2">
        <f t="shared" ca="1" si="588"/>
        <v>9052</v>
      </c>
      <c r="G5352" s="2">
        <f t="shared" ca="1" si="589"/>
        <v>422</v>
      </c>
    </row>
    <row r="5353" spans="1:7" x14ac:dyDescent="0.3">
      <c r="A5353" s="5" t="str">
        <f t="shared" si="583"/>
        <v>Puma</v>
      </c>
      <c r="B5353" s="5" t="str">
        <f t="shared" si="585"/>
        <v>Suede Classic</v>
      </c>
      <c r="C5353" s="3">
        <f t="shared" si="584"/>
        <v>46014</v>
      </c>
      <c r="D5353" s="4">
        <f t="shared" ca="1" si="586"/>
        <v>117</v>
      </c>
      <c r="E5353" s="2">
        <f t="shared" ca="1" si="587"/>
        <v>1629</v>
      </c>
      <c r="F5353" s="2">
        <f t="shared" ca="1" si="588"/>
        <v>33555</v>
      </c>
      <c r="G5353" s="2">
        <f t="shared" ca="1" si="589"/>
        <v>2133</v>
      </c>
    </row>
    <row r="5354" spans="1:7" x14ac:dyDescent="0.3">
      <c r="A5354" s="5" t="str">
        <f t="shared" si="583"/>
        <v>New Balance</v>
      </c>
      <c r="B5354" s="5" t="str">
        <f t="shared" si="585"/>
        <v>990v6</v>
      </c>
      <c r="C5354" s="3">
        <f t="shared" si="584"/>
        <v>46014</v>
      </c>
      <c r="D5354" s="4">
        <f t="shared" ca="1" si="586"/>
        <v>38</v>
      </c>
      <c r="E5354" s="2">
        <f t="shared" ca="1" si="587"/>
        <v>5225</v>
      </c>
      <c r="F5354" s="2">
        <f t="shared" ca="1" si="588"/>
        <v>28643</v>
      </c>
      <c r="G5354" s="2">
        <f t="shared" ca="1" si="589"/>
        <v>1410</v>
      </c>
    </row>
    <row r="5355" spans="1:7" x14ac:dyDescent="0.3">
      <c r="A5355" s="5" t="str">
        <f t="shared" ref="A5355:A5418" si="590">CHOOSE(MOD(ROW(A5354),5)+1,"Nike","Adidas","Puma","New Balance","Reebok")</f>
        <v>Reebok</v>
      </c>
      <c r="B5355" s="5" t="str">
        <f t="shared" si="585"/>
        <v>Nano X3</v>
      </c>
      <c r="C5355" s="3">
        <f t="shared" ref="C5355:C5418" si="591">DATE(2025,1,1)+INT((ROW(A5355)-2)/15)</f>
        <v>46014</v>
      </c>
      <c r="D5355" s="4">
        <f t="shared" ca="1" si="586"/>
        <v>20</v>
      </c>
      <c r="E5355" s="2">
        <f t="shared" ca="1" si="587"/>
        <v>7109</v>
      </c>
      <c r="F5355" s="2">
        <f t="shared" ca="1" si="588"/>
        <v>11240</v>
      </c>
      <c r="G5355" s="2">
        <f t="shared" ca="1" si="589"/>
        <v>457</v>
      </c>
    </row>
    <row r="5356" spans="1:7" x14ac:dyDescent="0.3">
      <c r="A5356" s="5" t="str">
        <f t="shared" si="590"/>
        <v>Nike</v>
      </c>
      <c r="B5356" s="5" t="str">
        <f t="shared" si="585"/>
        <v>Vaporfly 3</v>
      </c>
      <c r="C5356" s="3">
        <f t="shared" si="591"/>
        <v>46014</v>
      </c>
      <c r="D5356" s="4">
        <f t="shared" ca="1" si="586"/>
        <v>120</v>
      </c>
      <c r="E5356" s="2">
        <f t="shared" ca="1" si="587"/>
        <v>1786</v>
      </c>
      <c r="F5356" s="2">
        <f t="shared" ca="1" si="588"/>
        <v>14464</v>
      </c>
      <c r="G5356" s="2">
        <f t="shared" ca="1" si="589"/>
        <v>341</v>
      </c>
    </row>
    <row r="5357" spans="1:7" x14ac:dyDescent="0.3">
      <c r="A5357" s="5" t="str">
        <f t="shared" si="590"/>
        <v>Adidas</v>
      </c>
      <c r="B5357" s="5" t="str">
        <f t="shared" si="585"/>
        <v>Samba</v>
      </c>
      <c r="C5357" s="3">
        <f t="shared" si="591"/>
        <v>46015</v>
      </c>
      <c r="D5357" s="4">
        <f t="shared" ca="1" si="586"/>
        <v>237</v>
      </c>
      <c r="E5357" s="2">
        <f t="shared" ca="1" si="587"/>
        <v>9111</v>
      </c>
      <c r="F5357" s="2">
        <f t="shared" ca="1" si="588"/>
        <v>7821</v>
      </c>
      <c r="G5357" s="2">
        <f t="shared" ca="1" si="589"/>
        <v>378</v>
      </c>
    </row>
    <row r="5358" spans="1:7" x14ac:dyDescent="0.3">
      <c r="A5358" s="5" t="str">
        <f t="shared" si="590"/>
        <v>Puma</v>
      </c>
      <c r="B5358" s="5" t="str">
        <f t="shared" si="585"/>
        <v>Mayze</v>
      </c>
      <c r="C5358" s="3">
        <f t="shared" si="591"/>
        <v>46015</v>
      </c>
      <c r="D5358" s="4">
        <f t="shared" ca="1" si="586"/>
        <v>44</v>
      </c>
      <c r="E5358" s="2">
        <f t="shared" ca="1" si="587"/>
        <v>6622</v>
      </c>
      <c r="F5358" s="2">
        <f t="shared" ca="1" si="588"/>
        <v>20103</v>
      </c>
      <c r="G5358" s="2">
        <f t="shared" ca="1" si="589"/>
        <v>698</v>
      </c>
    </row>
    <row r="5359" spans="1:7" x14ac:dyDescent="0.3">
      <c r="A5359" s="5" t="str">
        <f t="shared" si="590"/>
        <v>New Balance</v>
      </c>
      <c r="B5359" s="5" t="str">
        <f t="shared" si="585"/>
        <v>574 Core</v>
      </c>
      <c r="C5359" s="3">
        <f t="shared" si="591"/>
        <v>46015</v>
      </c>
      <c r="D5359" s="4">
        <f t="shared" ca="1" si="586"/>
        <v>248</v>
      </c>
      <c r="E5359" s="2">
        <f t="shared" ca="1" si="587"/>
        <v>2280</v>
      </c>
      <c r="F5359" s="2">
        <f t="shared" ca="1" si="588"/>
        <v>10108</v>
      </c>
      <c r="G5359" s="2">
        <f t="shared" ca="1" si="589"/>
        <v>253</v>
      </c>
    </row>
    <row r="5360" spans="1:7" x14ac:dyDescent="0.3">
      <c r="A5360" s="5" t="str">
        <f t="shared" si="590"/>
        <v>Reebok</v>
      </c>
      <c r="B5360" s="5" t="str">
        <f t="shared" si="585"/>
        <v>Club C 85</v>
      </c>
      <c r="C5360" s="3">
        <f t="shared" si="591"/>
        <v>46015</v>
      </c>
      <c r="D5360" s="4">
        <f t="shared" ca="1" si="586"/>
        <v>153</v>
      </c>
      <c r="E5360" s="2">
        <f t="shared" ca="1" si="587"/>
        <v>1646</v>
      </c>
      <c r="F5360" s="2">
        <f t="shared" ca="1" si="588"/>
        <v>22056</v>
      </c>
      <c r="G5360" s="2">
        <f t="shared" ca="1" si="589"/>
        <v>927</v>
      </c>
    </row>
    <row r="5361" spans="1:7" x14ac:dyDescent="0.3">
      <c r="A5361" s="5" t="str">
        <f t="shared" si="590"/>
        <v>Nike</v>
      </c>
      <c r="B5361" s="5" t="str">
        <f t="shared" si="585"/>
        <v>Pegasus 40</v>
      </c>
      <c r="C5361" s="3">
        <f t="shared" si="591"/>
        <v>46015</v>
      </c>
      <c r="D5361" s="4">
        <f t="shared" ca="1" si="586"/>
        <v>47</v>
      </c>
      <c r="E5361" s="2">
        <f t="shared" ca="1" si="587"/>
        <v>3925</v>
      </c>
      <c r="F5361" s="2">
        <f t="shared" ca="1" si="588"/>
        <v>19007</v>
      </c>
      <c r="G5361" s="2">
        <f t="shared" ca="1" si="589"/>
        <v>871</v>
      </c>
    </row>
    <row r="5362" spans="1:7" x14ac:dyDescent="0.3">
      <c r="A5362" s="5" t="str">
        <f t="shared" si="590"/>
        <v>Adidas</v>
      </c>
      <c r="B5362" s="5" t="str">
        <f t="shared" si="585"/>
        <v>Gazelle</v>
      </c>
      <c r="C5362" s="3">
        <f t="shared" si="591"/>
        <v>46015</v>
      </c>
      <c r="D5362" s="4">
        <f t="shared" ca="1" si="586"/>
        <v>165</v>
      </c>
      <c r="E5362" s="2">
        <f t="shared" ca="1" si="587"/>
        <v>8777</v>
      </c>
      <c r="F5362" s="2">
        <f t="shared" ca="1" si="588"/>
        <v>25253</v>
      </c>
      <c r="G5362" s="2">
        <f t="shared" ca="1" si="589"/>
        <v>1777</v>
      </c>
    </row>
    <row r="5363" spans="1:7" x14ac:dyDescent="0.3">
      <c r="A5363" s="5" t="str">
        <f t="shared" si="590"/>
        <v>Puma</v>
      </c>
      <c r="B5363" s="5" t="str">
        <f t="shared" si="585"/>
        <v>Slipstream</v>
      </c>
      <c r="C5363" s="3">
        <f t="shared" si="591"/>
        <v>46015</v>
      </c>
      <c r="D5363" s="4">
        <f t="shared" ca="1" si="586"/>
        <v>117</v>
      </c>
      <c r="E5363" s="2">
        <f t="shared" ca="1" si="587"/>
        <v>5749</v>
      </c>
      <c r="F5363" s="2">
        <f t="shared" ca="1" si="588"/>
        <v>27297</v>
      </c>
      <c r="G5363" s="2">
        <f t="shared" ca="1" si="589"/>
        <v>837</v>
      </c>
    </row>
    <row r="5364" spans="1:7" x14ac:dyDescent="0.3">
      <c r="A5364" s="5" t="str">
        <f t="shared" si="590"/>
        <v>New Balance</v>
      </c>
      <c r="B5364" s="5" t="str">
        <f t="shared" si="585"/>
        <v>550</v>
      </c>
      <c r="C5364" s="3">
        <f t="shared" si="591"/>
        <v>46015</v>
      </c>
      <c r="D5364" s="4">
        <f t="shared" ca="1" si="586"/>
        <v>112</v>
      </c>
      <c r="E5364" s="2">
        <f t="shared" ca="1" si="587"/>
        <v>6143</v>
      </c>
      <c r="F5364" s="2">
        <f t="shared" ca="1" si="588"/>
        <v>13291</v>
      </c>
      <c r="G5364" s="2">
        <f t="shared" ca="1" si="589"/>
        <v>981</v>
      </c>
    </row>
    <row r="5365" spans="1:7" x14ac:dyDescent="0.3">
      <c r="A5365" s="5" t="str">
        <f t="shared" si="590"/>
        <v>Reebok</v>
      </c>
      <c r="B5365" s="5" t="str">
        <f t="shared" si="585"/>
        <v>Classic Leather</v>
      </c>
      <c r="C5365" s="3">
        <f t="shared" si="591"/>
        <v>46015</v>
      </c>
      <c r="D5365" s="4">
        <f t="shared" ca="1" si="586"/>
        <v>189</v>
      </c>
      <c r="E5365" s="2">
        <f t="shared" ca="1" si="587"/>
        <v>9427</v>
      </c>
      <c r="F5365" s="2">
        <f t="shared" ca="1" si="588"/>
        <v>8282</v>
      </c>
      <c r="G5365" s="2">
        <f t="shared" ca="1" si="589"/>
        <v>459</v>
      </c>
    </row>
    <row r="5366" spans="1:7" x14ac:dyDescent="0.3">
      <c r="A5366" s="5" t="str">
        <f t="shared" si="590"/>
        <v>Nike</v>
      </c>
      <c r="B5366" s="5" t="str">
        <f t="shared" si="585"/>
        <v>Air Force 1</v>
      </c>
      <c r="C5366" s="3">
        <f t="shared" si="591"/>
        <v>46015</v>
      </c>
      <c r="D5366" s="4">
        <f t="shared" ca="1" si="586"/>
        <v>71</v>
      </c>
      <c r="E5366" s="2">
        <f t="shared" ca="1" si="587"/>
        <v>1567</v>
      </c>
      <c r="F5366" s="2">
        <f t="shared" ca="1" si="588"/>
        <v>34940</v>
      </c>
      <c r="G5366" s="2">
        <f t="shared" ca="1" si="589"/>
        <v>2032</v>
      </c>
    </row>
    <row r="5367" spans="1:7" x14ac:dyDescent="0.3">
      <c r="A5367" s="5" t="str">
        <f t="shared" si="590"/>
        <v>Adidas</v>
      </c>
      <c r="B5367" s="5" t="str">
        <f t="shared" si="585"/>
        <v>Superstar</v>
      </c>
      <c r="C5367" s="3">
        <f t="shared" si="591"/>
        <v>46015</v>
      </c>
      <c r="D5367" s="4">
        <f t="shared" ca="1" si="586"/>
        <v>243</v>
      </c>
      <c r="E5367" s="2">
        <f t="shared" ca="1" si="587"/>
        <v>9176</v>
      </c>
      <c r="F5367" s="2">
        <f t="shared" ca="1" si="588"/>
        <v>32878</v>
      </c>
      <c r="G5367" s="2">
        <f t="shared" ca="1" si="589"/>
        <v>1435</v>
      </c>
    </row>
    <row r="5368" spans="1:7" x14ac:dyDescent="0.3">
      <c r="A5368" s="5" t="str">
        <f t="shared" si="590"/>
        <v>Puma</v>
      </c>
      <c r="B5368" s="5" t="str">
        <f t="shared" si="585"/>
        <v>Rider Vintage</v>
      </c>
      <c r="C5368" s="3">
        <f t="shared" si="591"/>
        <v>46015</v>
      </c>
      <c r="D5368" s="4">
        <f t="shared" ca="1" si="586"/>
        <v>80</v>
      </c>
      <c r="E5368" s="2">
        <f t="shared" ca="1" si="587"/>
        <v>7515</v>
      </c>
      <c r="F5368" s="2">
        <f t="shared" ca="1" si="588"/>
        <v>24736</v>
      </c>
      <c r="G5368" s="2">
        <f t="shared" ca="1" si="589"/>
        <v>1723</v>
      </c>
    </row>
    <row r="5369" spans="1:7" x14ac:dyDescent="0.3">
      <c r="A5369" s="5" t="str">
        <f t="shared" si="590"/>
        <v>New Balance</v>
      </c>
      <c r="B5369" s="5" t="str">
        <f t="shared" si="585"/>
        <v>327</v>
      </c>
      <c r="C5369" s="3">
        <f t="shared" si="591"/>
        <v>46015</v>
      </c>
      <c r="D5369" s="4">
        <f t="shared" ca="1" si="586"/>
        <v>57</v>
      </c>
      <c r="E5369" s="2">
        <f t="shared" ca="1" si="587"/>
        <v>7478</v>
      </c>
      <c r="F5369" s="2">
        <f t="shared" ca="1" si="588"/>
        <v>33020</v>
      </c>
      <c r="G5369" s="2">
        <f t="shared" ca="1" si="589"/>
        <v>2299</v>
      </c>
    </row>
    <row r="5370" spans="1:7" x14ac:dyDescent="0.3">
      <c r="A5370" s="5" t="str">
        <f t="shared" si="590"/>
        <v>Reebok</v>
      </c>
      <c r="B5370" s="5" t="str">
        <f t="shared" si="585"/>
        <v>Question Mid</v>
      </c>
      <c r="C5370" s="3">
        <f t="shared" si="591"/>
        <v>46015</v>
      </c>
      <c r="D5370" s="4">
        <f t="shared" ca="1" si="586"/>
        <v>113</v>
      </c>
      <c r="E5370" s="2">
        <f t="shared" ca="1" si="587"/>
        <v>1801</v>
      </c>
      <c r="F5370" s="2">
        <f t="shared" ca="1" si="588"/>
        <v>30748</v>
      </c>
      <c r="G5370" s="2">
        <f t="shared" ca="1" si="589"/>
        <v>2147</v>
      </c>
    </row>
    <row r="5371" spans="1:7" x14ac:dyDescent="0.3">
      <c r="A5371" s="5" t="str">
        <f t="shared" si="590"/>
        <v>Nike</v>
      </c>
      <c r="B5371" s="5" t="str">
        <f t="shared" si="585"/>
        <v>Air Max 270</v>
      </c>
      <c r="C5371" s="3">
        <f t="shared" si="591"/>
        <v>46015</v>
      </c>
      <c r="D5371" s="4">
        <f t="shared" ca="1" si="586"/>
        <v>65</v>
      </c>
      <c r="E5371" s="2">
        <f t="shared" ca="1" si="587"/>
        <v>10700</v>
      </c>
      <c r="F5371" s="2">
        <f t="shared" ca="1" si="588"/>
        <v>8470</v>
      </c>
      <c r="G5371" s="2">
        <f t="shared" ca="1" si="589"/>
        <v>423</v>
      </c>
    </row>
    <row r="5372" spans="1:7" x14ac:dyDescent="0.3">
      <c r="A5372" s="5" t="str">
        <f t="shared" si="590"/>
        <v>Adidas</v>
      </c>
      <c r="B5372" s="5" t="str">
        <f t="shared" si="585"/>
        <v>Stan Smith</v>
      </c>
      <c r="C5372" s="3">
        <f t="shared" si="591"/>
        <v>46016</v>
      </c>
      <c r="D5372" s="4">
        <f t="shared" ca="1" si="586"/>
        <v>50</v>
      </c>
      <c r="E5372" s="2">
        <f t="shared" ca="1" si="587"/>
        <v>11652</v>
      </c>
      <c r="F5372" s="2">
        <f t="shared" ca="1" si="588"/>
        <v>27367</v>
      </c>
      <c r="G5372" s="2">
        <f t="shared" ca="1" si="589"/>
        <v>1298</v>
      </c>
    </row>
    <row r="5373" spans="1:7" x14ac:dyDescent="0.3">
      <c r="A5373" s="5" t="str">
        <f t="shared" si="590"/>
        <v>Puma</v>
      </c>
      <c r="B5373" s="5" t="str">
        <f t="shared" si="585"/>
        <v>Cali Dream</v>
      </c>
      <c r="C5373" s="3">
        <f t="shared" si="591"/>
        <v>46016</v>
      </c>
      <c r="D5373" s="4">
        <f t="shared" ca="1" si="586"/>
        <v>84</v>
      </c>
      <c r="E5373" s="2">
        <f t="shared" ca="1" si="587"/>
        <v>1690</v>
      </c>
      <c r="F5373" s="2">
        <f t="shared" ca="1" si="588"/>
        <v>5942</v>
      </c>
      <c r="G5373" s="2">
        <f t="shared" ca="1" si="589"/>
        <v>300</v>
      </c>
    </row>
    <row r="5374" spans="1:7" x14ac:dyDescent="0.3">
      <c r="A5374" s="5" t="str">
        <f t="shared" si="590"/>
        <v>New Balance</v>
      </c>
      <c r="B5374" s="5" t="str">
        <f t="shared" si="585"/>
        <v>9060</v>
      </c>
      <c r="C5374" s="3">
        <f t="shared" si="591"/>
        <v>46016</v>
      </c>
      <c r="D5374" s="4">
        <f t="shared" ca="1" si="586"/>
        <v>20</v>
      </c>
      <c r="E5374" s="2">
        <f t="shared" ca="1" si="587"/>
        <v>3623</v>
      </c>
      <c r="F5374" s="2">
        <f t="shared" ca="1" si="588"/>
        <v>12561</v>
      </c>
      <c r="G5374" s="2">
        <f t="shared" ca="1" si="589"/>
        <v>863</v>
      </c>
    </row>
    <row r="5375" spans="1:7" x14ac:dyDescent="0.3">
      <c r="A5375" s="5" t="str">
        <f t="shared" si="590"/>
        <v>Reebok</v>
      </c>
      <c r="B5375" s="5" t="str">
        <f t="shared" si="585"/>
        <v>Zig Kinetica</v>
      </c>
      <c r="C5375" s="3">
        <f t="shared" si="591"/>
        <v>46016</v>
      </c>
      <c r="D5375" s="4">
        <f t="shared" ca="1" si="586"/>
        <v>174</v>
      </c>
      <c r="E5375" s="2">
        <f t="shared" ca="1" si="587"/>
        <v>8567</v>
      </c>
      <c r="F5375" s="2">
        <f t="shared" ca="1" si="588"/>
        <v>5158</v>
      </c>
      <c r="G5375" s="2">
        <f t="shared" ca="1" si="589"/>
        <v>239</v>
      </c>
    </row>
    <row r="5376" spans="1:7" x14ac:dyDescent="0.3">
      <c r="A5376" s="5" t="str">
        <f t="shared" si="590"/>
        <v>Nike</v>
      </c>
      <c r="B5376" s="5" t="str">
        <f t="shared" si="585"/>
        <v>Jordan 1</v>
      </c>
      <c r="C5376" s="3">
        <f t="shared" si="591"/>
        <v>46016</v>
      </c>
      <c r="D5376" s="4">
        <f t="shared" ca="1" si="586"/>
        <v>225</v>
      </c>
      <c r="E5376" s="2">
        <f t="shared" ca="1" si="587"/>
        <v>5697</v>
      </c>
      <c r="F5376" s="2">
        <f t="shared" ca="1" si="588"/>
        <v>18733</v>
      </c>
      <c r="G5376" s="2">
        <f t="shared" ca="1" si="589"/>
        <v>394</v>
      </c>
    </row>
    <row r="5377" spans="1:7" x14ac:dyDescent="0.3">
      <c r="A5377" s="5" t="str">
        <f t="shared" si="590"/>
        <v>Adidas</v>
      </c>
      <c r="B5377" s="5" t="str">
        <f t="shared" si="585"/>
        <v>Ultraboost 23</v>
      </c>
      <c r="C5377" s="3">
        <f t="shared" si="591"/>
        <v>46016</v>
      </c>
      <c r="D5377" s="4">
        <f t="shared" ca="1" si="586"/>
        <v>200</v>
      </c>
      <c r="E5377" s="2">
        <f t="shared" ca="1" si="587"/>
        <v>3227</v>
      </c>
      <c r="F5377" s="2">
        <f t="shared" ca="1" si="588"/>
        <v>29777</v>
      </c>
      <c r="G5377" s="2">
        <f t="shared" ca="1" si="589"/>
        <v>651</v>
      </c>
    </row>
    <row r="5378" spans="1:7" x14ac:dyDescent="0.3">
      <c r="A5378" s="5" t="str">
        <f t="shared" si="590"/>
        <v>Puma</v>
      </c>
      <c r="B5378" s="5" t="str">
        <f t="shared" si="585"/>
        <v>RS-X</v>
      </c>
      <c r="C5378" s="3">
        <f t="shared" si="591"/>
        <v>46016</v>
      </c>
      <c r="D5378" s="4">
        <f t="shared" ca="1" si="586"/>
        <v>70</v>
      </c>
      <c r="E5378" s="2">
        <f t="shared" ca="1" si="587"/>
        <v>3176</v>
      </c>
      <c r="F5378" s="2">
        <f t="shared" ca="1" si="588"/>
        <v>32709</v>
      </c>
      <c r="G5378" s="2">
        <f t="shared" ca="1" si="589"/>
        <v>1250</v>
      </c>
    </row>
    <row r="5379" spans="1:7" x14ac:dyDescent="0.3">
      <c r="A5379" s="5" t="str">
        <f t="shared" si="590"/>
        <v>New Balance</v>
      </c>
      <c r="B5379" s="5" t="str">
        <f t="shared" ref="B5379:B5442" si="592">IF(A5379="Nike",CHOOSE(MOD(ROW(A5378),6)+1,"Air Max 270","Air Force 1","Pegasus 40","Vaporfly 3","Cortez","Jordan 1"),
 IF(A5379="Adidas",CHOOSE(MOD(ROW(A5378),6)+1,"Ultraboost 23","Stan Smith","Superstar","Gazelle","Samba","NMD S1"),
 IF(A5379="Puma",CHOOSE(MOD(ROW(A5378),6)+1,"Suede Classic","RS-X","Cali Dream","Rider Vintage","Slipstream","Mayze"),
 IF(A5379="New Balance",CHOOSE(MOD(ROW(A5378),6)+1,"574 Core","990v6","2002R","9060","327","550"),
 IF(A5379="Reebok",CHOOSE(MOD(ROW(A5378),6)+1,"Classic Leather","Club C 85","Nano X3","Instapump Fury","Zig Kinetica","Question Mid"),"")))))</f>
        <v>2002R</v>
      </c>
      <c r="C5379" s="3">
        <f t="shared" si="591"/>
        <v>46016</v>
      </c>
      <c r="D5379" s="4">
        <f t="shared" ref="D5379:D5442" ca="1" si="593">RANDBETWEEN(20,250)</f>
        <v>160</v>
      </c>
      <c r="E5379" s="2">
        <f t="shared" ref="E5379:E5442" ca="1" si="594">ROUND(RANDBETWEEN(1500,12000)+(RANDBETWEEN(-200,200)),2)</f>
        <v>5363</v>
      </c>
      <c r="F5379" s="2">
        <f t="shared" ref="F5379:F5442" ca="1" si="595">RANDBETWEEN(5000,35000)</f>
        <v>11101</v>
      </c>
      <c r="G5379" s="2">
        <f t="shared" ref="G5379:G5442" ca="1" si="596">RANDBETWEEN(ROUND(F5379*0.02,0),ROUND(F5379*0.08,0))</f>
        <v>223</v>
      </c>
    </row>
    <row r="5380" spans="1:7" x14ac:dyDescent="0.3">
      <c r="A5380" s="5" t="str">
        <f t="shared" si="590"/>
        <v>Reebok</v>
      </c>
      <c r="B5380" s="5" t="str">
        <f t="shared" si="592"/>
        <v>Instapump Fury</v>
      </c>
      <c r="C5380" s="3">
        <f t="shared" si="591"/>
        <v>46016</v>
      </c>
      <c r="D5380" s="4">
        <f t="shared" ca="1" si="593"/>
        <v>188</v>
      </c>
      <c r="E5380" s="2">
        <f t="shared" ca="1" si="594"/>
        <v>6152</v>
      </c>
      <c r="F5380" s="2">
        <f t="shared" ca="1" si="595"/>
        <v>34216</v>
      </c>
      <c r="G5380" s="2">
        <f t="shared" ca="1" si="596"/>
        <v>2194</v>
      </c>
    </row>
    <row r="5381" spans="1:7" x14ac:dyDescent="0.3">
      <c r="A5381" s="5" t="str">
        <f t="shared" si="590"/>
        <v>Nike</v>
      </c>
      <c r="B5381" s="5" t="str">
        <f t="shared" si="592"/>
        <v>Cortez</v>
      </c>
      <c r="C5381" s="3">
        <f t="shared" si="591"/>
        <v>46016</v>
      </c>
      <c r="D5381" s="4">
        <f t="shared" ca="1" si="593"/>
        <v>73</v>
      </c>
      <c r="E5381" s="2">
        <f t="shared" ca="1" si="594"/>
        <v>3199</v>
      </c>
      <c r="F5381" s="2">
        <f t="shared" ca="1" si="595"/>
        <v>30562</v>
      </c>
      <c r="G5381" s="2">
        <f t="shared" ca="1" si="596"/>
        <v>1724</v>
      </c>
    </row>
    <row r="5382" spans="1:7" x14ac:dyDescent="0.3">
      <c r="A5382" s="5" t="str">
        <f t="shared" si="590"/>
        <v>Adidas</v>
      </c>
      <c r="B5382" s="5" t="str">
        <f t="shared" si="592"/>
        <v>NMD S1</v>
      </c>
      <c r="C5382" s="3">
        <f t="shared" si="591"/>
        <v>46016</v>
      </c>
      <c r="D5382" s="4">
        <f t="shared" ca="1" si="593"/>
        <v>125</v>
      </c>
      <c r="E5382" s="2">
        <f t="shared" ca="1" si="594"/>
        <v>11433</v>
      </c>
      <c r="F5382" s="2">
        <f t="shared" ca="1" si="595"/>
        <v>9473</v>
      </c>
      <c r="G5382" s="2">
        <f t="shared" ca="1" si="596"/>
        <v>471</v>
      </c>
    </row>
    <row r="5383" spans="1:7" x14ac:dyDescent="0.3">
      <c r="A5383" s="5" t="str">
        <f t="shared" si="590"/>
        <v>Puma</v>
      </c>
      <c r="B5383" s="5" t="str">
        <f t="shared" si="592"/>
        <v>Suede Classic</v>
      </c>
      <c r="C5383" s="3">
        <f t="shared" si="591"/>
        <v>46016</v>
      </c>
      <c r="D5383" s="4">
        <f t="shared" ca="1" si="593"/>
        <v>192</v>
      </c>
      <c r="E5383" s="2">
        <f t="shared" ca="1" si="594"/>
        <v>5845</v>
      </c>
      <c r="F5383" s="2">
        <f t="shared" ca="1" si="595"/>
        <v>10180</v>
      </c>
      <c r="G5383" s="2">
        <f t="shared" ca="1" si="596"/>
        <v>336</v>
      </c>
    </row>
    <row r="5384" spans="1:7" x14ac:dyDescent="0.3">
      <c r="A5384" s="5" t="str">
        <f t="shared" si="590"/>
        <v>New Balance</v>
      </c>
      <c r="B5384" s="5" t="str">
        <f t="shared" si="592"/>
        <v>990v6</v>
      </c>
      <c r="C5384" s="3">
        <f t="shared" si="591"/>
        <v>46016</v>
      </c>
      <c r="D5384" s="4">
        <f t="shared" ca="1" si="593"/>
        <v>134</v>
      </c>
      <c r="E5384" s="2">
        <f t="shared" ca="1" si="594"/>
        <v>5168</v>
      </c>
      <c r="F5384" s="2">
        <f t="shared" ca="1" si="595"/>
        <v>16978</v>
      </c>
      <c r="G5384" s="2">
        <f t="shared" ca="1" si="596"/>
        <v>604</v>
      </c>
    </row>
    <row r="5385" spans="1:7" x14ac:dyDescent="0.3">
      <c r="A5385" s="5" t="str">
        <f t="shared" si="590"/>
        <v>Reebok</v>
      </c>
      <c r="B5385" s="5" t="str">
        <f t="shared" si="592"/>
        <v>Nano X3</v>
      </c>
      <c r="C5385" s="3">
        <f t="shared" si="591"/>
        <v>46016</v>
      </c>
      <c r="D5385" s="4">
        <f t="shared" ca="1" si="593"/>
        <v>145</v>
      </c>
      <c r="E5385" s="2">
        <f t="shared" ca="1" si="594"/>
        <v>5376</v>
      </c>
      <c r="F5385" s="2">
        <f t="shared" ca="1" si="595"/>
        <v>27090</v>
      </c>
      <c r="G5385" s="2">
        <f t="shared" ca="1" si="596"/>
        <v>1405</v>
      </c>
    </row>
    <row r="5386" spans="1:7" x14ac:dyDescent="0.3">
      <c r="A5386" s="5" t="str">
        <f t="shared" si="590"/>
        <v>Nike</v>
      </c>
      <c r="B5386" s="5" t="str">
        <f t="shared" si="592"/>
        <v>Vaporfly 3</v>
      </c>
      <c r="C5386" s="3">
        <f t="shared" si="591"/>
        <v>46016</v>
      </c>
      <c r="D5386" s="4">
        <f t="shared" ca="1" si="593"/>
        <v>160</v>
      </c>
      <c r="E5386" s="2">
        <f t="shared" ca="1" si="594"/>
        <v>1441</v>
      </c>
      <c r="F5386" s="2">
        <f t="shared" ca="1" si="595"/>
        <v>22505</v>
      </c>
      <c r="G5386" s="2">
        <f t="shared" ca="1" si="596"/>
        <v>494</v>
      </c>
    </row>
    <row r="5387" spans="1:7" x14ac:dyDescent="0.3">
      <c r="A5387" s="5" t="str">
        <f t="shared" si="590"/>
        <v>Adidas</v>
      </c>
      <c r="B5387" s="5" t="str">
        <f t="shared" si="592"/>
        <v>Samba</v>
      </c>
      <c r="C5387" s="3">
        <f t="shared" si="591"/>
        <v>46017</v>
      </c>
      <c r="D5387" s="4">
        <f t="shared" ca="1" si="593"/>
        <v>222</v>
      </c>
      <c r="E5387" s="2">
        <f t="shared" ca="1" si="594"/>
        <v>1828</v>
      </c>
      <c r="F5387" s="2">
        <f t="shared" ca="1" si="595"/>
        <v>20968</v>
      </c>
      <c r="G5387" s="2">
        <f t="shared" ca="1" si="596"/>
        <v>1057</v>
      </c>
    </row>
    <row r="5388" spans="1:7" x14ac:dyDescent="0.3">
      <c r="A5388" s="5" t="str">
        <f t="shared" si="590"/>
        <v>Puma</v>
      </c>
      <c r="B5388" s="5" t="str">
        <f t="shared" si="592"/>
        <v>Mayze</v>
      </c>
      <c r="C5388" s="3">
        <f t="shared" si="591"/>
        <v>46017</v>
      </c>
      <c r="D5388" s="4">
        <f t="shared" ca="1" si="593"/>
        <v>221</v>
      </c>
      <c r="E5388" s="2">
        <f t="shared" ca="1" si="594"/>
        <v>6930</v>
      </c>
      <c r="F5388" s="2">
        <f t="shared" ca="1" si="595"/>
        <v>16151</v>
      </c>
      <c r="G5388" s="2">
        <f t="shared" ca="1" si="596"/>
        <v>788</v>
      </c>
    </row>
    <row r="5389" spans="1:7" x14ac:dyDescent="0.3">
      <c r="A5389" s="5" t="str">
        <f t="shared" si="590"/>
        <v>New Balance</v>
      </c>
      <c r="B5389" s="5" t="str">
        <f t="shared" si="592"/>
        <v>574 Core</v>
      </c>
      <c r="C5389" s="3">
        <f t="shared" si="591"/>
        <v>46017</v>
      </c>
      <c r="D5389" s="4">
        <f t="shared" ca="1" si="593"/>
        <v>27</v>
      </c>
      <c r="E5389" s="2">
        <f t="shared" ca="1" si="594"/>
        <v>6972</v>
      </c>
      <c r="F5389" s="2">
        <f t="shared" ca="1" si="595"/>
        <v>29807</v>
      </c>
      <c r="G5389" s="2">
        <f t="shared" ca="1" si="596"/>
        <v>2143</v>
      </c>
    </row>
    <row r="5390" spans="1:7" x14ac:dyDescent="0.3">
      <c r="A5390" s="5" t="str">
        <f t="shared" si="590"/>
        <v>Reebok</v>
      </c>
      <c r="B5390" s="5" t="str">
        <f t="shared" si="592"/>
        <v>Club C 85</v>
      </c>
      <c r="C5390" s="3">
        <f t="shared" si="591"/>
        <v>46017</v>
      </c>
      <c r="D5390" s="4">
        <f t="shared" ca="1" si="593"/>
        <v>46</v>
      </c>
      <c r="E5390" s="2">
        <f t="shared" ca="1" si="594"/>
        <v>9812</v>
      </c>
      <c r="F5390" s="2">
        <f t="shared" ca="1" si="595"/>
        <v>9261</v>
      </c>
      <c r="G5390" s="2">
        <f t="shared" ca="1" si="596"/>
        <v>292</v>
      </c>
    </row>
    <row r="5391" spans="1:7" x14ac:dyDescent="0.3">
      <c r="A5391" s="5" t="str">
        <f t="shared" si="590"/>
        <v>Nike</v>
      </c>
      <c r="B5391" s="5" t="str">
        <f t="shared" si="592"/>
        <v>Pegasus 40</v>
      </c>
      <c r="C5391" s="3">
        <f t="shared" si="591"/>
        <v>46017</v>
      </c>
      <c r="D5391" s="4">
        <f t="shared" ca="1" si="593"/>
        <v>218</v>
      </c>
      <c r="E5391" s="2">
        <f t="shared" ca="1" si="594"/>
        <v>1737</v>
      </c>
      <c r="F5391" s="2">
        <f t="shared" ca="1" si="595"/>
        <v>18435</v>
      </c>
      <c r="G5391" s="2">
        <f t="shared" ca="1" si="596"/>
        <v>394</v>
      </c>
    </row>
    <row r="5392" spans="1:7" x14ac:dyDescent="0.3">
      <c r="A5392" s="5" t="str">
        <f t="shared" si="590"/>
        <v>Adidas</v>
      </c>
      <c r="B5392" s="5" t="str">
        <f t="shared" si="592"/>
        <v>Gazelle</v>
      </c>
      <c r="C5392" s="3">
        <f t="shared" si="591"/>
        <v>46017</v>
      </c>
      <c r="D5392" s="4">
        <f t="shared" ca="1" si="593"/>
        <v>64</v>
      </c>
      <c r="E5392" s="2">
        <f t="shared" ca="1" si="594"/>
        <v>2774</v>
      </c>
      <c r="F5392" s="2">
        <f t="shared" ca="1" si="595"/>
        <v>16684</v>
      </c>
      <c r="G5392" s="2">
        <f t="shared" ca="1" si="596"/>
        <v>487</v>
      </c>
    </row>
    <row r="5393" spans="1:7" x14ac:dyDescent="0.3">
      <c r="A5393" s="5" t="str">
        <f t="shared" si="590"/>
        <v>Puma</v>
      </c>
      <c r="B5393" s="5" t="str">
        <f t="shared" si="592"/>
        <v>Slipstream</v>
      </c>
      <c r="C5393" s="3">
        <f t="shared" si="591"/>
        <v>46017</v>
      </c>
      <c r="D5393" s="4">
        <f t="shared" ca="1" si="593"/>
        <v>29</v>
      </c>
      <c r="E5393" s="2">
        <f t="shared" ca="1" si="594"/>
        <v>8934</v>
      </c>
      <c r="F5393" s="2">
        <f t="shared" ca="1" si="595"/>
        <v>29508</v>
      </c>
      <c r="G5393" s="2">
        <f t="shared" ca="1" si="596"/>
        <v>2247</v>
      </c>
    </row>
    <row r="5394" spans="1:7" x14ac:dyDescent="0.3">
      <c r="A5394" s="5" t="str">
        <f t="shared" si="590"/>
        <v>New Balance</v>
      </c>
      <c r="B5394" s="5" t="str">
        <f t="shared" si="592"/>
        <v>550</v>
      </c>
      <c r="C5394" s="3">
        <f t="shared" si="591"/>
        <v>46017</v>
      </c>
      <c r="D5394" s="4">
        <f t="shared" ca="1" si="593"/>
        <v>28</v>
      </c>
      <c r="E5394" s="2">
        <f t="shared" ca="1" si="594"/>
        <v>3447</v>
      </c>
      <c r="F5394" s="2">
        <f t="shared" ca="1" si="595"/>
        <v>29856</v>
      </c>
      <c r="G5394" s="2">
        <f t="shared" ca="1" si="596"/>
        <v>1427</v>
      </c>
    </row>
    <row r="5395" spans="1:7" x14ac:dyDescent="0.3">
      <c r="A5395" s="5" t="str">
        <f t="shared" si="590"/>
        <v>Reebok</v>
      </c>
      <c r="B5395" s="5" t="str">
        <f t="shared" si="592"/>
        <v>Classic Leather</v>
      </c>
      <c r="C5395" s="3">
        <f t="shared" si="591"/>
        <v>46017</v>
      </c>
      <c r="D5395" s="4">
        <f t="shared" ca="1" si="593"/>
        <v>231</v>
      </c>
      <c r="E5395" s="2">
        <f t="shared" ca="1" si="594"/>
        <v>3264</v>
      </c>
      <c r="F5395" s="2">
        <f t="shared" ca="1" si="595"/>
        <v>32820</v>
      </c>
      <c r="G5395" s="2">
        <f t="shared" ca="1" si="596"/>
        <v>1743</v>
      </c>
    </row>
    <row r="5396" spans="1:7" x14ac:dyDescent="0.3">
      <c r="A5396" s="5" t="str">
        <f t="shared" si="590"/>
        <v>Nike</v>
      </c>
      <c r="B5396" s="5" t="str">
        <f t="shared" si="592"/>
        <v>Air Force 1</v>
      </c>
      <c r="C5396" s="3">
        <f t="shared" si="591"/>
        <v>46017</v>
      </c>
      <c r="D5396" s="4">
        <f t="shared" ca="1" si="593"/>
        <v>163</v>
      </c>
      <c r="E5396" s="2">
        <f t="shared" ca="1" si="594"/>
        <v>11014</v>
      </c>
      <c r="F5396" s="2">
        <f t="shared" ca="1" si="595"/>
        <v>7121</v>
      </c>
      <c r="G5396" s="2">
        <f t="shared" ca="1" si="596"/>
        <v>163</v>
      </c>
    </row>
    <row r="5397" spans="1:7" x14ac:dyDescent="0.3">
      <c r="A5397" s="5" t="str">
        <f t="shared" si="590"/>
        <v>Adidas</v>
      </c>
      <c r="B5397" s="5" t="str">
        <f t="shared" si="592"/>
        <v>Superstar</v>
      </c>
      <c r="C5397" s="3">
        <f t="shared" si="591"/>
        <v>46017</v>
      </c>
      <c r="D5397" s="4">
        <f t="shared" ca="1" si="593"/>
        <v>161</v>
      </c>
      <c r="E5397" s="2">
        <f t="shared" ca="1" si="594"/>
        <v>11246</v>
      </c>
      <c r="F5397" s="2">
        <f t="shared" ca="1" si="595"/>
        <v>12437</v>
      </c>
      <c r="G5397" s="2">
        <f t="shared" ca="1" si="596"/>
        <v>613</v>
      </c>
    </row>
    <row r="5398" spans="1:7" x14ac:dyDescent="0.3">
      <c r="A5398" s="5" t="str">
        <f t="shared" si="590"/>
        <v>Puma</v>
      </c>
      <c r="B5398" s="5" t="str">
        <f t="shared" si="592"/>
        <v>Rider Vintage</v>
      </c>
      <c r="C5398" s="3">
        <f t="shared" si="591"/>
        <v>46017</v>
      </c>
      <c r="D5398" s="4">
        <f t="shared" ca="1" si="593"/>
        <v>78</v>
      </c>
      <c r="E5398" s="2">
        <f t="shared" ca="1" si="594"/>
        <v>4731</v>
      </c>
      <c r="F5398" s="2">
        <f t="shared" ca="1" si="595"/>
        <v>8454</v>
      </c>
      <c r="G5398" s="2">
        <f t="shared" ca="1" si="596"/>
        <v>225</v>
      </c>
    </row>
    <row r="5399" spans="1:7" x14ac:dyDescent="0.3">
      <c r="A5399" s="5" t="str">
        <f t="shared" si="590"/>
        <v>New Balance</v>
      </c>
      <c r="B5399" s="5" t="str">
        <f t="shared" si="592"/>
        <v>327</v>
      </c>
      <c r="C5399" s="3">
        <f t="shared" si="591"/>
        <v>46017</v>
      </c>
      <c r="D5399" s="4">
        <f t="shared" ca="1" si="593"/>
        <v>198</v>
      </c>
      <c r="E5399" s="2">
        <f t="shared" ca="1" si="594"/>
        <v>3473</v>
      </c>
      <c r="F5399" s="2">
        <f t="shared" ca="1" si="595"/>
        <v>18097</v>
      </c>
      <c r="G5399" s="2">
        <f t="shared" ca="1" si="596"/>
        <v>611</v>
      </c>
    </row>
    <row r="5400" spans="1:7" x14ac:dyDescent="0.3">
      <c r="A5400" s="5" t="str">
        <f t="shared" si="590"/>
        <v>Reebok</v>
      </c>
      <c r="B5400" s="5" t="str">
        <f t="shared" si="592"/>
        <v>Question Mid</v>
      </c>
      <c r="C5400" s="3">
        <f t="shared" si="591"/>
        <v>46017</v>
      </c>
      <c r="D5400" s="4">
        <f t="shared" ca="1" si="593"/>
        <v>74</v>
      </c>
      <c r="E5400" s="2">
        <f t="shared" ca="1" si="594"/>
        <v>10083</v>
      </c>
      <c r="F5400" s="2">
        <f t="shared" ca="1" si="595"/>
        <v>16938</v>
      </c>
      <c r="G5400" s="2">
        <f t="shared" ca="1" si="596"/>
        <v>1001</v>
      </c>
    </row>
    <row r="5401" spans="1:7" x14ac:dyDescent="0.3">
      <c r="A5401" s="5" t="str">
        <f t="shared" si="590"/>
        <v>Nike</v>
      </c>
      <c r="B5401" s="5" t="str">
        <f t="shared" si="592"/>
        <v>Air Max 270</v>
      </c>
      <c r="C5401" s="3">
        <f t="shared" si="591"/>
        <v>46017</v>
      </c>
      <c r="D5401" s="4">
        <f t="shared" ca="1" si="593"/>
        <v>85</v>
      </c>
      <c r="E5401" s="2">
        <f t="shared" ca="1" si="594"/>
        <v>11872</v>
      </c>
      <c r="F5401" s="2">
        <f t="shared" ca="1" si="595"/>
        <v>23480</v>
      </c>
      <c r="G5401" s="2">
        <f t="shared" ca="1" si="596"/>
        <v>797</v>
      </c>
    </row>
    <row r="5402" spans="1:7" x14ac:dyDescent="0.3">
      <c r="A5402" s="5" t="str">
        <f t="shared" si="590"/>
        <v>Adidas</v>
      </c>
      <c r="B5402" s="5" t="str">
        <f t="shared" si="592"/>
        <v>Stan Smith</v>
      </c>
      <c r="C5402" s="3">
        <f t="shared" si="591"/>
        <v>46018</v>
      </c>
      <c r="D5402" s="4">
        <f t="shared" ca="1" si="593"/>
        <v>143</v>
      </c>
      <c r="E5402" s="2">
        <f t="shared" ca="1" si="594"/>
        <v>8338</v>
      </c>
      <c r="F5402" s="2">
        <f t="shared" ca="1" si="595"/>
        <v>9254</v>
      </c>
      <c r="G5402" s="2">
        <f t="shared" ca="1" si="596"/>
        <v>677</v>
      </c>
    </row>
    <row r="5403" spans="1:7" x14ac:dyDescent="0.3">
      <c r="A5403" s="5" t="str">
        <f t="shared" si="590"/>
        <v>Puma</v>
      </c>
      <c r="B5403" s="5" t="str">
        <f t="shared" si="592"/>
        <v>Cali Dream</v>
      </c>
      <c r="C5403" s="3">
        <f t="shared" si="591"/>
        <v>46018</v>
      </c>
      <c r="D5403" s="4">
        <f t="shared" ca="1" si="593"/>
        <v>223</v>
      </c>
      <c r="E5403" s="2">
        <f t="shared" ca="1" si="594"/>
        <v>3335</v>
      </c>
      <c r="F5403" s="2">
        <f t="shared" ca="1" si="595"/>
        <v>23588</v>
      </c>
      <c r="G5403" s="2">
        <f t="shared" ca="1" si="596"/>
        <v>510</v>
      </c>
    </row>
    <row r="5404" spans="1:7" x14ac:dyDescent="0.3">
      <c r="A5404" s="5" t="str">
        <f t="shared" si="590"/>
        <v>New Balance</v>
      </c>
      <c r="B5404" s="5" t="str">
        <f t="shared" si="592"/>
        <v>9060</v>
      </c>
      <c r="C5404" s="3">
        <f t="shared" si="591"/>
        <v>46018</v>
      </c>
      <c r="D5404" s="4">
        <f t="shared" ca="1" si="593"/>
        <v>185</v>
      </c>
      <c r="E5404" s="2">
        <f t="shared" ca="1" si="594"/>
        <v>3862</v>
      </c>
      <c r="F5404" s="2">
        <f t="shared" ca="1" si="595"/>
        <v>8629</v>
      </c>
      <c r="G5404" s="2">
        <f t="shared" ca="1" si="596"/>
        <v>651</v>
      </c>
    </row>
    <row r="5405" spans="1:7" x14ac:dyDescent="0.3">
      <c r="A5405" s="5" t="str">
        <f t="shared" si="590"/>
        <v>Reebok</v>
      </c>
      <c r="B5405" s="5" t="str">
        <f t="shared" si="592"/>
        <v>Zig Kinetica</v>
      </c>
      <c r="C5405" s="3">
        <f t="shared" si="591"/>
        <v>46018</v>
      </c>
      <c r="D5405" s="4">
        <f t="shared" ca="1" si="593"/>
        <v>42</v>
      </c>
      <c r="E5405" s="2">
        <f t="shared" ca="1" si="594"/>
        <v>5126</v>
      </c>
      <c r="F5405" s="2">
        <f t="shared" ca="1" si="595"/>
        <v>20444</v>
      </c>
      <c r="G5405" s="2">
        <f t="shared" ca="1" si="596"/>
        <v>1140</v>
      </c>
    </row>
    <row r="5406" spans="1:7" x14ac:dyDescent="0.3">
      <c r="A5406" s="5" t="str">
        <f t="shared" si="590"/>
        <v>Nike</v>
      </c>
      <c r="B5406" s="5" t="str">
        <f t="shared" si="592"/>
        <v>Jordan 1</v>
      </c>
      <c r="C5406" s="3">
        <f t="shared" si="591"/>
        <v>46018</v>
      </c>
      <c r="D5406" s="4">
        <f t="shared" ca="1" si="593"/>
        <v>134</v>
      </c>
      <c r="E5406" s="2">
        <f t="shared" ca="1" si="594"/>
        <v>5001</v>
      </c>
      <c r="F5406" s="2">
        <f t="shared" ca="1" si="595"/>
        <v>8112</v>
      </c>
      <c r="G5406" s="2">
        <f t="shared" ca="1" si="596"/>
        <v>538</v>
      </c>
    </row>
    <row r="5407" spans="1:7" x14ac:dyDescent="0.3">
      <c r="A5407" s="5" t="str">
        <f t="shared" si="590"/>
        <v>Adidas</v>
      </c>
      <c r="B5407" s="5" t="str">
        <f t="shared" si="592"/>
        <v>Ultraboost 23</v>
      </c>
      <c r="C5407" s="3">
        <f t="shared" si="591"/>
        <v>46018</v>
      </c>
      <c r="D5407" s="4">
        <f t="shared" ca="1" si="593"/>
        <v>226</v>
      </c>
      <c r="E5407" s="2">
        <f t="shared" ca="1" si="594"/>
        <v>4332</v>
      </c>
      <c r="F5407" s="2">
        <f t="shared" ca="1" si="595"/>
        <v>26357</v>
      </c>
      <c r="G5407" s="2">
        <f t="shared" ca="1" si="596"/>
        <v>1109</v>
      </c>
    </row>
    <row r="5408" spans="1:7" x14ac:dyDescent="0.3">
      <c r="A5408" s="5" t="str">
        <f t="shared" si="590"/>
        <v>Puma</v>
      </c>
      <c r="B5408" s="5" t="str">
        <f t="shared" si="592"/>
        <v>RS-X</v>
      </c>
      <c r="C5408" s="3">
        <f t="shared" si="591"/>
        <v>46018</v>
      </c>
      <c r="D5408" s="4">
        <f t="shared" ca="1" si="593"/>
        <v>140</v>
      </c>
      <c r="E5408" s="2">
        <f t="shared" ca="1" si="594"/>
        <v>2360</v>
      </c>
      <c r="F5408" s="2">
        <f t="shared" ca="1" si="595"/>
        <v>12138</v>
      </c>
      <c r="G5408" s="2">
        <f t="shared" ca="1" si="596"/>
        <v>315</v>
      </c>
    </row>
    <row r="5409" spans="1:7" x14ac:dyDescent="0.3">
      <c r="A5409" s="5" t="str">
        <f t="shared" si="590"/>
        <v>New Balance</v>
      </c>
      <c r="B5409" s="5" t="str">
        <f t="shared" si="592"/>
        <v>2002R</v>
      </c>
      <c r="C5409" s="3">
        <f t="shared" si="591"/>
        <v>46018</v>
      </c>
      <c r="D5409" s="4">
        <f t="shared" ca="1" si="593"/>
        <v>119</v>
      </c>
      <c r="E5409" s="2">
        <f t="shared" ca="1" si="594"/>
        <v>7090</v>
      </c>
      <c r="F5409" s="2">
        <f t="shared" ca="1" si="595"/>
        <v>18199</v>
      </c>
      <c r="G5409" s="2">
        <f t="shared" ca="1" si="596"/>
        <v>1144</v>
      </c>
    </row>
    <row r="5410" spans="1:7" x14ac:dyDescent="0.3">
      <c r="A5410" s="5" t="str">
        <f t="shared" si="590"/>
        <v>Reebok</v>
      </c>
      <c r="B5410" s="5" t="str">
        <f t="shared" si="592"/>
        <v>Instapump Fury</v>
      </c>
      <c r="C5410" s="3">
        <f t="shared" si="591"/>
        <v>46018</v>
      </c>
      <c r="D5410" s="4">
        <f t="shared" ca="1" si="593"/>
        <v>83</v>
      </c>
      <c r="E5410" s="2">
        <f t="shared" ca="1" si="594"/>
        <v>11825</v>
      </c>
      <c r="F5410" s="2">
        <f t="shared" ca="1" si="595"/>
        <v>9178</v>
      </c>
      <c r="G5410" s="2">
        <f t="shared" ca="1" si="596"/>
        <v>689</v>
      </c>
    </row>
    <row r="5411" spans="1:7" x14ac:dyDescent="0.3">
      <c r="A5411" s="5" t="str">
        <f t="shared" si="590"/>
        <v>Nike</v>
      </c>
      <c r="B5411" s="5" t="str">
        <f t="shared" si="592"/>
        <v>Cortez</v>
      </c>
      <c r="C5411" s="3">
        <f t="shared" si="591"/>
        <v>46018</v>
      </c>
      <c r="D5411" s="4">
        <f t="shared" ca="1" si="593"/>
        <v>161</v>
      </c>
      <c r="E5411" s="2">
        <f t="shared" ca="1" si="594"/>
        <v>5063</v>
      </c>
      <c r="F5411" s="2">
        <f t="shared" ca="1" si="595"/>
        <v>15480</v>
      </c>
      <c r="G5411" s="2">
        <f t="shared" ca="1" si="596"/>
        <v>503</v>
      </c>
    </row>
    <row r="5412" spans="1:7" x14ac:dyDescent="0.3">
      <c r="A5412" s="5" t="str">
        <f t="shared" si="590"/>
        <v>Adidas</v>
      </c>
      <c r="B5412" s="5" t="str">
        <f t="shared" si="592"/>
        <v>NMD S1</v>
      </c>
      <c r="C5412" s="3">
        <f t="shared" si="591"/>
        <v>46018</v>
      </c>
      <c r="D5412" s="4">
        <f t="shared" ca="1" si="593"/>
        <v>128</v>
      </c>
      <c r="E5412" s="2">
        <f t="shared" ca="1" si="594"/>
        <v>10687</v>
      </c>
      <c r="F5412" s="2">
        <f t="shared" ca="1" si="595"/>
        <v>14299</v>
      </c>
      <c r="G5412" s="2">
        <f t="shared" ca="1" si="596"/>
        <v>589</v>
      </c>
    </row>
    <row r="5413" spans="1:7" x14ac:dyDescent="0.3">
      <c r="A5413" s="5" t="str">
        <f t="shared" si="590"/>
        <v>Puma</v>
      </c>
      <c r="B5413" s="5" t="str">
        <f t="shared" si="592"/>
        <v>Suede Classic</v>
      </c>
      <c r="C5413" s="3">
        <f t="shared" si="591"/>
        <v>46018</v>
      </c>
      <c r="D5413" s="4">
        <f t="shared" ca="1" si="593"/>
        <v>176</v>
      </c>
      <c r="E5413" s="2">
        <f t="shared" ca="1" si="594"/>
        <v>6555</v>
      </c>
      <c r="F5413" s="2">
        <f t="shared" ca="1" si="595"/>
        <v>12351</v>
      </c>
      <c r="G5413" s="2">
        <f t="shared" ca="1" si="596"/>
        <v>422</v>
      </c>
    </row>
    <row r="5414" spans="1:7" x14ac:dyDescent="0.3">
      <c r="A5414" s="5" t="str">
        <f t="shared" si="590"/>
        <v>New Balance</v>
      </c>
      <c r="B5414" s="5" t="str">
        <f t="shared" si="592"/>
        <v>990v6</v>
      </c>
      <c r="C5414" s="3">
        <f t="shared" si="591"/>
        <v>46018</v>
      </c>
      <c r="D5414" s="4">
        <f t="shared" ca="1" si="593"/>
        <v>100</v>
      </c>
      <c r="E5414" s="2">
        <f t="shared" ca="1" si="594"/>
        <v>7493</v>
      </c>
      <c r="F5414" s="2">
        <f t="shared" ca="1" si="595"/>
        <v>10104</v>
      </c>
      <c r="G5414" s="2">
        <f t="shared" ca="1" si="596"/>
        <v>619</v>
      </c>
    </row>
    <row r="5415" spans="1:7" x14ac:dyDescent="0.3">
      <c r="A5415" s="5" t="str">
        <f t="shared" si="590"/>
        <v>Reebok</v>
      </c>
      <c r="B5415" s="5" t="str">
        <f t="shared" si="592"/>
        <v>Nano X3</v>
      </c>
      <c r="C5415" s="3">
        <f t="shared" si="591"/>
        <v>46018</v>
      </c>
      <c r="D5415" s="4">
        <f t="shared" ca="1" si="593"/>
        <v>247</v>
      </c>
      <c r="E5415" s="2">
        <f t="shared" ca="1" si="594"/>
        <v>4725</v>
      </c>
      <c r="F5415" s="2">
        <f t="shared" ca="1" si="595"/>
        <v>34773</v>
      </c>
      <c r="G5415" s="2">
        <f t="shared" ca="1" si="596"/>
        <v>2606</v>
      </c>
    </row>
    <row r="5416" spans="1:7" x14ac:dyDescent="0.3">
      <c r="A5416" s="5" t="str">
        <f t="shared" si="590"/>
        <v>Nike</v>
      </c>
      <c r="B5416" s="5" t="str">
        <f t="shared" si="592"/>
        <v>Vaporfly 3</v>
      </c>
      <c r="C5416" s="3">
        <f t="shared" si="591"/>
        <v>46018</v>
      </c>
      <c r="D5416" s="4">
        <f t="shared" ca="1" si="593"/>
        <v>100</v>
      </c>
      <c r="E5416" s="2">
        <f t="shared" ca="1" si="594"/>
        <v>6943</v>
      </c>
      <c r="F5416" s="2">
        <f t="shared" ca="1" si="595"/>
        <v>31664</v>
      </c>
      <c r="G5416" s="2">
        <f t="shared" ca="1" si="596"/>
        <v>2482</v>
      </c>
    </row>
    <row r="5417" spans="1:7" x14ac:dyDescent="0.3">
      <c r="A5417" s="5" t="str">
        <f t="shared" si="590"/>
        <v>Adidas</v>
      </c>
      <c r="B5417" s="5" t="str">
        <f t="shared" si="592"/>
        <v>Samba</v>
      </c>
      <c r="C5417" s="3">
        <f t="shared" si="591"/>
        <v>46019</v>
      </c>
      <c r="D5417" s="4">
        <f t="shared" ca="1" si="593"/>
        <v>139</v>
      </c>
      <c r="E5417" s="2">
        <f t="shared" ca="1" si="594"/>
        <v>9684</v>
      </c>
      <c r="F5417" s="2">
        <f t="shared" ca="1" si="595"/>
        <v>29184</v>
      </c>
      <c r="G5417" s="2">
        <f t="shared" ca="1" si="596"/>
        <v>1130</v>
      </c>
    </row>
    <row r="5418" spans="1:7" x14ac:dyDescent="0.3">
      <c r="A5418" s="5" t="str">
        <f t="shared" si="590"/>
        <v>Puma</v>
      </c>
      <c r="B5418" s="5" t="str">
        <f t="shared" si="592"/>
        <v>Mayze</v>
      </c>
      <c r="C5418" s="3">
        <f t="shared" si="591"/>
        <v>46019</v>
      </c>
      <c r="D5418" s="4">
        <f t="shared" ca="1" si="593"/>
        <v>228</v>
      </c>
      <c r="E5418" s="2">
        <f t="shared" ca="1" si="594"/>
        <v>8402</v>
      </c>
      <c r="F5418" s="2">
        <f t="shared" ca="1" si="595"/>
        <v>33379</v>
      </c>
      <c r="G5418" s="2">
        <f t="shared" ca="1" si="596"/>
        <v>777</v>
      </c>
    </row>
    <row r="5419" spans="1:7" x14ac:dyDescent="0.3">
      <c r="A5419" s="5" t="str">
        <f t="shared" ref="A5419:A5482" si="597">CHOOSE(MOD(ROW(A5418),5)+1,"Nike","Adidas","Puma","New Balance","Reebok")</f>
        <v>New Balance</v>
      </c>
      <c r="B5419" s="5" t="str">
        <f t="shared" si="592"/>
        <v>574 Core</v>
      </c>
      <c r="C5419" s="3">
        <f t="shared" ref="C5419:C5482" si="598">DATE(2025,1,1)+INT((ROW(A5419)-2)/15)</f>
        <v>46019</v>
      </c>
      <c r="D5419" s="4">
        <f t="shared" ca="1" si="593"/>
        <v>190</v>
      </c>
      <c r="E5419" s="2">
        <f t="shared" ca="1" si="594"/>
        <v>5280</v>
      </c>
      <c r="F5419" s="2">
        <f t="shared" ca="1" si="595"/>
        <v>24518</v>
      </c>
      <c r="G5419" s="2">
        <f t="shared" ca="1" si="596"/>
        <v>595</v>
      </c>
    </row>
    <row r="5420" spans="1:7" x14ac:dyDescent="0.3">
      <c r="A5420" s="5" t="str">
        <f t="shared" si="597"/>
        <v>Reebok</v>
      </c>
      <c r="B5420" s="5" t="str">
        <f t="shared" si="592"/>
        <v>Club C 85</v>
      </c>
      <c r="C5420" s="3">
        <f t="shared" si="598"/>
        <v>46019</v>
      </c>
      <c r="D5420" s="4">
        <f t="shared" ca="1" si="593"/>
        <v>65</v>
      </c>
      <c r="E5420" s="2">
        <f t="shared" ca="1" si="594"/>
        <v>2013</v>
      </c>
      <c r="F5420" s="2">
        <f t="shared" ca="1" si="595"/>
        <v>31716</v>
      </c>
      <c r="G5420" s="2">
        <f t="shared" ca="1" si="596"/>
        <v>2113</v>
      </c>
    </row>
    <row r="5421" spans="1:7" x14ac:dyDescent="0.3">
      <c r="A5421" s="5" t="str">
        <f t="shared" si="597"/>
        <v>Nike</v>
      </c>
      <c r="B5421" s="5" t="str">
        <f t="shared" si="592"/>
        <v>Pegasus 40</v>
      </c>
      <c r="C5421" s="3">
        <f t="shared" si="598"/>
        <v>46019</v>
      </c>
      <c r="D5421" s="4">
        <f t="shared" ca="1" si="593"/>
        <v>175</v>
      </c>
      <c r="E5421" s="2">
        <f t="shared" ca="1" si="594"/>
        <v>9082</v>
      </c>
      <c r="F5421" s="2">
        <f t="shared" ca="1" si="595"/>
        <v>9867</v>
      </c>
      <c r="G5421" s="2">
        <f t="shared" ca="1" si="596"/>
        <v>281</v>
      </c>
    </row>
    <row r="5422" spans="1:7" x14ac:dyDescent="0.3">
      <c r="A5422" s="5" t="str">
        <f t="shared" si="597"/>
        <v>Adidas</v>
      </c>
      <c r="B5422" s="5" t="str">
        <f t="shared" si="592"/>
        <v>Gazelle</v>
      </c>
      <c r="C5422" s="3">
        <f t="shared" si="598"/>
        <v>46019</v>
      </c>
      <c r="D5422" s="4">
        <f t="shared" ca="1" si="593"/>
        <v>120</v>
      </c>
      <c r="E5422" s="2">
        <f t="shared" ca="1" si="594"/>
        <v>4851</v>
      </c>
      <c r="F5422" s="2">
        <f t="shared" ca="1" si="595"/>
        <v>20780</v>
      </c>
      <c r="G5422" s="2">
        <f t="shared" ca="1" si="596"/>
        <v>728</v>
      </c>
    </row>
    <row r="5423" spans="1:7" x14ac:dyDescent="0.3">
      <c r="A5423" s="5" t="str">
        <f t="shared" si="597"/>
        <v>Puma</v>
      </c>
      <c r="B5423" s="5" t="str">
        <f t="shared" si="592"/>
        <v>Slipstream</v>
      </c>
      <c r="C5423" s="3">
        <f t="shared" si="598"/>
        <v>46019</v>
      </c>
      <c r="D5423" s="4">
        <f t="shared" ca="1" si="593"/>
        <v>162</v>
      </c>
      <c r="E5423" s="2">
        <f t="shared" ca="1" si="594"/>
        <v>2656</v>
      </c>
      <c r="F5423" s="2">
        <f t="shared" ca="1" si="595"/>
        <v>22832</v>
      </c>
      <c r="G5423" s="2">
        <f t="shared" ca="1" si="596"/>
        <v>1462</v>
      </c>
    </row>
    <row r="5424" spans="1:7" x14ac:dyDescent="0.3">
      <c r="A5424" s="5" t="str">
        <f t="shared" si="597"/>
        <v>New Balance</v>
      </c>
      <c r="B5424" s="5" t="str">
        <f t="shared" si="592"/>
        <v>550</v>
      </c>
      <c r="C5424" s="3">
        <f t="shared" si="598"/>
        <v>46019</v>
      </c>
      <c r="D5424" s="4">
        <f t="shared" ca="1" si="593"/>
        <v>83</v>
      </c>
      <c r="E5424" s="2">
        <f t="shared" ca="1" si="594"/>
        <v>11871</v>
      </c>
      <c r="F5424" s="2">
        <f t="shared" ca="1" si="595"/>
        <v>15788</v>
      </c>
      <c r="G5424" s="2">
        <f t="shared" ca="1" si="596"/>
        <v>522</v>
      </c>
    </row>
    <row r="5425" spans="1:7" x14ac:dyDescent="0.3">
      <c r="A5425" s="5" t="str">
        <f t="shared" si="597"/>
        <v>Reebok</v>
      </c>
      <c r="B5425" s="5" t="str">
        <f t="shared" si="592"/>
        <v>Classic Leather</v>
      </c>
      <c r="C5425" s="3">
        <f t="shared" si="598"/>
        <v>46019</v>
      </c>
      <c r="D5425" s="4">
        <f t="shared" ca="1" si="593"/>
        <v>146</v>
      </c>
      <c r="E5425" s="2">
        <f t="shared" ca="1" si="594"/>
        <v>10113</v>
      </c>
      <c r="F5425" s="2">
        <f t="shared" ca="1" si="595"/>
        <v>5326</v>
      </c>
      <c r="G5425" s="2">
        <f t="shared" ca="1" si="596"/>
        <v>156</v>
      </c>
    </row>
    <row r="5426" spans="1:7" x14ac:dyDescent="0.3">
      <c r="A5426" s="5" t="str">
        <f t="shared" si="597"/>
        <v>Nike</v>
      </c>
      <c r="B5426" s="5" t="str">
        <f t="shared" si="592"/>
        <v>Air Force 1</v>
      </c>
      <c r="C5426" s="3">
        <f t="shared" si="598"/>
        <v>46019</v>
      </c>
      <c r="D5426" s="4">
        <f t="shared" ca="1" si="593"/>
        <v>163</v>
      </c>
      <c r="E5426" s="2">
        <f t="shared" ca="1" si="594"/>
        <v>11914</v>
      </c>
      <c r="F5426" s="2">
        <f t="shared" ca="1" si="595"/>
        <v>19870</v>
      </c>
      <c r="G5426" s="2">
        <f t="shared" ca="1" si="596"/>
        <v>561</v>
      </c>
    </row>
    <row r="5427" spans="1:7" x14ac:dyDescent="0.3">
      <c r="A5427" s="5" t="str">
        <f t="shared" si="597"/>
        <v>Adidas</v>
      </c>
      <c r="B5427" s="5" t="str">
        <f t="shared" si="592"/>
        <v>Superstar</v>
      </c>
      <c r="C5427" s="3">
        <f t="shared" si="598"/>
        <v>46019</v>
      </c>
      <c r="D5427" s="4">
        <f t="shared" ca="1" si="593"/>
        <v>158</v>
      </c>
      <c r="E5427" s="2">
        <f t="shared" ca="1" si="594"/>
        <v>9800</v>
      </c>
      <c r="F5427" s="2">
        <f t="shared" ca="1" si="595"/>
        <v>34962</v>
      </c>
      <c r="G5427" s="2">
        <f t="shared" ca="1" si="596"/>
        <v>874</v>
      </c>
    </row>
    <row r="5428" spans="1:7" x14ac:dyDescent="0.3">
      <c r="A5428" s="5" t="str">
        <f t="shared" si="597"/>
        <v>Puma</v>
      </c>
      <c r="B5428" s="5" t="str">
        <f t="shared" si="592"/>
        <v>Rider Vintage</v>
      </c>
      <c r="C5428" s="3">
        <f t="shared" si="598"/>
        <v>46019</v>
      </c>
      <c r="D5428" s="4">
        <f t="shared" ca="1" si="593"/>
        <v>117</v>
      </c>
      <c r="E5428" s="2">
        <f t="shared" ca="1" si="594"/>
        <v>1839</v>
      </c>
      <c r="F5428" s="2">
        <f t="shared" ca="1" si="595"/>
        <v>22785</v>
      </c>
      <c r="G5428" s="2">
        <f t="shared" ca="1" si="596"/>
        <v>714</v>
      </c>
    </row>
    <row r="5429" spans="1:7" x14ac:dyDescent="0.3">
      <c r="A5429" s="5" t="str">
        <f t="shared" si="597"/>
        <v>New Balance</v>
      </c>
      <c r="B5429" s="5" t="str">
        <f t="shared" si="592"/>
        <v>327</v>
      </c>
      <c r="C5429" s="3">
        <f t="shared" si="598"/>
        <v>46019</v>
      </c>
      <c r="D5429" s="4">
        <f t="shared" ca="1" si="593"/>
        <v>152</v>
      </c>
      <c r="E5429" s="2">
        <f t="shared" ca="1" si="594"/>
        <v>10783</v>
      </c>
      <c r="F5429" s="2">
        <f t="shared" ca="1" si="595"/>
        <v>22907</v>
      </c>
      <c r="G5429" s="2">
        <f t="shared" ca="1" si="596"/>
        <v>1121</v>
      </c>
    </row>
    <row r="5430" spans="1:7" x14ac:dyDescent="0.3">
      <c r="A5430" s="5" t="str">
        <f t="shared" si="597"/>
        <v>Reebok</v>
      </c>
      <c r="B5430" s="5" t="str">
        <f t="shared" si="592"/>
        <v>Question Mid</v>
      </c>
      <c r="C5430" s="3">
        <f t="shared" si="598"/>
        <v>46019</v>
      </c>
      <c r="D5430" s="4">
        <f t="shared" ca="1" si="593"/>
        <v>132</v>
      </c>
      <c r="E5430" s="2">
        <f t="shared" ca="1" si="594"/>
        <v>8651</v>
      </c>
      <c r="F5430" s="2">
        <f t="shared" ca="1" si="595"/>
        <v>12959</v>
      </c>
      <c r="G5430" s="2">
        <f t="shared" ca="1" si="596"/>
        <v>577</v>
      </c>
    </row>
    <row r="5431" spans="1:7" x14ac:dyDescent="0.3">
      <c r="A5431" s="5" t="str">
        <f t="shared" si="597"/>
        <v>Nike</v>
      </c>
      <c r="B5431" s="5" t="str">
        <f t="shared" si="592"/>
        <v>Air Max 270</v>
      </c>
      <c r="C5431" s="3">
        <f t="shared" si="598"/>
        <v>46019</v>
      </c>
      <c r="D5431" s="4">
        <f t="shared" ca="1" si="593"/>
        <v>102</v>
      </c>
      <c r="E5431" s="2">
        <f t="shared" ca="1" si="594"/>
        <v>3402</v>
      </c>
      <c r="F5431" s="2">
        <f t="shared" ca="1" si="595"/>
        <v>11402</v>
      </c>
      <c r="G5431" s="2">
        <f t="shared" ca="1" si="596"/>
        <v>771</v>
      </c>
    </row>
    <row r="5432" spans="1:7" x14ac:dyDescent="0.3">
      <c r="A5432" s="5" t="str">
        <f t="shared" si="597"/>
        <v>Adidas</v>
      </c>
      <c r="B5432" s="5" t="str">
        <f t="shared" si="592"/>
        <v>Stan Smith</v>
      </c>
      <c r="C5432" s="3">
        <f t="shared" si="598"/>
        <v>46020</v>
      </c>
      <c r="D5432" s="4">
        <f t="shared" ca="1" si="593"/>
        <v>62</v>
      </c>
      <c r="E5432" s="2">
        <f t="shared" ca="1" si="594"/>
        <v>3871</v>
      </c>
      <c r="F5432" s="2">
        <f t="shared" ca="1" si="595"/>
        <v>8139</v>
      </c>
      <c r="G5432" s="2">
        <f t="shared" ca="1" si="596"/>
        <v>530</v>
      </c>
    </row>
    <row r="5433" spans="1:7" x14ac:dyDescent="0.3">
      <c r="A5433" s="5" t="str">
        <f t="shared" si="597"/>
        <v>Puma</v>
      </c>
      <c r="B5433" s="5" t="str">
        <f t="shared" si="592"/>
        <v>Cali Dream</v>
      </c>
      <c r="C5433" s="3">
        <f t="shared" si="598"/>
        <v>46020</v>
      </c>
      <c r="D5433" s="4">
        <f t="shared" ca="1" si="593"/>
        <v>136</v>
      </c>
      <c r="E5433" s="2">
        <f t="shared" ca="1" si="594"/>
        <v>3764</v>
      </c>
      <c r="F5433" s="2">
        <f t="shared" ca="1" si="595"/>
        <v>23270</v>
      </c>
      <c r="G5433" s="2">
        <f t="shared" ca="1" si="596"/>
        <v>774</v>
      </c>
    </row>
    <row r="5434" spans="1:7" x14ac:dyDescent="0.3">
      <c r="A5434" s="5" t="str">
        <f t="shared" si="597"/>
        <v>New Balance</v>
      </c>
      <c r="B5434" s="5" t="str">
        <f t="shared" si="592"/>
        <v>9060</v>
      </c>
      <c r="C5434" s="3">
        <f t="shared" si="598"/>
        <v>46020</v>
      </c>
      <c r="D5434" s="4">
        <f t="shared" ca="1" si="593"/>
        <v>181</v>
      </c>
      <c r="E5434" s="2">
        <f t="shared" ca="1" si="594"/>
        <v>10799</v>
      </c>
      <c r="F5434" s="2">
        <f t="shared" ca="1" si="595"/>
        <v>32071</v>
      </c>
      <c r="G5434" s="2">
        <f t="shared" ca="1" si="596"/>
        <v>2033</v>
      </c>
    </row>
    <row r="5435" spans="1:7" x14ac:dyDescent="0.3">
      <c r="A5435" s="5" t="str">
        <f t="shared" si="597"/>
        <v>Reebok</v>
      </c>
      <c r="B5435" s="5" t="str">
        <f t="shared" si="592"/>
        <v>Zig Kinetica</v>
      </c>
      <c r="C5435" s="3">
        <f t="shared" si="598"/>
        <v>46020</v>
      </c>
      <c r="D5435" s="4">
        <f t="shared" ca="1" si="593"/>
        <v>211</v>
      </c>
      <c r="E5435" s="2">
        <f t="shared" ca="1" si="594"/>
        <v>10669</v>
      </c>
      <c r="F5435" s="2">
        <f t="shared" ca="1" si="595"/>
        <v>16393</v>
      </c>
      <c r="G5435" s="2">
        <f t="shared" ca="1" si="596"/>
        <v>968</v>
      </c>
    </row>
    <row r="5436" spans="1:7" x14ac:dyDescent="0.3">
      <c r="A5436" s="5" t="str">
        <f t="shared" si="597"/>
        <v>Nike</v>
      </c>
      <c r="B5436" s="5" t="str">
        <f t="shared" si="592"/>
        <v>Jordan 1</v>
      </c>
      <c r="C5436" s="3">
        <f t="shared" si="598"/>
        <v>46020</v>
      </c>
      <c r="D5436" s="4">
        <f t="shared" ca="1" si="593"/>
        <v>118</v>
      </c>
      <c r="E5436" s="2">
        <f t="shared" ca="1" si="594"/>
        <v>1769</v>
      </c>
      <c r="F5436" s="2">
        <f t="shared" ca="1" si="595"/>
        <v>20378</v>
      </c>
      <c r="G5436" s="2">
        <f t="shared" ca="1" si="596"/>
        <v>628</v>
      </c>
    </row>
    <row r="5437" spans="1:7" x14ac:dyDescent="0.3">
      <c r="A5437" s="5" t="str">
        <f t="shared" si="597"/>
        <v>Adidas</v>
      </c>
      <c r="B5437" s="5" t="str">
        <f t="shared" si="592"/>
        <v>Ultraboost 23</v>
      </c>
      <c r="C5437" s="3">
        <f t="shared" si="598"/>
        <v>46020</v>
      </c>
      <c r="D5437" s="4">
        <f t="shared" ca="1" si="593"/>
        <v>245</v>
      </c>
      <c r="E5437" s="2">
        <f t="shared" ca="1" si="594"/>
        <v>3115</v>
      </c>
      <c r="F5437" s="2">
        <f t="shared" ca="1" si="595"/>
        <v>15243</v>
      </c>
      <c r="G5437" s="2">
        <f t="shared" ca="1" si="596"/>
        <v>1159</v>
      </c>
    </row>
    <row r="5438" spans="1:7" x14ac:dyDescent="0.3">
      <c r="A5438" s="5" t="str">
        <f t="shared" si="597"/>
        <v>Puma</v>
      </c>
      <c r="B5438" s="5" t="str">
        <f t="shared" si="592"/>
        <v>RS-X</v>
      </c>
      <c r="C5438" s="3">
        <f t="shared" si="598"/>
        <v>46020</v>
      </c>
      <c r="D5438" s="4">
        <f t="shared" ca="1" si="593"/>
        <v>233</v>
      </c>
      <c r="E5438" s="2">
        <f t="shared" ca="1" si="594"/>
        <v>7769</v>
      </c>
      <c r="F5438" s="2">
        <f t="shared" ca="1" si="595"/>
        <v>11203</v>
      </c>
      <c r="G5438" s="2">
        <f t="shared" ca="1" si="596"/>
        <v>225</v>
      </c>
    </row>
    <row r="5439" spans="1:7" x14ac:dyDescent="0.3">
      <c r="A5439" s="5" t="str">
        <f t="shared" si="597"/>
        <v>New Balance</v>
      </c>
      <c r="B5439" s="5" t="str">
        <f t="shared" si="592"/>
        <v>2002R</v>
      </c>
      <c r="C5439" s="3">
        <f t="shared" si="598"/>
        <v>46020</v>
      </c>
      <c r="D5439" s="4">
        <f t="shared" ca="1" si="593"/>
        <v>146</v>
      </c>
      <c r="E5439" s="2">
        <f t="shared" ca="1" si="594"/>
        <v>4024</v>
      </c>
      <c r="F5439" s="2">
        <f t="shared" ca="1" si="595"/>
        <v>34883</v>
      </c>
      <c r="G5439" s="2">
        <f t="shared" ca="1" si="596"/>
        <v>2251</v>
      </c>
    </row>
    <row r="5440" spans="1:7" x14ac:dyDescent="0.3">
      <c r="A5440" s="5" t="str">
        <f t="shared" si="597"/>
        <v>Reebok</v>
      </c>
      <c r="B5440" s="5" t="str">
        <f t="shared" si="592"/>
        <v>Instapump Fury</v>
      </c>
      <c r="C5440" s="3">
        <f t="shared" si="598"/>
        <v>46020</v>
      </c>
      <c r="D5440" s="4">
        <f t="shared" ca="1" si="593"/>
        <v>70</v>
      </c>
      <c r="E5440" s="2">
        <f t="shared" ca="1" si="594"/>
        <v>8763</v>
      </c>
      <c r="F5440" s="2">
        <f t="shared" ca="1" si="595"/>
        <v>22347</v>
      </c>
      <c r="G5440" s="2">
        <f t="shared" ca="1" si="596"/>
        <v>1442</v>
      </c>
    </row>
    <row r="5441" spans="1:7" x14ac:dyDescent="0.3">
      <c r="A5441" s="5" t="str">
        <f t="shared" si="597"/>
        <v>Nike</v>
      </c>
      <c r="B5441" s="5" t="str">
        <f t="shared" si="592"/>
        <v>Cortez</v>
      </c>
      <c r="C5441" s="3">
        <f t="shared" si="598"/>
        <v>46020</v>
      </c>
      <c r="D5441" s="4">
        <f t="shared" ca="1" si="593"/>
        <v>191</v>
      </c>
      <c r="E5441" s="2">
        <f t="shared" ca="1" si="594"/>
        <v>6939</v>
      </c>
      <c r="F5441" s="2">
        <f t="shared" ca="1" si="595"/>
        <v>21385</v>
      </c>
      <c r="G5441" s="2">
        <f t="shared" ca="1" si="596"/>
        <v>844</v>
      </c>
    </row>
    <row r="5442" spans="1:7" x14ac:dyDescent="0.3">
      <c r="A5442" s="5" t="str">
        <f t="shared" si="597"/>
        <v>Adidas</v>
      </c>
      <c r="B5442" s="5" t="str">
        <f t="shared" si="592"/>
        <v>NMD S1</v>
      </c>
      <c r="C5442" s="3">
        <f t="shared" si="598"/>
        <v>46020</v>
      </c>
      <c r="D5442" s="4">
        <f t="shared" ca="1" si="593"/>
        <v>176</v>
      </c>
      <c r="E5442" s="2">
        <f t="shared" ca="1" si="594"/>
        <v>9234</v>
      </c>
      <c r="F5442" s="2">
        <f t="shared" ca="1" si="595"/>
        <v>22939</v>
      </c>
      <c r="G5442" s="2">
        <f t="shared" ca="1" si="596"/>
        <v>470</v>
      </c>
    </row>
    <row r="5443" spans="1:7" x14ac:dyDescent="0.3">
      <c r="A5443" s="5" t="str">
        <f t="shared" si="597"/>
        <v>Puma</v>
      </c>
      <c r="B5443" s="5" t="str">
        <f t="shared" ref="B5443:B5500" si="599">IF(A5443="Nike",CHOOSE(MOD(ROW(A5442),6)+1,"Air Max 270","Air Force 1","Pegasus 40","Vaporfly 3","Cortez","Jordan 1"),
 IF(A5443="Adidas",CHOOSE(MOD(ROW(A5442),6)+1,"Ultraboost 23","Stan Smith","Superstar","Gazelle","Samba","NMD S1"),
 IF(A5443="Puma",CHOOSE(MOD(ROW(A5442),6)+1,"Suede Classic","RS-X","Cali Dream","Rider Vintage","Slipstream","Mayze"),
 IF(A5443="New Balance",CHOOSE(MOD(ROW(A5442),6)+1,"574 Core","990v6","2002R","9060","327","550"),
 IF(A5443="Reebok",CHOOSE(MOD(ROW(A5442),6)+1,"Classic Leather","Club C 85","Nano X3","Instapump Fury","Zig Kinetica","Question Mid"),"")))))</f>
        <v>Suede Classic</v>
      </c>
      <c r="C5443" s="3">
        <f t="shared" si="598"/>
        <v>46020</v>
      </c>
      <c r="D5443" s="4">
        <f t="shared" ref="D5443:D5500" ca="1" si="600">RANDBETWEEN(20,250)</f>
        <v>107</v>
      </c>
      <c r="E5443" s="2">
        <f t="shared" ref="E5443:E5500" ca="1" si="601">ROUND(RANDBETWEEN(1500,12000)+(RANDBETWEEN(-200,200)),2)</f>
        <v>8013</v>
      </c>
      <c r="F5443" s="2">
        <f t="shared" ref="F5443:F5500" ca="1" si="602">RANDBETWEEN(5000,35000)</f>
        <v>16116</v>
      </c>
      <c r="G5443" s="2">
        <f t="shared" ref="G5443:G5500" ca="1" si="603">RANDBETWEEN(ROUND(F5443*0.02,0),ROUND(F5443*0.08,0))</f>
        <v>623</v>
      </c>
    </row>
    <row r="5444" spans="1:7" x14ac:dyDescent="0.3">
      <c r="A5444" s="5" t="str">
        <f t="shared" si="597"/>
        <v>New Balance</v>
      </c>
      <c r="B5444" s="5" t="str">
        <f t="shared" si="599"/>
        <v>990v6</v>
      </c>
      <c r="C5444" s="3">
        <f t="shared" si="598"/>
        <v>46020</v>
      </c>
      <c r="D5444" s="4">
        <f t="shared" ca="1" si="600"/>
        <v>130</v>
      </c>
      <c r="E5444" s="2">
        <f t="shared" ca="1" si="601"/>
        <v>5138</v>
      </c>
      <c r="F5444" s="2">
        <f t="shared" ca="1" si="602"/>
        <v>16507</v>
      </c>
      <c r="G5444" s="2">
        <f t="shared" ca="1" si="603"/>
        <v>726</v>
      </c>
    </row>
    <row r="5445" spans="1:7" x14ac:dyDescent="0.3">
      <c r="A5445" s="5" t="str">
        <f t="shared" si="597"/>
        <v>Reebok</v>
      </c>
      <c r="B5445" s="5" t="str">
        <f t="shared" si="599"/>
        <v>Nano X3</v>
      </c>
      <c r="C5445" s="3">
        <f t="shared" si="598"/>
        <v>46020</v>
      </c>
      <c r="D5445" s="4">
        <f t="shared" ca="1" si="600"/>
        <v>28</v>
      </c>
      <c r="E5445" s="2">
        <f t="shared" ca="1" si="601"/>
        <v>10780</v>
      </c>
      <c r="F5445" s="2">
        <f t="shared" ca="1" si="602"/>
        <v>17352</v>
      </c>
      <c r="G5445" s="2">
        <f t="shared" ca="1" si="603"/>
        <v>842</v>
      </c>
    </row>
    <row r="5446" spans="1:7" x14ac:dyDescent="0.3">
      <c r="A5446" s="5" t="str">
        <f t="shared" si="597"/>
        <v>Nike</v>
      </c>
      <c r="B5446" s="5" t="str">
        <f t="shared" si="599"/>
        <v>Vaporfly 3</v>
      </c>
      <c r="C5446" s="3">
        <f t="shared" si="598"/>
        <v>46020</v>
      </c>
      <c r="D5446" s="4">
        <f t="shared" ca="1" si="600"/>
        <v>225</v>
      </c>
      <c r="E5446" s="2">
        <f t="shared" ca="1" si="601"/>
        <v>5098</v>
      </c>
      <c r="F5446" s="2">
        <f t="shared" ca="1" si="602"/>
        <v>28033</v>
      </c>
      <c r="G5446" s="2">
        <f t="shared" ca="1" si="603"/>
        <v>1122</v>
      </c>
    </row>
    <row r="5447" spans="1:7" x14ac:dyDescent="0.3">
      <c r="A5447" s="5" t="str">
        <f t="shared" si="597"/>
        <v>Adidas</v>
      </c>
      <c r="B5447" s="5" t="str">
        <f t="shared" si="599"/>
        <v>Samba</v>
      </c>
      <c r="C5447" s="3">
        <f t="shared" si="598"/>
        <v>46021</v>
      </c>
      <c r="D5447" s="4">
        <f t="shared" ca="1" si="600"/>
        <v>213</v>
      </c>
      <c r="E5447" s="2">
        <f t="shared" ca="1" si="601"/>
        <v>10318</v>
      </c>
      <c r="F5447" s="2">
        <f t="shared" ca="1" si="602"/>
        <v>15992</v>
      </c>
      <c r="G5447" s="2">
        <f t="shared" ca="1" si="603"/>
        <v>887</v>
      </c>
    </row>
    <row r="5448" spans="1:7" x14ac:dyDescent="0.3">
      <c r="A5448" s="5" t="str">
        <f t="shared" si="597"/>
        <v>Puma</v>
      </c>
      <c r="B5448" s="5" t="str">
        <f t="shared" si="599"/>
        <v>Mayze</v>
      </c>
      <c r="C5448" s="3">
        <f t="shared" si="598"/>
        <v>46021</v>
      </c>
      <c r="D5448" s="4">
        <f t="shared" ca="1" si="600"/>
        <v>80</v>
      </c>
      <c r="E5448" s="2">
        <f t="shared" ca="1" si="601"/>
        <v>3341</v>
      </c>
      <c r="F5448" s="2">
        <f t="shared" ca="1" si="602"/>
        <v>31300</v>
      </c>
      <c r="G5448" s="2">
        <f t="shared" ca="1" si="603"/>
        <v>1597</v>
      </c>
    </row>
    <row r="5449" spans="1:7" x14ac:dyDescent="0.3">
      <c r="A5449" s="5" t="str">
        <f t="shared" si="597"/>
        <v>New Balance</v>
      </c>
      <c r="B5449" s="5" t="str">
        <f t="shared" si="599"/>
        <v>574 Core</v>
      </c>
      <c r="C5449" s="3">
        <f t="shared" si="598"/>
        <v>46021</v>
      </c>
      <c r="D5449" s="4">
        <f t="shared" ca="1" si="600"/>
        <v>186</v>
      </c>
      <c r="E5449" s="2">
        <f t="shared" ca="1" si="601"/>
        <v>11801</v>
      </c>
      <c r="F5449" s="2">
        <f t="shared" ca="1" si="602"/>
        <v>18338</v>
      </c>
      <c r="G5449" s="2">
        <f t="shared" ca="1" si="603"/>
        <v>1175</v>
      </c>
    </row>
    <row r="5450" spans="1:7" x14ac:dyDescent="0.3">
      <c r="A5450" s="5" t="str">
        <f t="shared" si="597"/>
        <v>Reebok</v>
      </c>
      <c r="B5450" s="5" t="str">
        <f t="shared" si="599"/>
        <v>Club C 85</v>
      </c>
      <c r="C5450" s="3">
        <f t="shared" si="598"/>
        <v>46021</v>
      </c>
      <c r="D5450" s="4">
        <f t="shared" ca="1" si="600"/>
        <v>126</v>
      </c>
      <c r="E5450" s="2">
        <f t="shared" ca="1" si="601"/>
        <v>11092</v>
      </c>
      <c r="F5450" s="2">
        <f t="shared" ca="1" si="602"/>
        <v>25065</v>
      </c>
      <c r="G5450" s="2">
        <f t="shared" ca="1" si="603"/>
        <v>766</v>
      </c>
    </row>
    <row r="5451" spans="1:7" x14ac:dyDescent="0.3">
      <c r="A5451" s="5" t="str">
        <f t="shared" si="597"/>
        <v>Nike</v>
      </c>
      <c r="B5451" s="5" t="str">
        <f t="shared" si="599"/>
        <v>Pegasus 40</v>
      </c>
      <c r="C5451" s="3">
        <f t="shared" si="598"/>
        <v>46021</v>
      </c>
      <c r="D5451" s="4">
        <f t="shared" ca="1" si="600"/>
        <v>236</v>
      </c>
      <c r="E5451" s="2">
        <f t="shared" ca="1" si="601"/>
        <v>3042</v>
      </c>
      <c r="F5451" s="2">
        <f t="shared" ca="1" si="602"/>
        <v>28019</v>
      </c>
      <c r="G5451" s="2">
        <f t="shared" ca="1" si="603"/>
        <v>1917</v>
      </c>
    </row>
    <row r="5452" spans="1:7" x14ac:dyDescent="0.3">
      <c r="A5452" s="5" t="str">
        <f t="shared" si="597"/>
        <v>Adidas</v>
      </c>
      <c r="B5452" s="5" t="str">
        <f t="shared" si="599"/>
        <v>Gazelle</v>
      </c>
      <c r="C5452" s="3">
        <f t="shared" si="598"/>
        <v>46021</v>
      </c>
      <c r="D5452" s="4">
        <f t="shared" ca="1" si="600"/>
        <v>211</v>
      </c>
      <c r="E5452" s="2">
        <f t="shared" ca="1" si="601"/>
        <v>3114</v>
      </c>
      <c r="F5452" s="2">
        <f t="shared" ca="1" si="602"/>
        <v>26407</v>
      </c>
      <c r="G5452" s="2">
        <f t="shared" ca="1" si="603"/>
        <v>1551</v>
      </c>
    </row>
    <row r="5453" spans="1:7" x14ac:dyDescent="0.3">
      <c r="A5453" s="5" t="str">
        <f t="shared" si="597"/>
        <v>Puma</v>
      </c>
      <c r="B5453" s="5" t="str">
        <f t="shared" si="599"/>
        <v>Slipstream</v>
      </c>
      <c r="C5453" s="3">
        <f t="shared" si="598"/>
        <v>46021</v>
      </c>
      <c r="D5453" s="4">
        <f t="shared" ca="1" si="600"/>
        <v>236</v>
      </c>
      <c r="E5453" s="2">
        <f t="shared" ca="1" si="601"/>
        <v>11792</v>
      </c>
      <c r="F5453" s="2">
        <f t="shared" ca="1" si="602"/>
        <v>33389</v>
      </c>
      <c r="G5453" s="2">
        <f t="shared" ca="1" si="603"/>
        <v>1963</v>
      </c>
    </row>
    <row r="5454" spans="1:7" x14ac:dyDescent="0.3">
      <c r="A5454" s="5" t="str">
        <f t="shared" si="597"/>
        <v>New Balance</v>
      </c>
      <c r="B5454" s="5" t="str">
        <f t="shared" si="599"/>
        <v>550</v>
      </c>
      <c r="C5454" s="3">
        <f t="shared" si="598"/>
        <v>46021</v>
      </c>
      <c r="D5454" s="4">
        <f t="shared" ca="1" si="600"/>
        <v>173</v>
      </c>
      <c r="E5454" s="2">
        <f t="shared" ca="1" si="601"/>
        <v>5011</v>
      </c>
      <c r="F5454" s="2">
        <f t="shared" ca="1" si="602"/>
        <v>14255</v>
      </c>
      <c r="G5454" s="2">
        <f t="shared" ca="1" si="603"/>
        <v>513</v>
      </c>
    </row>
    <row r="5455" spans="1:7" x14ac:dyDescent="0.3">
      <c r="A5455" s="5" t="str">
        <f t="shared" si="597"/>
        <v>Reebok</v>
      </c>
      <c r="B5455" s="5" t="str">
        <f t="shared" si="599"/>
        <v>Classic Leather</v>
      </c>
      <c r="C5455" s="3">
        <f t="shared" si="598"/>
        <v>46021</v>
      </c>
      <c r="D5455" s="4">
        <f t="shared" ca="1" si="600"/>
        <v>61</v>
      </c>
      <c r="E5455" s="2">
        <f t="shared" ca="1" si="601"/>
        <v>10713</v>
      </c>
      <c r="F5455" s="2">
        <f t="shared" ca="1" si="602"/>
        <v>28431</v>
      </c>
      <c r="G5455" s="2">
        <f t="shared" ca="1" si="603"/>
        <v>2190</v>
      </c>
    </row>
    <row r="5456" spans="1:7" x14ac:dyDescent="0.3">
      <c r="A5456" s="5" t="str">
        <f t="shared" si="597"/>
        <v>Nike</v>
      </c>
      <c r="B5456" s="5" t="str">
        <f t="shared" si="599"/>
        <v>Air Force 1</v>
      </c>
      <c r="C5456" s="3">
        <f t="shared" si="598"/>
        <v>46021</v>
      </c>
      <c r="D5456" s="4">
        <f t="shared" ca="1" si="600"/>
        <v>57</v>
      </c>
      <c r="E5456" s="2">
        <f t="shared" ca="1" si="601"/>
        <v>10888</v>
      </c>
      <c r="F5456" s="2">
        <f t="shared" ca="1" si="602"/>
        <v>25927</v>
      </c>
      <c r="G5456" s="2">
        <f t="shared" ca="1" si="603"/>
        <v>1695</v>
      </c>
    </row>
    <row r="5457" spans="1:7" x14ac:dyDescent="0.3">
      <c r="A5457" s="5" t="str">
        <f t="shared" si="597"/>
        <v>Adidas</v>
      </c>
      <c r="B5457" s="5" t="str">
        <f t="shared" si="599"/>
        <v>Superstar</v>
      </c>
      <c r="C5457" s="3">
        <f t="shared" si="598"/>
        <v>46021</v>
      </c>
      <c r="D5457" s="4">
        <f t="shared" ca="1" si="600"/>
        <v>157</v>
      </c>
      <c r="E5457" s="2">
        <f t="shared" ca="1" si="601"/>
        <v>4969</v>
      </c>
      <c r="F5457" s="2">
        <f t="shared" ca="1" si="602"/>
        <v>16161</v>
      </c>
      <c r="G5457" s="2">
        <f t="shared" ca="1" si="603"/>
        <v>946</v>
      </c>
    </row>
    <row r="5458" spans="1:7" x14ac:dyDescent="0.3">
      <c r="A5458" s="5" t="str">
        <f t="shared" si="597"/>
        <v>Puma</v>
      </c>
      <c r="B5458" s="5" t="str">
        <f t="shared" si="599"/>
        <v>Rider Vintage</v>
      </c>
      <c r="C5458" s="3">
        <f t="shared" si="598"/>
        <v>46021</v>
      </c>
      <c r="D5458" s="4">
        <f t="shared" ca="1" si="600"/>
        <v>217</v>
      </c>
      <c r="E5458" s="2">
        <f t="shared" ca="1" si="601"/>
        <v>9197</v>
      </c>
      <c r="F5458" s="2">
        <f t="shared" ca="1" si="602"/>
        <v>30351</v>
      </c>
      <c r="G5458" s="2">
        <f t="shared" ca="1" si="603"/>
        <v>2113</v>
      </c>
    </row>
    <row r="5459" spans="1:7" x14ac:dyDescent="0.3">
      <c r="A5459" s="5" t="str">
        <f t="shared" si="597"/>
        <v>New Balance</v>
      </c>
      <c r="B5459" s="5" t="str">
        <f t="shared" si="599"/>
        <v>327</v>
      </c>
      <c r="C5459" s="3">
        <f t="shared" si="598"/>
        <v>46021</v>
      </c>
      <c r="D5459" s="4">
        <f t="shared" ca="1" si="600"/>
        <v>121</v>
      </c>
      <c r="E5459" s="2">
        <f t="shared" ca="1" si="601"/>
        <v>8187</v>
      </c>
      <c r="F5459" s="2">
        <f t="shared" ca="1" si="602"/>
        <v>29998</v>
      </c>
      <c r="G5459" s="2">
        <f t="shared" ca="1" si="603"/>
        <v>1429</v>
      </c>
    </row>
    <row r="5460" spans="1:7" x14ac:dyDescent="0.3">
      <c r="A5460" s="5" t="str">
        <f t="shared" si="597"/>
        <v>Reebok</v>
      </c>
      <c r="B5460" s="5" t="str">
        <f t="shared" si="599"/>
        <v>Question Mid</v>
      </c>
      <c r="C5460" s="3">
        <f t="shared" si="598"/>
        <v>46021</v>
      </c>
      <c r="D5460" s="4">
        <f t="shared" ca="1" si="600"/>
        <v>65</v>
      </c>
      <c r="E5460" s="2">
        <f t="shared" ca="1" si="601"/>
        <v>8674</v>
      </c>
      <c r="F5460" s="2">
        <f t="shared" ca="1" si="602"/>
        <v>8661</v>
      </c>
      <c r="G5460" s="2">
        <f t="shared" ca="1" si="603"/>
        <v>523</v>
      </c>
    </row>
    <row r="5461" spans="1:7" x14ac:dyDescent="0.3">
      <c r="A5461" s="5" t="str">
        <f t="shared" si="597"/>
        <v>Nike</v>
      </c>
      <c r="B5461" s="5" t="str">
        <f t="shared" si="599"/>
        <v>Air Max 270</v>
      </c>
      <c r="C5461" s="3">
        <f t="shared" si="598"/>
        <v>46021</v>
      </c>
      <c r="D5461" s="4">
        <f t="shared" ca="1" si="600"/>
        <v>98</v>
      </c>
      <c r="E5461" s="2">
        <f t="shared" ca="1" si="601"/>
        <v>11302</v>
      </c>
      <c r="F5461" s="2">
        <f t="shared" ca="1" si="602"/>
        <v>30332</v>
      </c>
      <c r="G5461" s="2">
        <f t="shared" ca="1" si="603"/>
        <v>923</v>
      </c>
    </row>
    <row r="5462" spans="1:7" x14ac:dyDescent="0.3">
      <c r="A5462" s="5" t="str">
        <f t="shared" si="597"/>
        <v>Adidas</v>
      </c>
      <c r="B5462" s="5" t="str">
        <f t="shared" si="599"/>
        <v>Stan Smith</v>
      </c>
      <c r="C5462" s="3">
        <f t="shared" si="598"/>
        <v>46022</v>
      </c>
      <c r="D5462" s="4">
        <f t="shared" ca="1" si="600"/>
        <v>154</v>
      </c>
      <c r="E5462" s="2">
        <f t="shared" ca="1" si="601"/>
        <v>5104</v>
      </c>
      <c r="F5462" s="2">
        <f t="shared" ca="1" si="602"/>
        <v>22524</v>
      </c>
      <c r="G5462" s="2">
        <f t="shared" ca="1" si="603"/>
        <v>950</v>
      </c>
    </row>
    <row r="5463" spans="1:7" x14ac:dyDescent="0.3">
      <c r="A5463" s="5" t="str">
        <f t="shared" si="597"/>
        <v>Puma</v>
      </c>
      <c r="B5463" s="5" t="str">
        <f t="shared" si="599"/>
        <v>Cali Dream</v>
      </c>
      <c r="C5463" s="3">
        <f t="shared" si="598"/>
        <v>46022</v>
      </c>
      <c r="D5463" s="4">
        <f t="shared" ca="1" si="600"/>
        <v>210</v>
      </c>
      <c r="E5463" s="2">
        <f t="shared" ca="1" si="601"/>
        <v>11885</v>
      </c>
      <c r="F5463" s="2">
        <f t="shared" ca="1" si="602"/>
        <v>28936</v>
      </c>
      <c r="G5463" s="2">
        <f t="shared" ca="1" si="603"/>
        <v>590</v>
      </c>
    </row>
    <row r="5464" spans="1:7" x14ac:dyDescent="0.3">
      <c r="A5464" s="5" t="str">
        <f t="shared" si="597"/>
        <v>New Balance</v>
      </c>
      <c r="B5464" s="5" t="str">
        <f t="shared" si="599"/>
        <v>9060</v>
      </c>
      <c r="C5464" s="3">
        <f t="shared" si="598"/>
        <v>46022</v>
      </c>
      <c r="D5464" s="4">
        <f t="shared" ca="1" si="600"/>
        <v>235</v>
      </c>
      <c r="E5464" s="2">
        <f t="shared" ca="1" si="601"/>
        <v>8344</v>
      </c>
      <c r="F5464" s="2">
        <f t="shared" ca="1" si="602"/>
        <v>20598</v>
      </c>
      <c r="G5464" s="2">
        <f t="shared" ca="1" si="603"/>
        <v>1568</v>
      </c>
    </row>
    <row r="5465" spans="1:7" x14ac:dyDescent="0.3">
      <c r="A5465" s="5" t="str">
        <f t="shared" si="597"/>
        <v>Reebok</v>
      </c>
      <c r="B5465" s="5" t="str">
        <f t="shared" si="599"/>
        <v>Zig Kinetica</v>
      </c>
      <c r="C5465" s="3">
        <f t="shared" si="598"/>
        <v>46022</v>
      </c>
      <c r="D5465" s="4">
        <f t="shared" ca="1" si="600"/>
        <v>226</v>
      </c>
      <c r="E5465" s="2">
        <f t="shared" ca="1" si="601"/>
        <v>3705</v>
      </c>
      <c r="F5465" s="2">
        <f t="shared" ca="1" si="602"/>
        <v>22100</v>
      </c>
      <c r="G5465" s="2">
        <f t="shared" ca="1" si="603"/>
        <v>1365</v>
      </c>
    </row>
    <row r="5466" spans="1:7" x14ac:dyDescent="0.3">
      <c r="A5466" s="5" t="str">
        <f t="shared" si="597"/>
        <v>Nike</v>
      </c>
      <c r="B5466" s="5" t="str">
        <f t="shared" si="599"/>
        <v>Jordan 1</v>
      </c>
      <c r="C5466" s="3">
        <f t="shared" si="598"/>
        <v>46022</v>
      </c>
      <c r="D5466" s="4">
        <f t="shared" ca="1" si="600"/>
        <v>228</v>
      </c>
      <c r="E5466" s="2">
        <f t="shared" ca="1" si="601"/>
        <v>4396</v>
      </c>
      <c r="F5466" s="2">
        <f t="shared" ca="1" si="602"/>
        <v>34815</v>
      </c>
      <c r="G5466" s="2">
        <f t="shared" ca="1" si="603"/>
        <v>1136</v>
      </c>
    </row>
    <row r="5467" spans="1:7" x14ac:dyDescent="0.3">
      <c r="A5467" s="5" t="str">
        <f t="shared" si="597"/>
        <v>Adidas</v>
      </c>
      <c r="B5467" s="5" t="str">
        <f t="shared" si="599"/>
        <v>Ultraboost 23</v>
      </c>
      <c r="C5467" s="3">
        <f t="shared" si="598"/>
        <v>46022</v>
      </c>
      <c r="D5467" s="4">
        <f t="shared" ca="1" si="600"/>
        <v>213</v>
      </c>
      <c r="E5467" s="2">
        <f t="shared" ca="1" si="601"/>
        <v>9479</v>
      </c>
      <c r="F5467" s="2">
        <f t="shared" ca="1" si="602"/>
        <v>19652</v>
      </c>
      <c r="G5467" s="2">
        <f t="shared" ca="1" si="603"/>
        <v>1227</v>
      </c>
    </row>
    <row r="5468" spans="1:7" x14ac:dyDescent="0.3">
      <c r="A5468" s="5" t="str">
        <f t="shared" si="597"/>
        <v>Puma</v>
      </c>
      <c r="B5468" s="5" t="str">
        <f t="shared" si="599"/>
        <v>RS-X</v>
      </c>
      <c r="C5468" s="3">
        <f t="shared" si="598"/>
        <v>46022</v>
      </c>
      <c r="D5468" s="4">
        <f t="shared" ca="1" si="600"/>
        <v>211</v>
      </c>
      <c r="E5468" s="2">
        <f t="shared" ca="1" si="601"/>
        <v>9682</v>
      </c>
      <c r="F5468" s="2">
        <f t="shared" ca="1" si="602"/>
        <v>26451</v>
      </c>
      <c r="G5468" s="2">
        <f t="shared" ca="1" si="603"/>
        <v>1459</v>
      </c>
    </row>
    <row r="5469" spans="1:7" x14ac:dyDescent="0.3">
      <c r="A5469" s="5" t="str">
        <f t="shared" si="597"/>
        <v>New Balance</v>
      </c>
      <c r="B5469" s="5" t="str">
        <f t="shared" si="599"/>
        <v>2002R</v>
      </c>
      <c r="C5469" s="3">
        <f t="shared" si="598"/>
        <v>46022</v>
      </c>
      <c r="D5469" s="4">
        <f t="shared" ca="1" si="600"/>
        <v>71</v>
      </c>
      <c r="E5469" s="2">
        <f t="shared" ca="1" si="601"/>
        <v>6583</v>
      </c>
      <c r="F5469" s="2">
        <f t="shared" ca="1" si="602"/>
        <v>15924</v>
      </c>
      <c r="G5469" s="2">
        <f t="shared" ca="1" si="603"/>
        <v>578</v>
      </c>
    </row>
    <row r="5470" spans="1:7" x14ac:dyDescent="0.3">
      <c r="A5470" s="5" t="str">
        <f t="shared" si="597"/>
        <v>Reebok</v>
      </c>
      <c r="B5470" s="5" t="str">
        <f t="shared" si="599"/>
        <v>Instapump Fury</v>
      </c>
      <c r="C5470" s="3">
        <f t="shared" si="598"/>
        <v>46022</v>
      </c>
      <c r="D5470" s="4">
        <f t="shared" ca="1" si="600"/>
        <v>94</v>
      </c>
      <c r="E5470" s="2">
        <f t="shared" ca="1" si="601"/>
        <v>9351</v>
      </c>
      <c r="F5470" s="2">
        <f t="shared" ca="1" si="602"/>
        <v>9302</v>
      </c>
      <c r="G5470" s="2">
        <f t="shared" ca="1" si="603"/>
        <v>397</v>
      </c>
    </row>
    <row r="5471" spans="1:7" x14ac:dyDescent="0.3">
      <c r="A5471" s="5" t="str">
        <f t="shared" si="597"/>
        <v>Nike</v>
      </c>
      <c r="B5471" s="5" t="str">
        <f t="shared" si="599"/>
        <v>Cortez</v>
      </c>
      <c r="C5471" s="3">
        <f t="shared" si="598"/>
        <v>46022</v>
      </c>
      <c r="D5471" s="4">
        <f t="shared" ca="1" si="600"/>
        <v>178</v>
      </c>
      <c r="E5471" s="2">
        <f t="shared" ca="1" si="601"/>
        <v>11860</v>
      </c>
      <c r="F5471" s="2">
        <f t="shared" ca="1" si="602"/>
        <v>16103</v>
      </c>
      <c r="G5471" s="2">
        <f t="shared" ca="1" si="603"/>
        <v>493</v>
      </c>
    </row>
    <row r="5472" spans="1:7" x14ac:dyDescent="0.3">
      <c r="A5472" s="5" t="str">
        <f t="shared" si="597"/>
        <v>Adidas</v>
      </c>
      <c r="B5472" s="5" t="str">
        <f t="shared" si="599"/>
        <v>NMD S1</v>
      </c>
      <c r="C5472" s="3">
        <f t="shared" si="598"/>
        <v>46022</v>
      </c>
      <c r="D5472" s="4">
        <f t="shared" ca="1" si="600"/>
        <v>45</v>
      </c>
      <c r="E5472" s="2">
        <f t="shared" ca="1" si="601"/>
        <v>6473</v>
      </c>
      <c r="F5472" s="2">
        <f t="shared" ca="1" si="602"/>
        <v>34505</v>
      </c>
      <c r="G5472" s="2">
        <f t="shared" ca="1" si="603"/>
        <v>1590</v>
      </c>
    </row>
    <row r="5473" spans="1:7" x14ac:dyDescent="0.3">
      <c r="A5473" s="5" t="str">
        <f t="shared" si="597"/>
        <v>Puma</v>
      </c>
      <c r="B5473" s="5" t="str">
        <f t="shared" si="599"/>
        <v>Suede Classic</v>
      </c>
      <c r="C5473" s="3">
        <f t="shared" si="598"/>
        <v>46022</v>
      </c>
      <c r="D5473" s="4">
        <f t="shared" ca="1" si="600"/>
        <v>41</v>
      </c>
      <c r="E5473" s="2">
        <f t="shared" ca="1" si="601"/>
        <v>11797</v>
      </c>
      <c r="F5473" s="2">
        <f t="shared" ca="1" si="602"/>
        <v>8331</v>
      </c>
      <c r="G5473" s="2">
        <f t="shared" ca="1" si="603"/>
        <v>379</v>
      </c>
    </row>
    <row r="5474" spans="1:7" x14ac:dyDescent="0.3">
      <c r="A5474" s="5" t="str">
        <f t="shared" si="597"/>
        <v>New Balance</v>
      </c>
      <c r="B5474" s="5" t="str">
        <f t="shared" si="599"/>
        <v>990v6</v>
      </c>
      <c r="C5474" s="3">
        <f t="shared" si="598"/>
        <v>46022</v>
      </c>
      <c r="D5474" s="4">
        <f t="shared" ca="1" si="600"/>
        <v>47</v>
      </c>
      <c r="E5474" s="2">
        <f t="shared" ca="1" si="601"/>
        <v>7953</v>
      </c>
      <c r="F5474" s="2">
        <f t="shared" ca="1" si="602"/>
        <v>10731</v>
      </c>
      <c r="G5474" s="2">
        <f t="shared" ca="1" si="603"/>
        <v>251</v>
      </c>
    </row>
    <row r="5475" spans="1:7" x14ac:dyDescent="0.3">
      <c r="A5475" s="5" t="str">
        <f t="shared" si="597"/>
        <v>Reebok</v>
      </c>
      <c r="B5475" s="5" t="str">
        <f t="shared" si="599"/>
        <v>Nano X3</v>
      </c>
      <c r="C5475" s="3">
        <f t="shared" si="598"/>
        <v>46022</v>
      </c>
      <c r="D5475" s="4">
        <f t="shared" ca="1" si="600"/>
        <v>212</v>
      </c>
      <c r="E5475" s="2">
        <f t="shared" ca="1" si="601"/>
        <v>11380</v>
      </c>
      <c r="F5475" s="2">
        <f t="shared" ca="1" si="602"/>
        <v>19528</v>
      </c>
      <c r="G5475" s="2">
        <f t="shared" ca="1" si="603"/>
        <v>791</v>
      </c>
    </row>
    <row r="5476" spans="1:7" x14ac:dyDescent="0.3">
      <c r="A5476" s="5" t="str">
        <f t="shared" si="597"/>
        <v>Nike</v>
      </c>
      <c r="B5476" s="5" t="str">
        <f t="shared" si="599"/>
        <v>Vaporfly 3</v>
      </c>
      <c r="C5476" s="3">
        <f t="shared" si="598"/>
        <v>46022</v>
      </c>
      <c r="D5476" s="4">
        <f t="shared" ca="1" si="600"/>
        <v>152</v>
      </c>
      <c r="E5476" s="2">
        <f t="shared" ca="1" si="601"/>
        <v>8109</v>
      </c>
      <c r="F5476" s="2">
        <f t="shared" ca="1" si="602"/>
        <v>33562</v>
      </c>
      <c r="G5476" s="2">
        <f t="shared" ca="1" si="603"/>
        <v>835</v>
      </c>
    </row>
    <row r="5477" spans="1:7" x14ac:dyDescent="0.3">
      <c r="A5477" s="5" t="str">
        <f t="shared" si="597"/>
        <v>Adidas</v>
      </c>
      <c r="B5477" s="5" t="str">
        <f t="shared" si="599"/>
        <v>Samba</v>
      </c>
      <c r="C5477" s="3">
        <f t="shared" si="598"/>
        <v>46023</v>
      </c>
      <c r="D5477" s="4">
        <f t="shared" ca="1" si="600"/>
        <v>132</v>
      </c>
      <c r="E5477" s="2">
        <f t="shared" ca="1" si="601"/>
        <v>1599</v>
      </c>
      <c r="F5477" s="2">
        <f t="shared" ca="1" si="602"/>
        <v>19395</v>
      </c>
      <c r="G5477" s="2">
        <f t="shared" ca="1" si="603"/>
        <v>1215</v>
      </c>
    </row>
    <row r="5478" spans="1:7" x14ac:dyDescent="0.3">
      <c r="A5478" s="5" t="str">
        <f t="shared" si="597"/>
        <v>Puma</v>
      </c>
      <c r="B5478" s="5" t="str">
        <f t="shared" si="599"/>
        <v>Mayze</v>
      </c>
      <c r="C5478" s="3">
        <f t="shared" si="598"/>
        <v>46023</v>
      </c>
      <c r="D5478" s="4">
        <f t="shared" ca="1" si="600"/>
        <v>163</v>
      </c>
      <c r="E5478" s="2">
        <f t="shared" ca="1" si="601"/>
        <v>7456</v>
      </c>
      <c r="F5478" s="2">
        <f t="shared" ca="1" si="602"/>
        <v>14050</v>
      </c>
      <c r="G5478" s="2">
        <f t="shared" ca="1" si="603"/>
        <v>913</v>
      </c>
    </row>
    <row r="5479" spans="1:7" x14ac:dyDescent="0.3">
      <c r="A5479" s="5" t="str">
        <f t="shared" si="597"/>
        <v>New Balance</v>
      </c>
      <c r="B5479" s="5" t="str">
        <f t="shared" si="599"/>
        <v>574 Core</v>
      </c>
      <c r="C5479" s="3">
        <f t="shared" si="598"/>
        <v>46023</v>
      </c>
      <c r="D5479" s="4">
        <f t="shared" ca="1" si="600"/>
        <v>26</v>
      </c>
      <c r="E5479" s="2">
        <f t="shared" ca="1" si="601"/>
        <v>3049</v>
      </c>
      <c r="F5479" s="2">
        <f t="shared" ca="1" si="602"/>
        <v>27207</v>
      </c>
      <c r="G5479" s="2">
        <f t="shared" ca="1" si="603"/>
        <v>793</v>
      </c>
    </row>
    <row r="5480" spans="1:7" x14ac:dyDescent="0.3">
      <c r="A5480" s="5" t="str">
        <f t="shared" si="597"/>
        <v>Reebok</v>
      </c>
      <c r="B5480" s="5" t="str">
        <f t="shared" si="599"/>
        <v>Club C 85</v>
      </c>
      <c r="C5480" s="3">
        <f t="shared" si="598"/>
        <v>46023</v>
      </c>
      <c r="D5480" s="4">
        <f t="shared" ca="1" si="600"/>
        <v>59</v>
      </c>
      <c r="E5480" s="2">
        <f t="shared" ca="1" si="601"/>
        <v>11671</v>
      </c>
      <c r="F5480" s="2">
        <f t="shared" ca="1" si="602"/>
        <v>7464</v>
      </c>
      <c r="G5480" s="2">
        <f t="shared" ca="1" si="603"/>
        <v>538</v>
      </c>
    </row>
    <row r="5481" spans="1:7" x14ac:dyDescent="0.3">
      <c r="A5481" s="5" t="str">
        <f t="shared" si="597"/>
        <v>Nike</v>
      </c>
      <c r="B5481" s="5" t="str">
        <f t="shared" si="599"/>
        <v>Pegasus 40</v>
      </c>
      <c r="C5481" s="3">
        <f t="shared" si="598"/>
        <v>46023</v>
      </c>
      <c r="D5481" s="4">
        <f t="shared" ca="1" si="600"/>
        <v>118</v>
      </c>
      <c r="E5481" s="2">
        <f t="shared" ca="1" si="601"/>
        <v>9896</v>
      </c>
      <c r="F5481" s="2">
        <f t="shared" ca="1" si="602"/>
        <v>32840</v>
      </c>
      <c r="G5481" s="2">
        <f t="shared" ca="1" si="603"/>
        <v>2416</v>
      </c>
    </row>
    <row r="5482" spans="1:7" x14ac:dyDescent="0.3">
      <c r="A5482" s="5" t="str">
        <f t="shared" si="597"/>
        <v>Adidas</v>
      </c>
      <c r="B5482" s="5" t="str">
        <f t="shared" si="599"/>
        <v>Gazelle</v>
      </c>
      <c r="C5482" s="3">
        <f t="shared" si="598"/>
        <v>46023</v>
      </c>
      <c r="D5482" s="4">
        <f t="shared" ca="1" si="600"/>
        <v>229</v>
      </c>
      <c r="E5482" s="2">
        <f t="shared" ca="1" si="601"/>
        <v>5588</v>
      </c>
      <c r="F5482" s="2">
        <f t="shared" ca="1" si="602"/>
        <v>21318</v>
      </c>
      <c r="G5482" s="2">
        <f t="shared" ca="1" si="603"/>
        <v>485</v>
      </c>
    </row>
    <row r="5483" spans="1:7" x14ac:dyDescent="0.3">
      <c r="A5483" s="5" t="str">
        <f t="shared" ref="A5483:A5500" si="604">CHOOSE(MOD(ROW(A5482),5)+1,"Nike","Adidas","Puma","New Balance","Reebok")</f>
        <v>Puma</v>
      </c>
      <c r="B5483" s="5" t="str">
        <f t="shared" si="599"/>
        <v>Slipstream</v>
      </c>
      <c r="C5483" s="3">
        <f t="shared" ref="C5483:C5500" si="605">DATE(2025,1,1)+INT((ROW(A5483)-2)/15)</f>
        <v>46023</v>
      </c>
      <c r="D5483" s="4">
        <f t="shared" ca="1" si="600"/>
        <v>241</v>
      </c>
      <c r="E5483" s="2">
        <f t="shared" ca="1" si="601"/>
        <v>5450</v>
      </c>
      <c r="F5483" s="2">
        <f t="shared" ca="1" si="602"/>
        <v>15857</v>
      </c>
      <c r="G5483" s="2">
        <f t="shared" ca="1" si="603"/>
        <v>844</v>
      </c>
    </row>
    <row r="5484" spans="1:7" x14ac:dyDescent="0.3">
      <c r="A5484" s="5" t="str">
        <f t="shared" si="604"/>
        <v>New Balance</v>
      </c>
      <c r="B5484" s="5" t="str">
        <f t="shared" si="599"/>
        <v>550</v>
      </c>
      <c r="C5484" s="3">
        <f t="shared" si="605"/>
        <v>46023</v>
      </c>
      <c r="D5484" s="4">
        <f t="shared" ca="1" si="600"/>
        <v>227</v>
      </c>
      <c r="E5484" s="2">
        <f t="shared" ca="1" si="601"/>
        <v>6708</v>
      </c>
      <c r="F5484" s="2">
        <f t="shared" ca="1" si="602"/>
        <v>19735</v>
      </c>
      <c r="G5484" s="2">
        <f t="shared" ca="1" si="603"/>
        <v>682</v>
      </c>
    </row>
    <row r="5485" spans="1:7" x14ac:dyDescent="0.3">
      <c r="A5485" s="5" t="str">
        <f t="shared" si="604"/>
        <v>Reebok</v>
      </c>
      <c r="B5485" s="5" t="str">
        <f t="shared" si="599"/>
        <v>Classic Leather</v>
      </c>
      <c r="C5485" s="3">
        <f t="shared" si="605"/>
        <v>46023</v>
      </c>
      <c r="D5485" s="4">
        <f t="shared" ca="1" si="600"/>
        <v>217</v>
      </c>
      <c r="E5485" s="2">
        <f t="shared" ca="1" si="601"/>
        <v>5772</v>
      </c>
      <c r="F5485" s="2">
        <f t="shared" ca="1" si="602"/>
        <v>25620</v>
      </c>
      <c r="G5485" s="2">
        <f t="shared" ca="1" si="603"/>
        <v>1247</v>
      </c>
    </row>
    <row r="5486" spans="1:7" x14ac:dyDescent="0.3">
      <c r="A5486" s="5" t="str">
        <f t="shared" si="604"/>
        <v>Nike</v>
      </c>
      <c r="B5486" s="5" t="str">
        <f t="shared" si="599"/>
        <v>Air Force 1</v>
      </c>
      <c r="C5486" s="3">
        <f t="shared" si="605"/>
        <v>46023</v>
      </c>
      <c r="D5486" s="4">
        <f t="shared" ca="1" si="600"/>
        <v>88</v>
      </c>
      <c r="E5486" s="2">
        <f t="shared" ca="1" si="601"/>
        <v>3680</v>
      </c>
      <c r="F5486" s="2">
        <f t="shared" ca="1" si="602"/>
        <v>30804</v>
      </c>
      <c r="G5486" s="2">
        <f t="shared" ca="1" si="603"/>
        <v>1787</v>
      </c>
    </row>
    <row r="5487" spans="1:7" x14ac:dyDescent="0.3">
      <c r="A5487" s="5" t="str">
        <f t="shared" si="604"/>
        <v>Adidas</v>
      </c>
      <c r="B5487" s="5" t="str">
        <f t="shared" si="599"/>
        <v>Superstar</v>
      </c>
      <c r="C5487" s="3">
        <f t="shared" si="605"/>
        <v>46023</v>
      </c>
      <c r="D5487" s="4">
        <f t="shared" ca="1" si="600"/>
        <v>183</v>
      </c>
      <c r="E5487" s="2">
        <f t="shared" ca="1" si="601"/>
        <v>11973</v>
      </c>
      <c r="F5487" s="2">
        <f t="shared" ca="1" si="602"/>
        <v>28848</v>
      </c>
      <c r="G5487" s="2">
        <f t="shared" ca="1" si="603"/>
        <v>1045</v>
      </c>
    </row>
    <row r="5488" spans="1:7" x14ac:dyDescent="0.3">
      <c r="A5488" s="5" t="str">
        <f t="shared" si="604"/>
        <v>Puma</v>
      </c>
      <c r="B5488" s="5" t="str">
        <f t="shared" si="599"/>
        <v>Rider Vintage</v>
      </c>
      <c r="C5488" s="3">
        <f t="shared" si="605"/>
        <v>46023</v>
      </c>
      <c r="D5488" s="4">
        <f t="shared" ca="1" si="600"/>
        <v>42</v>
      </c>
      <c r="E5488" s="2">
        <f t="shared" ca="1" si="601"/>
        <v>7290</v>
      </c>
      <c r="F5488" s="2">
        <f t="shared" ca="1" si="602"/>
        <v>14085</v>
      </c>
      <c r="G5488" s="2">
        <f t="shared" ca="1" si="603"/>
        <v>641</v>
      </c>
    </row>
    <row r="5489" spans="1:7" x14ac:dyDescent="0.3">
      <c r="A5489" s="5" t="str">
        <f t="shared" si="604"/>
        <v>New Balance</v>
      </c>
      <c r="B5489" s="5" t="str">
        <f t="shared" si="599"/>
        <v>327</v>
      </c>
      <c r="C5489" s="3">
        <f t="shared" si="605"/>
        <v>46023</v>
      </c>
      <c r="D5489" s="4">
        <f t="shared" ca="1" si="600"/>
        <v>207</v>
      </c>
      <c r="E5489" s="2">
        <f t="shared" ca="1" si="601"/>
        <v>11778</v>
      </c>
      <c r="F5489" s="2">
        <f t="shared" ca="1" si="602"/>
        <v>16493</v>
      </c>
      <c r="G5489" s="2">
        <f t="shared" ca="1" si="603"/>
        <v>353</v>
      </c>
    </row>
    <row r="5490" spans="1:7" x14ac:dyDescent="0.3">
      <c r="A5490" s="5" t="str">
        <f t="shared" si="604"/>
        <v>Reebok</v>
      </c>
      <c r="B5490" s="5" t="str">
        <f t="shared" si="599"/>
        <v>Question Mid</v>
      </c>
      <c r="C5490" s="3">
        <f t="shared" si="605"/>
        <v>46023</v>
      </c>
      <c r="D5490" s="4">
        <f t="shared" ca="1" si="600"/>
        <v>102</v>
      </c>
      <c r="E5490" s="2">
        <f t="shared" ca="1" si="601"/>
        <v>10703</v>
      </c>
      <c r="F5490" s="2">
        <f t="shared" ca="1" si="602"/>
        <v>25951</v>
      </c>
      <c r="G5490" s="2">
        <f t="shared" ca="1" si="603"/>
        <v>1918</v>
      </c>
    </row>
    <row r="5491" spans="1:7" x14ac:dyDescent="0.3">
      <c r="A5491" s="5" t="str">
        <f t="shared" si="604"/>
        <v>Nike</v>
      </c>
      <c r="B5491" s="5" t="str">
        <f t="shared" si="599"/>
        <v>Air Max 270</v>
      </c>
      <c r="C5491" s="3">
        <f t="shared" si="605"/>
        <v>46023</v>
      </c>
      <c r="D5491" s="4">
        <f t="shared" ca="1" si="600"/>
        <v>76</v>
      </c>
      <c r="E5491" s="2">
        <f t="shared" ca="1" si="601"/>
        <v>11183</v>
      </c>
      <c r="F5491" s="2">
        <f t="shared" ca="1" si="602"/>
        <v>26529</v>
      </c>
      <c r="G5491" s="2">
        <f t="shared" ca="1" si="603"/>
        <v>1358</v>
      </c>
    </row>
    <row r="5492" spans="1:7" x14ac:dyDescent="0.3">
      <c r="A5492" s="5" t="str">
        <f t="shared" si="604"/>
        <v>Adidas</v>
      </c>
      <c r="B5492" s="5" t="str">
        <f t="shared" si="599"/>
        <v>Stan Smith</v>
      </c>
      <c r="C5492" s="3">
        <f t="shared" si="605"/>
        <v>46024</v>
      </c>
      <c r="D5492" s="4">
        <f t="shared" ca="1" si="600"/>
        <v>67</v>
      </c>
      <c r="E5492" s="2">
        <f t="shared" ca="1" si="601"/>
        <v>2604</v>
      </c>
      <c r="F5492" s="2">
        <f t="shared" ca="1" si="602"/>
        <v>15296</v>
      </c>
      <c r="G5492" s="2">
        <f t="shared" ca="1" si="603"/>
        <v>835</v>
      </c>
    </row>
    <row r="5493" spans="1:7" x14ac:dyDescent="0.3">
      <c r="A5493" s="5" t="str">
        <f t="shared" si="604"/>
        <v>Puma</v>
      </c>
      <c r="B5493" s="5" t="str">
        <f t="shared" si="599"/>
        <v>Cali Dream</v>
      </c>
      <c r="C5493" s="3">
        <f t="shared" si="605"/>
        <v>46024</v>
      </c>
      <c r="D5493" s="4">
        <f t="shared" ca="1" si="600"/>
        <v>111</v>
      </c>
      <c r="E5493" s="2">
        <f t="shared" ca="1" si="601"/>
        <v>9143</v>
      </c>
      <c r="F5493" s="2">
        <f t="shared" ca="1" si="602"/>
        <v>15738</v>
      </c>
      <c r="G5493" s="2">
        <f t="shared" ca="1" si="603"/>
        <v>782</v>
      </c>
    </row>
    <row r="5494" spans="1:7" x14ac:dyDescent="0.3">
      <c r="A5494" s="5" t="str">
        <f t="shared" si="604"/>
        <v>New Balance</v>
      </c>
      <c r="B5494" s="5" t="str">
        <f t="shared" si="599"/>
        <v>9060</v>
      </c>
      <c r="C5494" s="3">
        <f t="shared" si="605"/>
        <v>46024</v>
      </c>
      <c r="D5494" s="4">
        <f t="shared" ca="1" si="600"/>
        <v>32</v>
      </c>
      <c r="E5494" s="2">
        <f t="shared" ca="1" si="601"/>
        <v>6870</v>
      </c>
      <c r="F5494" s="2">
        <f t="shared" ca="1" si="602"/>
        <v>34562</v>
      </c>
      <c r="G5494" s="2">
        <f t="shared" ca="1" si="603"/>
        <v>1382</v>
      </c>
    </row>
    <row r="5495" spans="1:7" x14ac:dyDescent="0.3">
      <c r="A5495" s="5" t="str">
        <f t="shared" si="604"/>
        <v>Reebok</v>
      </c>
      <c r="B5495" s="5" t="str">
        <f t="shared" si="599"/>
        <v>Zig Kinetica</v>
      </c>
      <c r="C5495" s="3">
        <f t="shared" si="605"/>
        <v>46024</v>
      </c>
      <c r="D5495" s="4">
        <f t="shared" ca="1" si="600"/>
        <v>21</v>
      </c>
      <c r="E5495" s="2">
        <f t="shared" ca="1" si="601"/>
        <v>7009</v>
      </c>
      <c r="F5495" s="2">
        <f t="shared" ca="1" si="602"/>
        <v>19638</v>
      </c>
      <c r="G5495" s="2">
        <f t="shared" ca="1" si="603"/>
        <v>1157</v>
      </c>
    </row>
    <row r="5496" spans="1:7" x14ac:dyDescent="0.3">
      <c r="A5496" s="5" t="str">
        <f t="shared" si="604"/>
        <v>Nike</v>
      </c>
      <c r="B5496" s="5" t="str">
        <f t="shared" si="599"/>
        <v>Jordan 1</v>
      </c>
      <c r="C5496" s="3">
        <f t="shared" si="605"/>
        <v>46024</v>
      </c>
      <c r="D5496" s="4">
        <f t="shared" ca="1" si="600"/>
        <v>50</v>
      </c>
      <c r="E5496" s="2">
        <f t="shared" ca="1" si="601"/>
        <v>5341</v>
      </c>
      <c r="F5496" s="2">
        <f t="shared" ca="1" si="602"/>
        <v>34700</v>
      </c>
      <c r="G5496" s="2">
        <f t="shared" ca="1" si="603"/>
        <v>1989</v>
      </c>
    </row>
    <row r="5497" spans="1:7" x14ac:dyDescent="0.3">
      <c r="A5497" s="5" t="str">
        <f t="shared" si="604"/>
        <v>Adidas</v>
      </c>
      <c r="B5497" s="5" t="str">
        <f t="shared" si="599"/>
        <v>Ultraboost 23</v>
      </c>
      <c r="C5497" s="3">
        <f t="shared" si="605"/>
        <v>46024</v>
      </c>
      <c r="D5497" s="4">
        <f t="shared" ca="1" si="600"/>
        <v>79</v>
      </c>
      <c r="E5497" s="2">
        <f t="shared" ca="1" si="601"/>
        <v>7406</v>
      </c>
      <c r="F5497" s="2">
        <f t="shared" ca="1" si="602"/>
        <v>15319</v>
      </c>
      <c r="G5497" s="2">
        <f t="shared" ca="1" si="603"/>
        <v>1158</v>
      </c>
    </row>
    <row r="5498" spans="1:7" x14ac:dyDescent="0.3">
      <c r="A5498" s="5" t="str">
        <f t="shared" si="604"/>
        <v>Puma</v>
      </c>
      <c r="B5498" s="5" t="str">
        <f t="shared" si="599"/>
        <v>RS-X</v>
      </c>
      <c r="C5498" s="3">
        <f t="shared" si="605"/>
        <v>46024</v>
      </c>
      <c r="D5498" s="4">
        <f t="shared" ca="1" si="600"/>
        <v>87</v>
      </c>
      <c r="E5498" s="2">
        <f t="shared" ca="1" si="601"/>
        <v>11643</v>
      </c>
      <c r="F5498" s="2">
        <f t="shared" ca="1" si="602"/>
        <v>19353</v>
      </c>
      <c r="G5498" s="2">
        <f t="shared" ca="1" si="603"/>
        <v>766</v>
      </c>
    </row>
    <row r="5499" spans="1:7" x14ac:dyDescent="0.3">
      <c r="A5499" s="5" t="str">
        <f t="shared" si="604"/>
        <v>New Balance</v>
      </c>
      <c r="B5499" s="5" t="str">
        <f t="shared" si="599"/>
        <v>2002R</v>
      </c>
      <c r="C5499" s="3">
        <f t="shared" si="605"/>
        <v>46024</v>
      </c>
      <c r="D5499" s="4">
        <f t="shared" ca="1" si="600"/>
        <v>191</v>
      </c>
      <c r="E5499" s="2">
        <f t="shared" ca="1" si="601"/>
        <v>7435</v>
      </c>
      <c r="F5499" s="2">
        <f t="shared" ca="1" si="602"/>
        <v>16798</v>
      </c>
      <c r="G5499" s="2">
        <f t="shared" ca="1" si="603"/>
        <v>494</v>
      </c>
    </row>
    <row r="5500" spans="1:7" x14ac:dyDescent="0.3">
      <c r="A5500" s="5" t="str">
        <f t="shared" si="604"/>
        <v>Reebok</v>
      </c>
      <c r="B5500" s="5" t="str">
        <f t="shared" si="599"/>
        <v>Instapump Fury</v>
      </c>
      <c r="C5500" s="3">
        <f t="shared" si="605"/>
        <v>46024</v>
      </c>
      <c r="D5500" s="4">
        <f t="shared" ca="1" si="600"/>
        <v>84</v>
      </c>
      <c r="E5500" s="2">
        <f t="shared" ca="1" si="601"/>
        <v>6407</v>
      </c>
      <c r="F5500" s="2">
        <f t="shared" ca="1" si="602"/>
        <v>15333</v>
      </c>
      <c r="G5500" s="2">
        <f t="shared" ca="1" si="603"/>
        <v>1199</v>
      </c>
    </row>
    <row r="5501" spans="1:7" x14ac:dyDescent="0.3">
      <c r="A5501"/>
      <c r="B5501"/>
    </row>
    <row r="5502" spans="1:7" x14ac:dyDescent="0.3">
      <c r="A5502"/>
      <c r="B5502"/>
    </row>
    <row r="5503" spans="1:7" x14ac:dyDescent="0.3">
      <c r="A5503"/>
      <c r="B5503"/>
    </row>
    <row r="5504" spans="1:7" x14ac:dyDescent="0.3">
      <c r="A5504"/>
      <c r="B5504"/>
    </row>
    <row r="5505" spans="1:2" x14ac:dyDescent="0.3">
      <c r="A5505"/>
      <c r="B5505"/>
    </row>
    <row r="5506" spans="1:2" x14ac:dyDescent="0.3">
      <c r="A5506"/>
      <c r="B5506"/>
    </row>
    <row r="5507" spans="1:2" x14ac:dyDescent="0.3">
      <c r="A5507"/>
      <c r="B5507"/>
    </row>
    <row r="5508" spans="1:2" x14ac:dyDescent="0.3">
      <c r="A5508"/>
      <c r="B5508"/>
    </row>
    <row r="5509" spans="1:2" x14ac:dyDescent="0.3">
      <c r="A5509"/>
      <c r="B5509"/>
    </row>
    <row r="5510" spans="1:2" x14ac:dyDescent="0.3">
      <c r="A5510"/>
      <c r="B5510"/>
    </row>
    <row r="5511" spans="1:2" x14ac:dyDescent="0.3">
      <c r="A5511"/>
      <c r="B5511"/>
    </row>
    <row r="5512" spans="1:2" x14ac:dyDescent="0.3">
      <c r="A5512"/>
      <c r="B5512"/>
    </row>
    <row r="5513" spans="1:2" x14ac:dyDescent="0.3">
      <c r="A5513"/>
      <c r="B5513"/>
    </row>
    <row r="5514" spans="1:2" x14ac:dyDescent="0.3">
      <c r="A5514"/>
      <c r="B5514"/>
    </row>
    <row r="5515" spans="1:2" x14ac:dyDescent="0.3">
      <c r="A5515"/>
      <c r="B5515"/>
    </row>
    <row r="5516" spans="1:2" x14ac:dyDescent="0.3">
      <c r="A5516"/>
      <c r="B5516"/>
    </row>
    <row r="5517" spans="1:2" x14ac:dyDescent="0.3">
      <c r="A5517"/>
      <c r="B5517"/>
    </row>
    <row r="5518" spans="1:2" x14ac:dyDescent="0.3">
      <c r="A5518"/>
      <c r="B5518"/>
    </row>
    <row r="5519" spans="1:2" x14ac:dyDescent="0.3">
      <c r="A5519"/>
      <c r="B5519"/>
    </row>
    <row r="5520" spans="1:2" x14ac:dyDescent="0.3">
      <c r="A5520"/>
      <c r="B5520"/>
    </row>
    <row r="5521" spans="1:2" x14ac:dyDescent="0.3">
      <c r="A5521"/>
      <c r="B5521"/>
    </row>
    <row r="5522" spans="1:2" x14ac:dyDescent="0.3">
      <c r="A5522"/>
      <c r="B5522"/>
    </row>
    <row r="5523" spans="1:2" x14ac:dyDescent="0.3">
      <c r="A5523"/>
      <c r="B5523"/>
    </row>
    <row r="5524" spans="1:2" x14ac:dyDescent="0.3">
      <c r="A5524"/>
      <c r="B5524"/>
    </row>
    <row r="5525" spans="1:2" x14ac:dyDescent="0.3">
      <c r="A5525"/>
      <c r="B5525"/>
    </row>
    <row r="5526" spans="1:2" x14ac:dyDescent="0.3">
      <c r="A5526"/>
      <c r="B5526"/>
    </row>
    <row r="5527" spans="1:2" x14ac:dyDescent="0.3">
      <c r="A5527"/>
      <c r="B5527"/>
    </row>
    <row r="5528" spans="1:2" x14ac:dyDescent="0.3">
      <c r="A5528"/>
      <c r="B5528"/>
    </row>
    <row r="5529" spans="1:2" x14ac:dyDescent="0.3">
      <c r="A5529"/>
      <c r="B5529"/>
    </row>
    <row r="5530" spans="1:2" x14ac:dyDescent="0.3">
      <c r="A5530"/>
      <c r="B5530"/>
    </row>
    <row r="5531" spans="1:2" x14ac:dyDescent="0.3">
      <c r="A5531"/>
      <c r="B5531"/>
    </row>
    <row r="5532" spans="1:2" x14ac:dyDescent="0.3">
      <c r="A5532"/>
      <c r="B5532"/>
    </row>
    <row r="5533" spans="1:2" x14ac:dyDescent="0.3">
      <c r="A5533"/>
      <c r="B5533"/>
    </row>
    <row r="5534" spans="1:2" x14ac:dyDescent="0.3">
      <c r="A5534"/>
      <c r="B5534"/>
    </row>
    <row r="5535" spans="1:2" x14ac:dyDescent="0.3">
      <c r="A5535"/>
      <c r="B5535"/>
    </row>
    <row r="5536" spans="1:2" x14ac:dyDescent="0.3">
      <c r="A5536"/>
      <c r="B5536"/>
    </row>
    <row r="5537" spans="1:2" x14ac:dyDescent="0.3">
      <c r="A5537"/>
      <c r="B5537"/>
    </row>
    <row r="5538" spans="1:2" x14ac:dyDescent="0.3">
      <c r="A5538"/>
      <c r="B553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jaisilan</dc:creator>
  <cp:lastModifiedBy>jaisilan</cp:lastModifiedBy>
  <dcterms:created xsi:type="dcterms:W3CDTF">2025-12-11T12:27:18Z</dcterms:created>
  <dcterms:modified xsi:type="dcterms:W3CDTF">2025-12-11T15:12:50Z</dcterms:modified>
</cp:coreProperties>
</file>